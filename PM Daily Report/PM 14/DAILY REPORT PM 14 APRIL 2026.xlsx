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0730" windowHeight="11760" tabRatio="930" firstSheet="1" activeTab="5"/>
  </bookViews>
  <sheets>
    <sheet name="eff all value" sheetId="58" state="hidden" r:id="rId1"/>
    <sheet name="Report1" sheetId="48" r:id="rId2"/>
    <sheet name="GRAFIK" sheetId="50" r:id="rId3"/>
    <sheet name="Listrik" sheetId="45" r:id="rId4"/>
    <sheet name="Trim Rwd" sheetId="47" r:id="rId5"/>
    <sheet name="Efficiency1" sheetId="46" r:id="rId6"/>
    <sheet name="Efficiency2" sheetId="57" r:id="rId7"/>
    <sheet name="Chem" sheetId="1" r:id="rId8"/>
    <sheet name="RBP" sheetId="54" r:id="rId9"/>
    <sheet name="BB" sheetId="2" r:id="rId10"/>
    <sheet name="Sheet1" sheetId="56" r:id="rId11"/>
    <sheet name="summary" sheetId="55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  <sheet name="31" sheetId="43" r:id="rId43"/>
  </sheets>
  <externalReferences>
    <externalReference r:id="rId44"/>
    <externalReference r:id="rId45"/>
    <externalReference r:id="rId46"/>
  </externalReferences>
  <definedNames>
    <definedName name="_xlnm._FilterDatabase" localSheetId="10" hidden="1">Sheet1!$B$1:$F$121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42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7">Chem!$CE$6:$CQ$15</definedName>
    <definedName name="_xlnm.Print_Area" localSheetId="5">Efficiency1!$A$1:$AD$162</definedName>
    <definedName name="_xlnm.Print_Area" localSheetId="6">Efficiency2!$A$1:$AD$162</definedName>
    <definedName name="_xlnm.Print_Area" localSheetId="3">Listrik!$A$2:$AT$39</definedName>
    <definedName name="_xlnm.Print_Area" localSheetId="1">Report1!$A$3:$AK$41</definedName>
  </definedNames>
  <calcPr calcId="144525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8" i="48" l="1"/>
  <c r="AQ39" i="2" l="1"/>
  <c r="G39" i="2"/>
  <c r="O157" i="57" l="1"/>
  <c r="P157" i="57" s="1"/>
  <c r="N157" i="57"/>
  <c r="K157" i="57" s="1"/>
  <c r="J157" i="57"/>
  <c r="O156" i="57"/>
  <c r="N156" i="57"/>
  <c r="J156" i="57"/>
  <c r="O150" i="57"/>
  <c r="N150" i="57"/>
  <c r="J150" i="57"/>
  <c r="O146" i="57"/>
  <c r="N146" i="57"/>
  <c r="J146" i="57"/>
  <c r="O145" i="57"/>
  <c r="C145" i="57" s="1"/>
  <c r="N145" i="57"/>
  <c r="K145" i="57" s="1"/>
  <c r="J145" i="57"/>
  <c r="O142" i="57"/>
  <c r="N142" i="57"/>
  <c r="K142" i="57" s="1"/>
  <c r="J142" i="57"/>
  <c r="C142" i="57"/>
  <c r="O141" i="57"/>
  <c r="C141" i="57" s="1"/>
  <c r="N141" i="57"/>
  <c r="K141" i="57"/>
  <c r="J141" i="57"/>
  <c r="O140" i="57"/>
  <c r="N140" i="57"/>
  <c r="K140" i="57" s="1"/>
  <c r="J140" i="57"/>
  <c r="C140" i="57"/>
  <c r="O136" i="57"/>
  <c r="N136" i="57"/>
  <c r="J136" i="57"/>
  <c r="O135" i="57"/>
  <c r="C135" i="57" s="1"/>
  <c r="N135" i="57"/>
  <c r="K135" i="57" s="1"/>
  <c r="J135" i="57"/>
  <c r="O131" i="57"/>
  <c r="K131" i="57" s="1"/>
  <c r="N131" i="57"/>
  <c r="J131" i="57"/>
  <c r="O130" i="57"/>
  <c r="C130" i="57" s="1"/>
  <c r="N130" i="57"/>
  <c r="K130" i="57" s="1"/>
  <c r="J130" i="57"/>
  <c r="O126" i="57"/>
  <c r="N126" i="57"/>
  <c r="K126" i="57" s="1"/>
  <c r="J126" i="57"/>
  <c r="C126" i="57"/>
  <c r="O125" i="57"/>
  <c r="N125" i="57"/>
  <c r="H125" i="57" s="1"/>
  <c r="G125" i="57"/>
  <c r="C125" i="57"/>
  <c r="O121" i="57"/>
  <c r="C121" i="57" s="1"/>
  <c r="N121" i="57"/>
  <c r="H121" i="57" s="1"/>
  <c r="G121" i="57"/>
  <c r="O120" i="57"/>
  <c r="C120" i="57" s="1"/>
  <c r="N120" i="57"/>
  <c r="H120" i="57" s="1"/>
  <c r="G120" i="57"/>
  <c r="O115" i="57"/>
  <c r="C115" i="57" s="1"/>
  <c r="N115" i="57"/>
  <c r="H115" i="57" s="1"/>
  <c r="G115" i="57"/>
  <c r="O110" i="57"/>
  <c r="C110" i="57" s="1"/>
  <c r="N110" i="57"/>
  <c r="H110" i="57" s="1"/>
  <c r="G110" i="57"/>
  <c r="O107" i="57"/>
  <c r="C107" i="57" s="1"/>
  <c r="N107" i="57"/>
  <c r="H107" i="57"/>
  <c r="G107" i="57"/>
  <c r="O106" i="57"/>
  <c r="N106" i="57"/>
  <c r="H106" i="57" s="1"/>
  <c r="K106" i="57" s="1"/>
  <c r="C106" i="57"/>
  <c r="O105" i="57"/>
  <c r="C105" i="57" s="1"/>
  <c r="N105" i="57"/>
  <c r="H105" i="57" s="1"/>
  <c r="K105" i="57" s="1"/>
  <c r="O101" i="57"/>
  <c r="C101" i="57" s="1"/>
  <c r="N101" i="57"/>
  <c r="H101" i="57" s="1"/>
  <c r="O100" i="57"/>
  <c r="C100" i="57" s="1"/>
  <c r="N100" i="57"/>
  <c r="H100" i="57" s="1"/>
  <c r="O97" i="57"/>
  <c r="C97" i="57" s="1"/>
  <c r="N97" i="57"/>
  <c r="H97" i="57"/>
  <c r="K97" i="57" s="1"/>
  <c r="O96" i="57"/>
  <c r="N96" i="57"/>
  <c r="H96" i="57"/>
  <c r="K96" i="57" s="1"/>
  <c r="C96" i="57"/>
  <c r="O95" i="57"/>
  <c r="C95" i="57" s="1"/>
  <c r="N95" i="57"/>
  <c r="H95" i="57" s="1"/>
  <c r="O90" i="57"/>
  <c r="C90" i="57" s="1"/>
  <c r="N90" i="57"/>
  <c r="H90" i="57" s="1"/>
  <c r="O85" i="57"/>
  <c r="N85" i="57"/>
  <c r="H85" i="57"/>
  <c r="K85" i="57" s="1"/>
  <c r="C85" i="57"/>
  <c r="O80" i="57"/>
  <c r="C80" i="57" s="1"/>
  <c r="N80" i="57"/>
  <c r="H80" i="57"/>
  <c r="K80" i="57" s="1"/>
  <c r="O76" i="57"/>
  <c r="C76" i="57" s="1"/>
  <c r="N76" i="57"/>
  <c r="H76" i="57" s="1"/>
  <c r="O75" i="57"/>
  <c r="C75" i="57" s="1"/>
  <c r="N75" i="57"/>
  <c r="H75" i="57" s="1"/>
  <c r="O70" i="57"/>
  <c r="N70" i="57"/>
  <c r="H70" i="57"/>
  <c r="K70" i="57" s="1"/>
  <c r="C70" i="57"/>
  <c r="O69" i="57"/>
  <c r="N69" i="57"/>
  <c r="H69" i="57"/>
  <c r="O64" i="57"/>
  <c r="C64" i="57" s="1"/>
  <c r="N64" i="57"/>
  <c r="H64" i="57" s="1"/>
  <c r="O59" i="57"/>
  <c r="C59" i="57" s="1"/>
  <c r="N59" i="57"/>
  <c r="H59" i="57" s="1"/>
  <c r="O55" i="57"/>
  <c r="C55" i="57" s="1"/>
  <c r="N55" i="57"/>
  <c r="H55" i="57"/>
  <c r="K55" i="57" s="1"/>
  <c r="O54" i="57"/>
  <c r="N54" i="57"/>
  <c r="H54" i="57"/>
  <c r="K54" i="57" s="1"/>
  <c r="C54" i="57"/>
  <c r="O47" i="57"/>
  <c r="C47" i="57" s="1"/>
  <c r="N47" i="57"/>
  <c r="H47" i="57" s="1"/>
  <c r="O46" i="57"/>
  <c r="N46" i="57"/>
  <c r="H46" i="57" s="1"/>
  <c r="O43" i="57"/>
  <c r="N43" i="57"/>
  <c r="H43" i="57"/>
  <c r="K43" i="57" s="1"/>
  <c r="C43" i="57"/>
  <c r="O42" i="57"/>
  <c r="C42" i="57" s="1"/>
  <c r="N42" i="57"/>
  <c r="H42" i="57"/>
  <c r="K42" i="57" s="1"/>
  <c r="O41" i="57"/>
  <c r="C41" i="57" s="1"/>
  <c r="N41" i="57"/>
  <c r="H41" i="57" s="1"/>
  <c r="O37" i="57"/>
  <c r="C37" i="57" s="1"/>
  <c r="N37" i="57"/>
  <c r="H37" i="57" s="1"/>
  <c r="O36" i="57"/>
  <c r="N36" i="57"/>
  <c r="H36" i="57" s="1"/>
  <c r="K36" i="57" s="1"/>
  <c r="C36" i="57"/>
  <c r="O33" i="57"/>
  <c r="N33" i="57"/>
  <c r="H33" i="57" s="1"/>
  <c r="C33" i="57"/>
  <c r="O32" i="57"/>
  <c r="C32" i="57" s="1"/>
  <c r="N32" i="57"/>
  <c r="H32" i="57" s="1"/>
  <c r="O31" i="57"/>
  <c r="C31" i="57" s="1"/>
  <c r="N31" i="57"/>
  <c r="K31" i="57" s="1"/>
  <c r="J31" i="57"/>
  <c r="O26" i="57"/>
  <c r="C26" i="57" s="1"/>
  <c r="N26" i="57"/>
  <c r="J26" i="57"/>
  <c r="O23" i="57"/>
  <c r="C23" i="57" s="1"/>
  <c r="N23" i="57"/>
  <c r="J23" i="57"/>
  <c r="O22" i="57"/>
  <c r="N22" i="57"/>
  <c r="K22" i="57" s="1"/>
  <c r="J22" i="57"/>
  <c r="C22" i="57"/>
  <c r="O21" i="57"/>
  <c r="C21" i="57" s="1"/>
  <c r="N21" i="57"/>
  <c r="J21" i="57"/>
  <c r="O16" i="57"/>
  <c r="C16" i="57" s="1"/>
  <c r="N16" i="57"/>
  <c r="K16" i="57" s="1"/>
  <c r="J16" i="57"/>
  <c r="O11" i="57"/>
  <c r="N11" i="57"/>
  <c r="K11" i="57" s="1"/>
  <c r="J11" i="57"/>
  <c r="C11" i="57"/>
  <c r="O6" i="57"/>
  <c r="K6" i="57" s="1"/>
  <c r="N6" i="57"/>
  <c r="J6" i="57"/>
  <c r="A6" i="57"/>
  <c r="AE4" i="54"/>
  <c r="AE3" i="54"/>
  <c r="Q156" i="57"/>
  <c r="K156" i="57" s="1"/>
  <c r="R156" i="57"/>
  <c r="AW159" i="57"/>
  <c r="AR159" i="57"/>
  <c r="AM159" i="57"/>
  <c r="AR158" i="57"/>
  <c r="BA158" i="57" s="1"/>
  <c r="AD158" i="57" s="1"/>
  <c r="AM158" i="57"/>
  <c r="AC158" i="57"/>
  <c r="AR157" i="57"/>
  <c r="BA157" i="57" s="1"/>
  <c r="AM157" i="57"/>
  <c r="W157" i="57"/>
  <c r="U157" i="57"/>
  <c r="T157" i="57"/>
  <c r="AR156" i="57"/>
  <c r="BA156" i="57" s="1"/>
  <c r="AM156" i="57"/>
  <c r="Z156" i="57"/>
  <c r="W156" i="57"/>
  <c r="U156" i="57"/>
  <c r="T156" i="57"/>
  <c r="V156" i="57"/>
  <c r="Z156" i="46"/>
  <c r="W157" i="46"/>
  <c r="W156" i="46"/>
  <c r="K16" i="4"/>
  <c r="K10" i="4"/>
  <c r="C17" i="4"/>
  <c r="C16" i="4"/>
  <c r="AC156" i="57" l="1"/>
  <c r="BA38" i="48"/>
  <c r="AD156" i="57"/>
  <c r="J107" i="57"/>
  <c r="K125" i="57"/>
  <c r="BA159" i="57"/>
  <c r="AD159" i="57" s="1"/>
  <c r="K21" i="57"/>
  <c r="K23" i="57"/>
  <c r="C156" i="57"/>
  <c r="AD157" i="57"/>
  <c r="C131" i="57"/>
  <c r="AC157" i="57"/>
  <c r="K26" i="57"/>
  <c r="K136" i="57"/>
  <c r="K64" i="57"/>
  <c r="J64" i="57"/>
  <c r="K95" i="57"/>
  <c r="J95" i="57"/>
  <c r="K32" i="57"/>
  <c r="J32" i="57"/>
  <c r="K47" i="57"/>
  <c r="J47" i="57"/>
  <c r="K76" i="57"/>
  <c r="J76" i="57"/>
  <c r="K101" i="57"/>
  <c r="J101" i="57"/>
  <c r="J110" i="57"/>
  <c r="K110" i="57"/>
  <c r="K121" i="57"/>
  <c r="K41" i="57"/>
  <c r="J41" i="57"/>
  <c r="K33" i="57"/>
  <c r="J33" i="57"/>
  <c r="J115" i="57"/>
  <c r="K115" i="57"/>
  <c r="J46" i="57"/>
  <c r="J75" i="57"/>
  <c r="K75" i="57"/>
  <c r="J100" i="57"/>
  <c r="K100" i="57"/>
  <c r="K120" i="57"/>
  <c r="J120" i="57"/>
  <c r="J37" i="57"/>
  <c r="K37" i="57"/>
  <c r="K59" i="57"/>
  <c r="J59" i="57"/>
  <c r="K90" i="57"/>
  <c r="J90" i="57"/>
  <c r="J36" i="57"/>
  <c r="J43" i="57"/>
  <c r="J55" i="57"/>
  <c r="J70" i="57"/>
  <c r="J85" i="57"/>
  <c r="J97" i="57"/>
  <c r="J106" i="57"/>
  <c r="K107" i="57"/>
  <c r="C6" i="57"/>
  <c r="J42" i="57"/>
  <c r="J54" i="57"/>
  <c r="J69" i="57"/>
  <c r="J80" i="57"/>
  <c r="J96" i="57"/>
  <c r="J105" i="57"/>
  <c r="J125" i="57"/>
  <c r="C136" i="57"/>
  <c r="C157" i="57"/>
  <c r="J121" i="57"/>
  <c r="X156" i="57"/>
  <c r="P156" i="57"/>
  <c r="V157" i="57"/>
  <c r="O157" i="46"/>
  <c r="O156" i="46"/>
  <c r="I91" i="47"/>
  <c r="H93" i="47"/>
  <c r="H91" i="47"/>
  <c r="F94" i="47"/>
  <c r="F91" i="47"/>
  <c r="F93" i="47"/>
  <c r="F92" i="47"/>
  <c r="G94" i="47"/>
  <c r="E94" i="47"/>
  <c r="E93" i="47"/>
  <c r="E92" i="47"/>
  <c r="E91" i="47"/>
  <c r="G92" i="47"/>
  <c r="G91" i="47"/>
  <c r="G93" i="47" l="1"/>
  <c r="P3" i="54" l="1"/>
  <c r="P4" i="54"/>
  <c r="Q4" i="54"/>
  <c r="Q3" i="54"/>
  <c r="R4" i="54"/>
  <c r="R3" i="54"/>
  <c r="S3" i="54"/>
  <c r="S4" i="54"/>
  <c r="T4" i="54"/>
  <c r="U4" i="54"/>
  <c r="U3" i="54"/>
  <c r="V4" i="54"/>
  <c r="V3" i="54"/>
  <c r="W4" i="54"/>
  <c r="W3" i="54"/>
  <c r="X4" i="54"/>
  <c r="X3" i="54"/>
  <c r="Y4" i="54"/>
  <c r="Y3" i="54"/>
  <c r="Z4" i="54"/>
  <c r="Z3" i="54"/>
  <c r="AA4" i="54"/>
  <c r="AA3" i="54"/>
  <c r="Q156" i="46" l="1"/>
  <c r="AR159" i="46" l="1"/>
  <c r="BA159" i="46" s="1"/>
  <c r="AM159" i="46"/>
  <c r="J157" i="46"/>
  <c r="N157" i="46"/>
  <c r="T157" i="46"/>
  <c r="AR158" i="46"/>
  <c r="BA158" i="46" s="1"/>
  <c r="AM158" i="46"/>
  <c r="AC158" i="46"/>
  <c r="AR157" i="46"/>
  <c r="BA157" i="46" s="1"/>
  <c r="AM157" i="46"/>
  <c r="AD157" i="46" s="1"/>
  <c r="AR156" i="46"/>
  <c r="BA156" i="46" s="1"/>
  <c r="AM156" i="46"/>
  <c r="P156" i="46"/>
  <c r="N156" i="46"/>
  <c r="J156" i="46"/>
  <c r="F26" i="4"/>
  <c r="F17" i="4"/>
  <c r="I38" i="4"/>
  <c r="I37" i="4"/>
  <c r="G42" i="4"/>
  <c r="F42" i="4"/>
  <c r="Z46" i="4"/>
  <c r="AA41" i="4"/>
  <c r="AI18" i="4"/>
  <c r="AJ18" i="4"/>
  <c r="AI19" i="4"/>
  <c r="AJ19" i="4"/>
  <c r="AI20" i="4"/>
  <c r="AJ20" i="4"/>
  <c r="AH24" i="4"/>
  <c r="AH25" i="4" s="1"/>
  <c r="AI17" i="4"/>
  <c r="AI24" i="4" s="1"/>
  <c r="AI25" i="4" s="1"/>
  <c r="AJ17" i="4"/>
  <c r="AH8" i="4"/>
  <c r="AI8" i="4" s="1"/>
  <c r="AG8" i="4"/>
  <c r="AJ8" i="4" s="1"/>
  <c r="AJ7" i="4"/>
  <c r="AJ14" i="4" s="1"/>
  <c r="AI7" i="4"/>
  <c r="AI14" i="4" s="1"/>
  <c r="AH7" i="4"/>
  <c r="AG7" i="4"/>
  <c r="Z27" i="4"/>
  <c r="AC27" i="4" s="1"/>
  <c r="AC35" i="4" s="1"/>
  <c r="AA35" i="4"/>
  <c r="AA36" i="4" s="1"/>
  <c r="AB27" i="4"/>
  <c r="AB35" i="4" s="1"/>
  <c r="AB36" i="4" s="1"/>
  <c r="AA9" i="4"/>
  <c r="AA8" i="4"/>
  <c r="AB8" i="4" s="1"/>
  <c r="AA7" i="4"/>
  <c r="AB9" i="4"/>
  <c r="AC9" i="4"/>
  <c r="AB7" i="4"/>
  <c r="Z8" i="4"/>
  <c r="Z9" i="4"/>
  <c r="Z17" i="4"/>
  <c r="AA25" i="4"/>
  <c r="AA26" i="4" s="1"/>
  <c r="AC17" i="4"/>
  <c r="AC25" i="4" s="1"/>
  <c r="Z7" i="4"/>
  <c r="AD158" i="46" l="1"/>
  <c r="AD159" i="46"/>
  <c r="T156" i="46"/>
  <c r="V157" i="46"/>
  <c r="P157" i="46"/>
  <c r="C156" i="46"/>
  <c r="N38" i="48" s="1"/>
  <c r="C157" i="46"/>
  <c r="U156" i="46"/>
  <c r="U157" i="46"/>
  <c r="AD156" i="46"/>
  <c r="K157" i="46"/>
  <c r="AC157" i="46" s="1"/>
  <c r="V156" i="46"/>
  <c r="K156" i="46"/>
  <c r="AJ24" i="4"/>
  <c r="AJ25" i="4" s="1"/>
  <c r="AH14" i="4"/>
  <c r="AH15" i="4" s="1"/>
  <c r="AC36" i="4"/>
  <c r="AC26" i="4"/>
  <c r="AC8" i="4"/>
  <c r="AB17" i="4"/>
  <c r="AB25" i="4" s="1"/>
  <c r="AB26" i="4" s="1"/>
  <c r="AA14" i="4"/>
  <c r="AA15" i="4" s="1"/>
  <c r="AC7" i="4"/>
  <c r="AB14" i="4"/>
  <c r="S150" i="57"/>
  <c r="Q150" i="57"/>
  <c r="AV154" i="57"/>
  <c r="S150" i="46"/>
  <c r="AV154" i="46"/>
  <c r="C150" i="57" l="1"/>
  <c r="K150" i="57"/>
  <c r="AC156" i="46"/>
  <c r="L38" i="48"/>
  <c r="X156" i="46"/>
  <c r="AJ15" i="4"/>
  <c r="AI15" i="4"/>
  <c r="AB15" i="4"/>
  <c r="AC14" i="4"/>
  <c r="AC15" i="4" s="1"/>
  <c r="D7" i="55"/>
  <c r="M7" i="55"/>
  <c r="AB4" i="54"/>
  <c r="AB3" i="54"/>
  <c r="AC4" i="54" l="1"/>
  <c r="AC3" i="54"/>
  <c r="AD4" i="54"/>
  <c r="AD3" i="54"/>
  <c r="AG4" i="54"/>
  <c r="AG3" i="54"/>
  <c r="Y156" i="57" l="1"/>
  <c r="Y156" i="46"/>
  <c r="AC152" i="57"/>
  <c r="AC151" i="57"/>
  <c r="Z150" i="57"/>
  <c r="AC147" i="57"/>
  <c r="Z146" i="57"/>
  <c r="Z145" i="57"/>
  <c r="W142" i="57"/>
  <c r="Z140" i="57"/>
  <c r="AC137" i="57"/>
  <c r="Z136" i="57"/>
  <c r="Z135" i="57"/>
  <c r="AC132" i="57"/>
  <c r="Z131" i="57"/>
  <c r="Z130" i="57"/>
  <c r="AC127" i="57"/>
  <c r="Z126" i="57"/>
  <c r="Z125" i="57"/>
  <c r="AC122" i="57"/>
  <c r="W121" i="57"/>
  <c r="Z120" i="57"/>
  <c r="AC117" i="57"/>
  <c r="AC116" i="57"/>
  <c r="Z115" i="57"/>
  <c r="AC112" i="57"/>
  <c r="AC111" i="57"/>
  <c r="Z110" i="57"/>
  <c r="Z107" i="57"/>
  <c r="Z97" i="57"/>
  <c r="AC91" i="57"/>
  <c r="AC86" i="57"/>
  <c r="AC81" i="57"/>
  <c r="Z80" i="57"/>
  <c r="Z75" i="57"/>
  <c r="W70" i="57"/>
  <c r="Z69" i="57"/>
  <c r="Z55" i="57"/>
  <c r="W43" i="57"/>
  <c r="Z36" i="57"/>
  <c r="Z11" i="57"/>
  <c r="Z6" i="57"/>
  <c r="AA156" i="46" l="1"/>
  <c r="AB156" i="46" s="1"/>
  <c r="AA156" i="57"/>
  <c r="AB156" i="57" s="1"/>
  <c r="AP37" i="48" l="1"/>
  <c r="S146" i="57"/>
  <c r="R150" i="57"/>
  <c r="AM154" i="57"/>
  <c r="AW153" i="57"/>
  <c r="AR154" i="57"/>
  <c r="BA154" i="57" s="1"/>
  <c r="AR153" i="57"/>
  <c r="BA153" i="57" s="1"/>
  <c r="AM153" i="57"/>
  <c r="AR152" i="57"/>
  <c r="BA152" i="57" s="1"/>
  <c r="AM152" i="57"/>
  <c r="AR151" i="57"/>
  <c r="BA151" i="57" s="1"/>
  <c r="AM151" i="57"/>
  <c r="AR150" i="57"/>
  <c r="BA150" i="57" s="1"/>
  <c r="AM150" i="57"/>
  <c r="AD150" i="57" s="1"/>
  <c r="AK20" i="37"/>
  <c r="AL18" i="37"/>
  <c r="AH18" i="37"/>
  <c r="AK18" i="37" s="1"/>
  <c r="Z110" i="46"/>
  <c r="F89" i="47"/>
  <c r="F88" i="47"/>
  <c r="F87" i="47"/>
  <c r="H87" i="47" s="1"/>
  <c r="E88" i="47"/>
  <c r="E87" i="47"/>
  <c r="E89" i="47"/>
  <c r="O150" i="46" l="1"/>
  <c r="V150" i="57"/>
  <c r="AD153" i="57"/>
  <c r="G88" i="47"/>
  <c r="AD151" i="57"/>
  <c r="AM18" i="37"/>
  <c r="AD154" i="57"/>
  <c r="AD152" i="57"/>
  <c r="T150" i="57"/>
  <c r="U150" i="57"/>
  <c r="P150" i="57"/>
  <c r="G89" i="47"/>
  <c r="G87" i="47"/>
  <c r="AQ38" i="2" l="1"/>
  <c r="G38" i="2"/>
  <c r="AC150" i="57" l="1"/>
  <c r="BA37" i="48"/>
  <c r="U150" i="46"/>
  <c r="N150" i="46"/>
  <c r="J150" i="46"/>
  <c r="AM154" i="46"/>
  <c r="AR154" i="46"/>
  <c r="BA154" i="46" s="1"/>
  <c r="BA153" i="46"/>
  <c r="AR153" i="46"/>
  <c r="AM153" i="46"/>
  <c r="AR152" i="46"/>
  <c r="BA152" i="46" s="1"/>
  <c r="AM152" i="46"/>
  <c r="AC152" i="46"/>
  <c r="AR151" i="46"/>
  <c r="BA151" i="46" s="1"/>
  <c r="AM151" i="46"/>
  <c r="AD151" i="46" s="1"/>
  <c r="AR150" i="46"/>
  <c r="BA150" i="46" s="1"/>
  <c r="AM150" i="46"/>
  <c r="Z150" i="46"/>
  <c r="F17" i="37"/>
  <c r="I38" i="37"/>
  <c r="I87" i="47" s="1"/>
  <c r="G42" i="37"/>
  <c r="I37" i="37" s="1"/>
  <c r="F42" i="37"/>
  <c r="X41" i="37"/>
  <c r="AA27" i="37"/>
  <c r="Z28" i="37"/>
  <c r="Z27" i="37"/>
  <c r="AC27" i="37" s="1"/>
  <c r="Z18" i="37"/>
  <c r="Z17" i="37"/>
  <c r="AB29" i="37"/>
  <c r="Z29" i="37"/>
  <c r="AC29" i="37" s="1"/>
  <c r="AA17" i="37"/>
  <c r="AA18" i="37" s="1"/>
  <c r="AB19" i="37"/>
  <c r="Z19" i="37"/>
  <c r="AC19" i="37" s="1"/>
  <c r="AB17" i="37"/>
  <c r="F11" i="37"/>
  <c r="AA7" i="37"/>
  <c r="AB7" i="37" s="1"/>
  <c r="AA6" i="37"/>
  <c r="Z7" i="37"/>
  <c r="AB8" i="37"/>
  <c r="Z8" i="37"/>
  <c r="AC8" i="37" s="1"/>
  <c r="Z6" i="37"/>
  <c r="AB18" i="37" l="1"/>
  <c r="AC18" i="37"/>
  <c r="AD150" i="46"/>
  <c r="V150" i="46"/>
  <c r="AD153" i="46"/>
  <c r="AD152" i="46"/>
  <c r="P150" i="46"/>
  <c r="K150" i="46"/>
  <c r="L37" i="48" s="1"/>
  <c r="T150" i="46"/>
  <c r="C150" i="46"/>
  <c r="N37" i="48" s="1"/>
  <c r="AD154" i="46"/>
  <c r="AC151" i="46"/>
  <c r="AB28" i="37"/>
  <c r="AC28" i="37"/>
  <c r="AC35" i="37" s="1"/>
  <c r="AB27" i="37"/>
  <c r="AA35" i="37"/>
  <c r="AA36" i="37" s="1"/>
  <c r="AB25" i="37"/>
  <c r="AC17" i="37"/>
  <c r="AC25" i="37" s="1"/>
  <c r="AA25" i="37"/>
  <c r="AA26" i="37" s="1"/>
  <c r="AC7" i="37"/>
  <c r="AA14" i="37"/>
  <c r="AA15" i="37" s="1"/>
  <c r="AC6" i="37"/>
  <c r="AC14" i="37" s="1"/>
  <c r="AC15" i="37" s="1"/>
  <c r="AB6" i="37"/>
  <c r="AB14" i="37" s="1"/>
  <c r="AB15" i="37" s="1"/>
  <c r="AV148" i="57"/>
  <c r="AM148" i="57" s="1"/>
  <c r="AD148" i="57" s="1"/>
  <c r="Q146" i="57"/>
  <c r="S146" i="46"/>
  <c r="AR148" i="57"/>
  <c r="BA148" i="57" s="1"/>
  <c r="AR147" i="57"/>
  <c r="BA147" i="57" s="1"/>
  <c r="AM147" i="57"/>
  <c r="AR146" i="57"/>
  <c r="BA146" i="57" s="1"/>
  <c r="AM146" i="57"/>
  <c r="AR145" i="57"/>
  <c r="BA145" i="57" s="1"/>
  <c r="AM145" i="57"/>
  <c r="K14" i="6"/>
  <c r="W145" i="57" s="1"/>
  <c r="AE45" i="6"/>
  <c r="AF43" i="6"/>
  <c r="AB43" i="6"/>
  <c r="AE43" i="6" s="1"/>
  <c r="AD147" i="57" l="1"/>
  <c r="K146" i="57"/>
  <c r="C146" i="57"/>
  <c r="W145" i="46"/>
  <c r="AD145" i="57"/>
  <c r="AD146" i="57"/>
  <c r="AC150" i="46"/>
  <c r="AC36" i="37"/>
  <c r="AB35" i="37"/>
  <c r="AB36" i="37" s="1"/>
  <c r="AC26" i="37"/>
  <c r="AB26" i="37"/>
  <c r="AG43" i="6"/>
  <c r="Z145" i="46" l="1"/>
  <c r="K16" i="6"/>
  <c r="W146" i="57" s="1"/>
  <c r="F85" i="47"/>
  <c r="E85" i="47"/>
  <c r="E84" i="47"/>
  <c r="G84" i="47" s="1"/>
  <c r="E83" i="47"/>
  <c r="G83" i="47" s="1"/>
  <c r="H83" i="47" s="1"/>
  <c r="AQ37" i="2"/>
  <c r="G37" i="2"/>
  <c r="G85" i="47" l="1"/>
  <c r="H85" i="47" s="1"/>
  <c r="O145" i="46"/>
  <c r="V146" i="57"/>
  <c r="P146" i="57"/>
  <c r="T146" i="57"/>
  <c r="U146" i="57"/>
  <c r="O146" i="46"/>
  <c r="W146" i="46"/>
  <c r="AP36" i="48"/>
  <c r="AC146" i="57" l="1"/>
  <c r="P145" i="57"/>
  <c r="V145" i="57"/>
  <c r="T145" i="57"/>
  <c r="AC145" i="57" s="1"/>
  <c r="U145" i="57"/>
  <c r="AA145" i="57" s="1"/>
  <c r="U145" i="46"/>
  <c r="N145" i="46"/>
  <c r="J145" i="46"/>
  <c r="AR148" i="46"/>
  <c r="BA148" i="46" s="1"/>
  <c r="AM148" i="46"/>
  <c r="AD148" i="46" s="1"/>
  <c r="AR147" i="46"/>
  <c r="BA147" i="46" s="1"/>
  <c r="AM147" i="46"/>
  <c r="AR146" i="46"/>
  <c r="BA146" i="46" s="1"/>
  <c r="AM146" i="46"/>
  <c r="Z146" i="46"/>
  <c r="C146" i="46"/>
  <c r="N146" i="46"/>
  <c r="J146" i="46"/>
  <c r="AR145" i="46"/>
  <c r="BA145" i="46" s="1"/>
  <c r="AM145" i="46"/>
  <c r="F26" i="6"/>
  <c r="I38" i="6"/>
  <c r="I83" i="47" s="1"/>
  <c r="AA40" i="6"/>
  <c r="AI8" i="6"/>
  <c r="AJ8" i="6"/>
  <c r="AI9" i="6"/>
  <c r="AJ9" i="6"/>
  <c r="AI10" i="6"/>
  <c r="AJ10" i="6"/>
  <c r="AJ6" i="6"/>
  <c r="AA29" i="6"/>
  <c r="AB29" i="6" s="1"/>
  <c r="AA28" i="6"/>
  <c r="AB28" i="6" s="1"/>
  <c r="AA27" i="6"/>
  <c r="AB27" i="6" s="1"/>
  <c r="AA35" i="6"/>
  <c r="AA36" i="6" s="1"/>
  <c r="Z28" i="6"/>
  <c r="AC28" i="6" s="1"/>
  <c r="Z29" i="6"/>
  <c r="Z27" i="6"/>
  <c r="Z17" i="6"/>
  <c r="AB17" i="6"/>
  <c r="AC17" i="6"/>
  <c r="AA6" i="6"/>
  <c r="AA7" i="6" s="1"/>
  <c r="Z7" i="6"/>
  <c r="Z6" i="6"/>
  <c r="X145" i="57" l="1"/>
  <c r="AB145" i="57"/>
  <c r="AC6" i="6"/>
  <c r="AC29" i="6"/>
  <c r="BA36" i="48"/>
  <c r="T146" i="46"/>
  <c r="K145" i="46"/>
  <c r="K146" i="46"/>
  <c r="V146" i="46"/>
  <c r="AD147" i="46"/>
  <c r="AD146" i="46"/>
  <c r="AD145" i="46"/>
  <c r="P145" i="46"/>
  <c r="T145" i="46"/>
  <c r="C145" i="46"/>
  <c r="N36" i="48" s="1"/>
  <c r="V145" i="46"/>
  <c r="P146" i="46"/>
  <c r="U146" i="46"/>
  <c r="AC147" i="46"/>
  <c r="AH14" i="6"/>
  <c r="AH15" i="6" s="1"/>
  <c r="AI7" i="6"/>
  <c r="AJ7" i="6"/>
  <c r="AJ14" i="6" s="1"/>
  <c r="AJ15" i="6" s="1"/>
  <c r="AI6" i="6"/>
  <c r="AI14" i="6" s="1"/>
  <c r="AI15" i="6" s="1"/>
  <c r="AC27" i="6"/>
  <c r="AC35" i="6" s="1"/>
  <c r="AC36" i="6" s="1"/>
  <c r="AB35" i="6"/>
  <c r="AB36" i="6" s="1"/>
  <c r="AC25" i="6"/>
  <c r="AB25" i="6"/>
  <c r="AA25" i="6"/>
  <c r="AA26" i="6" s="1"/>
  <c r="AB7" i="6"/>
  <c r="AC7" i="6"/>
  <c r="AC14" i="6" s="1"/>
  <c r="AA14" i="6"/>
  <c r="AA15" i="6" s="1"/>
  <c r="AB6" i="6"/>
  <c r="AC15" i="6" l="1"/>
  <c r="AC146" i="46"/>
  <c r="L36" i="48"/>
  <c r="X145" i="46"/>
  <c r="AC145" i="46"/>
  <c r="AA145" i="46"/>
  <c r="AB145" i="46" s="1"/>
  <c r="AB26" i="6"/>
  <c r="AC26" i="6"/>
  <c r="AB14" i="6"/>
  <c r="AB15" i="6" s="1"/>
  <c r="AP35" i="48" l="1"/>
  <c r="AR143" i="57" l="1"/>
  <c r="BA143" i="57" s="1"/>
  <c r="AM143" i="57"/>
  <c r="AR142" i="57"/>
  <c r="BA142" i="57" s="1"/>
  <c r="AM142" i="57"/>
  <c r="AD142" i="57" s="1"/>
  <c r="S142" i="57"/>
  <c r="AR141" i="57"/>
  <c r="BA141" i="57" s="1"/>
  <c r="AM141" i="57"/>
  <c r="AR140" i="57"/>
  <c r="BA140" i="57" s="1"/>
  <c r="AM140" i="57"/>
  <c r="Z140" i="46"/>
  <c r="K17" i="7"/>
  <c r="W141" i="57" s="1"/>
  <c r="K19" i="7"/>
  <c r="W140" i="57" s="1"/>
  <c r="E81" i="47"/>
  <c r="H81" i="47" s="1"/>
  <c r="F80" i="47"/>
  <c r="F79" i="47"/>
  <c r="E79" i="47"/>
  <c r="E78" i="47"/>
  <c r="G78" i="47" s="1"/>
  <c r="H78" i="47" s="1"/>
  <c r="E80" i="47"/>
  <c r="G80" i="47" s="1"/>
  <c r="H80" i="47" s="1"/>
  <c r="AD140" i="57" l="1"/>
  <c r="AD141" i="57"/>
  <c r="T140" i="57"/>
  <c r="P140" i="57"/>
  <c r="AD143" i="57"/>
  <c r="O141" i="46"/>
  <c r="T142" i="57"/>
  <c r="U142" i="57"/>
  <c r="G79" i="47"/>
  <c r="O140" i="46"/>
  <c r="W140" i="46"/>
  <c r="O142" i="46"/>
  <c r="W141" i="46"/>
  <c r="P141" i="57"/>
  <c r="P142" i="57"/>
  <c r="T141" i="57"/>
  <c r="AC141" i="57" s="1"/>
  <c r="AC142" i="57" l="1"/>
  <c r="V140" i="57"/>
  <c r="U140" i="57"/>
  <c r="V142" i="57"/>
  <c r="U141" i="57"/>
  <c r="V141" i="57"/>
  <c r="AQ36" i="2"/>
  <c r="G36" i="2"/>
  <c r="AC140" i="57" l="1"/>
  <c r="X140" i="57"/>
  <c r="BA35" i="48"/>
  <c r="S142" i="46"/>
  <c r="J141" i="46"/>
  <c r="N141" i="46"/>
  <c r="C141" i="46"/>
  <c r="J142" i="46"/>
  <c r="N142" i="46"/>
  <c r="K142" i="46" s="1"/>
  <c r="T142" i="46"/>
  <c r="W142" i="46"/>
  <c r="P140" i="46"/>
  <c r="N140" i="46"/>
  <c r="J140" i="46"/>
  <c r="AR143" i="46"/>
  <c r="BA143" i="46" s="1"/>
  <c r="AM143" i="46"/>
  <c r="AR142" i="46"/>
  <c r="BA142" i="46" s="1"/>
  <c r="AM142" i="46"/>
  <c r="AR141" i="46"/>
  <c r="BA141" i="46" s="1"/>
  <c r="AM141" i="46"/>
  <c r="AR140" i="46"/>
  <c r="BA140" i="46" s="1"/>
  <c r="AM140" i="46"/>
  <c r="F26" i="7"/>
  <c r="F9" i="7"/>
  <c r="I38" i="7"/>
  <c r="I78" i="47" s="1"/>
  <c r="Y18" i="7"/>
  <c r="Z18" i="7"/>
  <c r="Y19" i="7"/>
  <c r="Z19" i="7"/>
  <c r="Y20" i="7"/>
  <c r="Z20" i="7"/>
  <c r="Y17" i="7"/>
  <c r="Z17" i="7"/>
  <c r="G42" i="7"/>
  <c r="I37" i="7" s="1"/>
  <c r="F42" i="7"/>
  <c r="Q27" i="7"/>
  <c r="Q28" i="7" s="1"/>
  <c r="S28" i="7" s="1"/>
  <c r="P28" i="7"/>
  <c r="P17" i="7"/>
  <c r="S17" i="7" s="1"/>
  <c r="S25" i="7" s="1"/>
  <c r="P27" i="7"/>
  <c r="Q25" i="7"/>
  <c r="Q26" i="7" s="1"/>
  <c r="R17" i="7"/>
  <c r="R25" i="7" s="1"/>
  <c r="R26" i="7" s="1"/>
  <c r="Q7" i="7"/>
  <c r="P7" i="7"/>
  <c r="Q6" i="7"/>
  <c r="P6" i="7"/>
  <c r="S6" i="7" s="1"/>
  <c r="R6" i="7"/>
  <c r="Q14" i="7" l="1"/>
  <c r="Q15" i="7" s="1"/>
  <c r="S26" i="7"/>
  <c r="AD141" i="46"/>
  <c r="R7" i="7"/>
  <c r="R14" i="7" s="1"/>
  <c r="R15" i="7" s="1"/>
  <c r="AD143" i="46"/>
  <c r="T141" i="46"/>
  <c r="K140" i="46"/>
  <c r="V141" i="46"/>
  <c r="P141" i="46"/>
  <c r="U140" i="46"/>
  <c r="U141" i="46"/>
  <c r="AD142" i="46"/>
  <c r="AD140" i="46"/>
  <c r="AC142" i="46"/>
  <c r="V142" i="46"/>
  <c r="C142" i="46"/>
  <c r="K141" i="46"/>
  <c r="P142" i="46"/>
  <c r="U142" i="46"/>
  <c r="C140" i="46"/>
  <c r="V140" i="46"/>
  <c r="T140" i="46"/>
  <c r="Z25" i="7"/>
  <c r="Y25" i="7"/>
  <c r="X25" i="7"/>
  <c r="X26" i="7" s="1"/>
  <c r="R28" i="7"/>
  <c r="Q35" i="7"/>
  <c r="Q36" i="7" s="1"/>
  <c r="Q40" i="7" s="1"/>
  <c r="S27" i="7"/>
  <c r="R27" i="7"/>
  <c r="S35" i="7"/>
  <c r="S36" i="7" s="1"/>
  <c r="S7" i="7"/>
  <c r="S14" i="7" s="1"/>
  <c r="S15" i="7" s="1"/>
  <c r="AP34" i="48"/>
  <c r="AP33" i="48"/>
  <c r="AR138" i="57"/>
  <c r="BA138" i="57" s="1"/>
  <c r="AM138" i="57"/>
  <c r="AD138" i="57" s="1"/>
  <c r="AR137" i="57"/>
  <c r="BA137" i="57" s="1"/>
  <c r="AM137" i="57"/>
  <c r="AD137" i="57" s="1"/>
  <c r="AR136" i="57"/>
  <c r="BA136" i="57" s="1"/>
  <c r="AM136" i="57"/>
  <c r="AR135" i="57"/>
  <c r="BA135" i="57" s="1"/>
  <c r="AM135" i="57"/>
  <c r="AR133" i="57"/>
  <c r="BA133" i="57" s="1"/>
  <c r="AM133" i="57"/>
  <c r="AD133" i="57" s="1"/>
  <c r="AR132" i="57"/>
  <c r="BA132" i="57" s="1"/>
  <c r="AM132" i="57"/>
  <c r="AD132" i="57" s="1"/>
  <c r="AR131" i="57"/>
  <c r="BA131" i="57" s="1"/>
  <c r="AM131" i="57"/>
  <c r="S131" i="57"/>
  <c r="AR130" i="57"/>
  <c r="BA130" i="57" s="1"/>
  <c r="AM130" i="57"/>
  <c r="F76" i="47"/>
  <c r="F75" i="47"/>
  <c r="F74" i="47"/>
  <c r="E76" i="47"/>
  <c r="E75" i="47"/>
  <c r="E74" i="47"/>
  <c r="F72" i="47"/>
  <c r="F70" i="47"/>
  <c r="E72" i="47"/>
  <c r="E70" i="47"/>
  <c r="E71" i="47"/>
  <c r="G71" i="47" s="1"/>
  <c r="K19" i="8"/>
  <c r="W136" i="57" s="1"/>
  <c r="C16" i="8"/>
  <c r="K10" i="8" s="1"/>
  <c r="W135" i="57" s="1"/>
  <c r="C17" i="9"/>
  <c r="K10" i="9" s="1"/>
  <c r="W131" i="57" s="1"/>
  <c r="C16" i="9"/>
  <c r="K9" i="9" s="1"/>
  <c r="W130" i="57" s="1"/>
  <c r="AQ35" i="2"/>
  <c r="AQ34" i="2"/>
  <c r="G35" i="2"/>
  <c r="G34" i="2"/>
  <c r="AD135" i="57" l="1"/>
  <c r="AD131" i="57"/>
  <c r="AD136" i="57"/>
  <c r="G74" i="47"/>
  <c r="AD130" i="57"/>
  <c r="AC141" i="46"/>
  <c r="W131" i="46"/>
  <c r="H70" i="47"/>
  <c r="AC140" i="46"/>
  <c r="N35" i="48"/>
  <c r="G75" i="47"/>
  <c r="W136" i="46"/>
  <c r="G76" i="47"/>
  <c r="H76" i="47" s="1"/>
  <c r="L35" i="48"/>
  <c r="X140" i="46"/>
  <c r="Y26" i="7"/>
  <c r="Z26" i="7"/>
  <c r="R35" i="7"/>
  <c r="R36" i="7" s="1"/>
  <c r="W135" i="46"/>
  <c r="W130" i="46"/>
  <c r="G72" i="47"/>
  <c r="H72" i="47" s="1"/>
  <c r="H74" i="47"/>
  <c r="G70" i="47"/>
  <c r="T130" i="57" l="1"/>
  <c r="V136" i="57"/>
  <c r="O130" i="46"/>
  <c r="O136" i="46"/>
  <c r="O131" i="46"/>
  <c r="O135" i="46"/>
  <c r="P130" i="57"/>
  <c r="U130" i="57" l="1"/>
  <c r="V130" i="57"/>
  <c r="U136" i="57"/>
  <c r="T136" i="57"/>
  <c r="P136" i="57"/>
  <c r="T131" i="57"/>
  <c r="AC131" i="57" s="1"/>
  <c r="V131" i="57"/>
  <c r="P131" i="57"/>
  <c r="U131" i="57"/>
  <c r="P135" i="57"/>
  <c r="V135" i="57"/>
  <c r="U135" i="57"/>
  <c r="AA135" i="57" s="1"/>
  <c r="T135" i="57"/>
  <c r="AC135" i="57" s="1"/>
  <c r="J136" i="46"/>
  <c r="N136" i="46"/>
  <c r="T136" i="46"/>
  <c r="P135" i="46"/>
  <c r="N135" i="46"/>
  <c r="J135" i="46"/>
  <c r="AR138" i="46"/>
  <c r="BA138" i="46" s="1"/>
  <c r="AM138" i="46"/>
  <c r="AR137" i="46"/>
  <c r="BA137" i="46" s="1"/>
  <c r="AM137" i="46"/>
  <c r="AC137" i="46"/>
  <c r="AR136" i="46"/>
  <c r="BA136" i="46" s="1"/>
  <c r="AM136" i="46"/>
  <c r="Z136" i="46"/>
  <c r="AR135" i="46"/>
  <c r="BA135" i="46" s="1"/>
  <c r="AM135" i="46"/>
  <c r="Z135" i="46"/>
  <c r="S131" i="46"/>
  <c r="AR133" i="46"/>
  <c r="BA133" i="46" s="1"/>
  <c r="AM133" i="46"/>
  <c r="AR132" i="46"/>
  <c r="BA132" i="46" s="1"/>
  <c r="AM132" i="46"/>
  <c r="AC132" i="46"/>
  <c r="AR131" i="46"/>
  <c r="BA131" i="46" s="1"/>
  <c r="AM131" i="46"/>
  <c r="Z131" i="46"/>
  <c r="N131" i="46"/>
  <c r="K131" i="46" s="1"/>
  <c r="J131" i="46"/>
  <c r="AR130" i="46"/>
  <c r="BA130" i="46" s="1"/>
  <c r="AM130" i="46"/>
  <c r="Z130" i="46"/>
  <c r="N130" i="46"/>
  <c r="V130" i="46" s="1"/>
  <c r="I38" i="8"/>
  <c r="I74" i="47" s="1"/>
  <c r="Q39" i="8"/>
  <c r="Y23" i="8"/>
  <c r="Z23" i="8"/>
  <c r="X22" i="8"/>
  <c r="Y22" i="8" s="1"/>
  <c r="W22" i="8"/>
  <c r="Z22" i="8" s="1"/>
  <c r="X21" i="8"/>
  <c r="Y21" i="8" s="1"/>
  <c r="W21" i="8"/>
  <c r="X20" i="8"/>
  <c r="Y20" i="8" s="1"/>
  <c r="W20" i="8"/>
  <c r="X19" i="8"/>
  <c r="Y19" i="8" s="1"/>
  <c r="W19" i="8"/>
  <c r="Z19" i="8" s="1"/>
  <c r="X18" i="8"/>
  <c r="W18" i="8"/>
  <c r="Z18" i="8" s="1"/>
  <c r="X14" i="8"/>
  <c r="X15" i="8" s="1"/>
  <c r="Y7" i="8"/>
  <c r="Z7" i="8"/>
  <c r="Y6" i="8"/>
  <c r="W6" i="8"/>
  <c r="Z6" i="8" s="1"/>
  <c r="G42" i="9"/>
  <c r="I37" i="9" s="1"/>
  <c r="F42" i="9"/>
  <c r="G42" i="8"/>
  <c r="I37" i="8" s="1"/>
  <c r="F42" i="8"/>
  <c r="O28" i="8"/>
  <c r="R28" i="8" s="1"/>
  <c r="P27" i="8"/>
  <c r="S27" i="8" s="1"/>
  <c r="Q35" i="8"/>
  <c r="Q36" i="8" s="1"/>
  <c r="R27" i="8"/>
  <c r="Q22" i="8"/>
  <c r="Q21" i="8"/>
  <c r="R21" i="8" s="1"/>
  <c r="Q20" i="8"/>
  <c r="R20" i="8" s="1"/>
  <c r="Q19" i="8"/>
  <c r="R19" i="8" s="1"/>
  <c r="Q18" i="8"/>
  <c r="R22" i="8"/>
  <c r="P22" i="8"/>
  <c r="P21" i="8"/>
  <c r="P20" i="8"/>
  <c r="P19" i="8"/>
  <c r="P18" i="8"/>
  <c r="Q17" i="8"/>
  <c r="P17" i="8"/>
  <c r="S17" i="8" s="1"/>
  <c r="R17" i="8"/>
  <c r="P6" i="8"/>
  <c r="S6" i="8" s="1"/>
  <c r="P7" i="8"/>
  <c r="F26" i="9"/>
  <c r="I38" i="9"/>
  <c r="I70" i="47" s="1"/>
  <c r="Q40" i="9"/>
  <c r="Y29" i="9"/>
  <c r="Z29" i="9"/>
  <c r="Y30" i="9"/>
  <c r="Z30" i="9"/>
  <c r="X36" i="9"/>
  <c r="X37" i="9" s="1"/>
  <c r="Y28" i="9"/>
  <c r="W28" i="9"/>
  <c r="Z28" i="9" s="1"/>
  <c r="Y8" i="9"/>
  <c r="Z8" i="9"/>
  <c r="W7" i="9"/>
  <c r="X6" i="9"/>
  <c r="Y6" i="9" s="1"/>
  <c r="W6" i="9"/>
  <c r="Z6" i="9" s="1"/>
  <c r="R29" i="9"/>
  <c r="S29" i="9"/>
  <c r="R28" i="9"/>
  <c r="P28" i="9"/>
  <c r="S28" i="9" s="1"/>
  <c r="Q17" i="9"/>
  <c r="R17" i="9" s="1"/>
  <c r="P18" i="9"/>
  <c r="P17" i="9"/>
  <c r="Q6" i="9"/>
  <c r="Q7" i="9" s="1"/>
  <c r="P7" i="9"/>
  <c r="P6" i="9"/>
  <c r="S6" i="9" s="1"/>
  <c r="AC136" i="57" l="1"/>
  <c r="AA130" i="57"/>
  <c r="S22" i="8"/>
  <c r="Q25" i="8"/>
  <c r="Q26" i="8" s="1"/>
  <c r="AB135" i="57"/>
  <c r="AC130" i="57"/>
  <c r="AB130" i="57" s="1"/>
  <c r="X130" i="57"/>
  <c r="AD130" i="46"/>
  <c r="X135" i="57"/>
  <c r="BA33" i="48"/>
  <c r="R18" i="8"/>
  <c r="R25" i="8" s="1"/>
  <c r="R26" i="8" s="1"/>
  <c r="AD137" i="46"/>
  <c r="AD131" i="46"/>
  <c r="S19" i="8"/>
  <c r="X25" i="8"/>
  <c r="X26" i="8" s="1"/>
  <c r="S20" i="8"/>
  <c r="S7" i="9"/>
  <c r="S21" i="8"/>
  <c r="Z21" i="8"/>
  <c r="AD132" i="46"/>
  <c r="AD138" i="46"/>
  <c r="AD133" i="46"/>
  <c r="BA34" i="48"/>
  <c r="Z14" i="8"/>
  <c r="Z15" i="8" s="1"/>
  <c r="Z20" i="8"/>
  <c r="P136" i="46"/>
  <c r="V136" i="46"/>
  <c r="K136" i="46"/>
  <c r="AC136" i="46" s="1"/>
  <c r="U136" i="46"/>
  <c r="C136" i="46"/>
  <c r="T135" i="46"/>
  <c r="P131" i="46"/>
  <c r="K130" i="46"/>
  <c r="L33" i="48" s="1"/>
  <c r="AD135" i="46"/>
  <c r="C135" i="46"/>
  <c r="K135" i="46"/>
  <c r="V135" i="46"/>
  <c r="U135" i="46"/>
  <c r="AD136" i="46"/>
  <c r="U131" i="46"/>
  <c r="V131" i="46"/>
  <c r="T130" i="46"/>
  <c r="C130" i="46"/>
  <c r="U130" i="46"/>
  <c r="P130" i="46"/>
  <c r="J130" i="46"/>
  <c r="T131" i="46"/>
  <c r="AC131" i="46" s="1"/>
  <c r="C131" i="46"/>
  <c r="Y14" i="8"/>
  <c r="Y15" i="8" s="1"/>
  <c r="Y18" i="8"/>
  <c r="P28" i="8"/>
  <c r="S28" i="8" s="1"/>
  <c r="S35" i="8" s="1"/>
  <c r="S36" i="8" s="1"/>
  <c r="R35" i="8"/>
  <c r="R36" i="8" s="1"/>
  <c r="S18" i="8"/>
  <c r="S7" i="8"/>
  <c r="S14" i="8" s="1"/>
  <c r="R7" i="8"/>
  <c r="Q14" i="8"/>
  <c r="Q15" i="8" s="1"/>
  <c r="R6" i="8"/>
  <c r="Y36" i="9"/>
  <c r="Y37" i="9" s="1"/>
  <c r="Z36" i="9"/>
  <c r="Z37" i="9" s="1"/>
  <c r="X7" i="9"/>
  <c r="Z7" i="9" s="1"/>
  <c r="Z14" i="9" s="1"/>
  <c r="S36" i="9"/>
  <c r="R36" i="9"/>
  <c r="Q36" i="9"/>
  <c r="Q37" i="9" s="1"/>
  <c r="Q18" i="9"/>
  <c r="R18" i="9" s="1"/>
  <c r="R25" i="9" s="1"/>
  <c r="S17" i="9"/>
  <c r="R7" i="9"/>
  <c r="Q14" i="9"/>
  <c r="Q15" i="9" s="1"/>
  <c r="R6" i="9"/>
  <c r="S14" i="9"/>
  <c r="AR128" i="57"/>
  <c r="BA128" i="57" s="1"/>
  <c r="AM128" i="57"/>
  <c r="AR127" i="57"/>
  <c r="BA127" i="57" s="1"/>
  <c r="AM127" i="57"/>
  <c r="AR126" i="57"/>
  <c r="BA126" i="57" s="1"/>
  <c r="AM126" i="57"/>
  <c r="S126" i="57"/>
  <c r="AR125" i="57"/>
  <c r="BA125" i="57" s="1"/>
  <c r="AM125" i="57"/>
  <c r="P27" i="10"/>
  <c r="P17" i="10"/>
  <c r="P7" i="10"/>
  <c r="AD127" i="57" l="1"/>
  <c r="AD128" i="57"/>
  <c r="AD125" i="57"/>
  <c r="R14" i="9"/>
  <c r="R15" i="9" s="1"/>
  <c r="S25" i="8"/>
  <c r="S26" i="8" s="1"/>
  <c r="AD126" i="57"/>
  <c r="X14" i="9"/>
  <c r="X15" i="9" s="1"/>
  <c r="Z25" i="8"/>
  <c r="Z26" i="8" s="1"/>
  <c r="Y25" i="8"/>
  <c r="Y26" i="8" s="1"/>
  <c r="AA135" i="46"/>
  <c r="N34" i="48"/>
  <c r="AC135" i="46"/>
  <c r="L34" i="48"/>
  <c r="N33" i="48"/>
  <c r="AC130" i="46"/>
  <c r="X130" i="46"/>
  <c r="X135" i="46"/>
  <c r="AA130" i="46"/>
  <c r="S15" i="8"/>
  <c r="R14" i="8"/>
  <c r="R15" i="8" s="1"/>
  <c r="Y7" i="9"/>
  <c r="Y14" i="9" s="1"/>
  <c r="R37" i="9"/>
  <c r="S37" i="9"/>
  <c r="Q25" i="9"/>
  <c r="Q26" i="9" s="1"/>
  <c r="S18" i="9"/>
  <c r="S25" i="9" s="1"/>
  <c r="S15" i="9"/>
  <c r="AR123" i="57"/>
  <c r="BA123" i="57" s="1"/>
  <c r="AM123" i="57"/>
  <c r="AD123" i="57" s="1"/>
  <c r="AR122" i="57"/>
  <c r="BA122" i="57" s="1"/>
  <c r="AM122" i="57"/>
  <c r="AD122" i="57" s="1"/>
  <c r="AR121" i="57"/>
  <c r="BA121" i="57" s="1"/>
  <c r="AM121" i="57"/>
  <c r="AD121" i="57" s="1"/>
  <c r="U121" i="57"/>
  <c r="T121" i="57"/>
  <c r="AC121" i="57" s="1"/>
  <c r="AR120" i="57"/>
  <c r="BA120" i="57" s="1"/>
  <c r="AM120" i="57"/>
  <c r="AD120" i="57" s="1"/>
  <c r="G125" i="46"/>
  <c r="G121" i="46"/>
  <c r="S26" i="9" l="1"/>
  <c r="P121" i="57"/>
  <c r="R26" i="9"/>
  <c r="AB135" i="46"/>
  <c r="AB130" i="46"/>
  <c r="Y15" i="9"/>
  <c r="Z15" i="9"/>
  <c r="V121" i="57"/>
  <c r="Z126" i="46"/>
  <c r="Z125" i="46"/>
  <c r="C17" i="10"/>
  <c r="C16" i="10"/>
  <c r="C8" i="10"/>
  <c r="K9" i="10" s="1"/>
  <c r="W126" i="57" s="1"/>
  <c r="C7" i="10"/>
  <c r="K8" i="10" s="1"/>
  <c r="W125" i="57" s="1"/>
  <c r="F67" i="47"/>
  <c r="F68" i="47"/>
  <c r="F66" i="47"/>
  <c r="E68" i="47"/>
  <c r="E66" i="47"/>
  <c r="E67" i="47"/>
  <c r="H67" i="47" l="1"/>
  <c r="G68" i="47"/>
  <c r="W125" i="46"/>
  <c r="W126" i="46"/>
  <c r="O126" i="46"/>
  <c r="AP32" i="48"/>
  <c r="G67" i="47"/>
  <c r="G66" i="47"/>
  <c r="H66" i="47" s="1"/>
  <c r="O125" i="46" l="1"/>
  <c r="U126" i="57"/>
  <c r="P126" i="57"/>
  <c r="T126" i="57"/>
  <c r="V126" i="57"/>
  <c r="AQ33" i="2"/>
  <c r="AU33" i="2"/>
  <c r="G33" i="2"/>
  <c r="AC126" i="57" l="1"/>
  <c r="X125" i="57"/>
  <c r="P125" i="57"/>
  <c r="U125" i="57"/>
  <c r="AA125" i="57" s="1"/>
  <c r="V125" i="57"/>
  <c r="T125" i="57"/>
  <c r="AC125" i="57" s="1"/>
  <c r="S126" i="46"/>
  <c r="P126" i="46" s="1"/>
  <c r="U125" i="46"/>
  <c r="N125" i="46"/>
  <c r="H125" i="46" s="1"/>
  <c r="AR128" i="46"/>
  <c r="BA128" i="46" s="1"/>
  <c r="AM128" i="46"/>
  <c r="AR127" i="46"/>
  <c r="BA127" i="46" s="1"/>
  <c r="AM127" i="46"/>
  <c r="AC127" i="46"/>
  <c r="AR126" i="46"/>
  <c r="BA126" i="46" s="1"/>
  <c r="AM126" i="46"/>
  <c r="T126" i="46"/>
  <c r="N126" i="46"/>
  <c r="K126" i="46"/>
  <c r="AR125" i="46"/>
  <c r="BA125" i="46" s="1"/>
  <c r="AM125" i="46"/>
  <c r="F17" i="10"/>
  <c r="F9" i="10"/>
  <c r="I38" i="10"/>
  <c r="I66" i="47" s="1"/>
  <c r="Q41" i="10"/>
  <c r="Y28" i="10"/>
  <c r="Z28" i="10"/>
  <c r="Y29" i="10"/>
  <c r="Z29" i="10"/>
  <c r="X35" i="10"/>
  <c r="X36" i="10" s="1"/>
  <c r="Y27" i="10"/>
  <c r="Z27" i="10"/>
  <c r="Q35" i="10"/>
  <c r="Q36" i="10" s="1"/>
  <c r="R27" i="10"/>
  <c r="R35" i="10" s="1"/>
  <c r="R36" i="10" s="1"/>
  <c r="S27" i="10"/>
  <c r="S35" i="10" s="1"/>
  <c r="S36" i="10" s="1"/>
  <c r="R17" i="10"/>
  <c r="S17" i="10"/>
  <c r="Q6" i="10"/>
  <c r="R6" i="10" s="1"/>
  <c r="P6" i="10"/>
  <c r="AB125" i="57" l="1"/>
  <c r="Q7" i="10"/>
  <c r="R7" i="10" s="1"/>
  <c r="R14" i="10" s="1"/>
  <c r="AD125" i="46"/>
  <c r="AD128" i="46"/>
  <c r="S6" i="10"/>
  <c r="Z35" i="10"/>
  <c r="Z36" i="10" s="1"/>
  <c r="BA32" i="48"/>
  <c r="V125" i="46"/>
  <c r="Y35" i="10"/>
  <c r="Y36" i="10" s="1"/>
  <c r="AD127" i="46"/>
  <c r="AD126" i="46"/>
  <c r="U126" i="46"/>
  <c r="AC126" i="46"/>
  <c r="AA125" i="46"/>
  <c r="J125" i="46"/>
  <c r="K125" i="46"/>
  <c r="P125" i="46"/>
  <c r="C125" i="46"/>
  <c r="T125" i="46"/>
  <c r="V126" i="46"/>
  <c r="J126" i="46"/>
  <c r="C126" i="46"/>
  <c r="S25" i="10"/>
  <c r="S26" i="10" s="1"/>
  <c r="R25" i="10"/>
  <c r="Q25" i="10"/>
  <c r="Q26" i="10" s="1"/>
  <c r="O121" i="46"/>
  <c r="N32" i="48" l="1"/>
  <c r="X125" i="46"/>
  <c r="L32" i="48"/>
  <c r="AC125" i="46"/>
  <c r="AB125" i="46" s="1"/>
  <c r="R26" i="10"/>
  <c r="S7" i="10"/>
  <c r="S14" i="10" s="1"/>
  <c r="Q14" i="10"/>
  <c r="Q15" i="10" s="1"/>
  <c r="AP31" i="48"/>
  <c r="F64" i="47"/>
  <c r="E64" i="47"/>
  <c r="S15" i="10" l="1"/>
  <c r="R15" i="10"/>
  <c r="G64" i="47"/>
  <c r="H64" i="47" s="1"/>
  <c r="AU32" i="2"/>
  <c r="G32" i="2"/>
  <c r="O120" i="46" l="1"/>
  <c r="I38" i="11"/>
  <c r="I64" i="47" s="1"/>
  <c r="P6" i="11"/>
  <c r="U120" i="57" l="1"/>
  <c r="V120" i="57"/>
  <c r="T120" i="57"/>
  <c r="AC120" i="57" s="1"/>
  <c r="P120" i="57"/>
  <c r="N121" i="46"/>
  <c r="H121" i="46" s="1"/>
  <c r="C121" i="46"/>
  <c r="W121" i="46"/>
  <c r="AR123" i="46"/>
  <c r="BA123" i="46" s="1"/>
  <c r="AM123" i="46"/>
  <c r="AR122" i="46"/>
  <c r="BA122" i="46" s="1"/>
  <c r="AM122" i="46"/>
  <c r="AD122" i="46" s="1"/>
  <c r="AC122" i="46"/>
  <c r="AR121" i="46"/>
  <c r="BA121" i="46" s="1"/>
  <c r="AM121" i="46"/>
  <c r="AR120" i="46"/>
  <c r="BA120" i="46" s="1"/>
  <c r="AM120" i="46"/>
  <c r="Z120" i="46"/>
  <c r="U120" i="46"/>
  <c r="N120" i="46"/>
  <c r="H120" i="46" s="1"/>
  <c r="G120" i="46"/>
  <c r="I37" i="11"/>
  <c r="Q37" i="11"/>
  <c r="Q39" i="11" s="1"/>
  <c r="Q27" i="11"/>
  <c r="Q28" i="11" s="1"/>
  <c r="P28" i="11"/>
  <c r="P27" i="11"/>
  <c r="P17" i="11"/>
  <c r="S17" i="11" s="1"/>
  <c r="S25" i="11" s="1"/>
  <c r="Q25" i="11"/>
  <c r="Q26" i="11" s="1"/>
  <c r="R17" i="11"/>
  <c r="R25" i="11" s="1"/>
  <c r="R26" i="11" s="1"/>
  <c r="S6" i="11"/>
  <c r="S14" i="11" s="1"/>
  <c r="Q14" i="11"/>
  <c r="Q15" i="11" s="1"/>
  <c r="R6" i="11"/>
  <c r="R14" i="11" s="1"/>
  <c r="R27" i="11" l="1"/>
  <c r="R15" i="11"/>
  <c r="Q35" i="11"/>
  <c r="Q36" i="11" s="1"/>
  <c r="R28" i="11"/>
  <c r="R35" i="11" s="1"/>
  <c r="S28" i="11"/>
  <c r="S26" i="11"/>
  <c r="AD120" i="46"/>
  <c r="AD123" i="46"/>
  <c r="S27" i="11"/>
  <c r="AD121" i="46"/>
  <c r="BA31" i="48"/>
  <c r="V121" i="46"/>
  <c r="V120" i="46"/>
  <c r="J121" i="46"/>
  <c r="K121" i="46"/>
  <c r="P121" i="46"/>
  <c r="U121" i="46"/>
  <c r="T121" i="46"/>
  <c r="J120" i="46"/>
  <c r="K120" i="46"/>
  <c r="P120" i="46"/>
  <c r="C120" i="46"/>
  <c r="N31" i="48" s="1"/>
  <c r="T120" i="46"/>
  <c r="S15" i="11"/>
  <c r="S35" i="11" l="1"/>
  <c r="S36" i="11" s="1"/>
  <c r="R36" i="11"/>
  <c r="AC120" i="46"/>
  <c r="L31" i="48"/>
  <c r="AC121" i="46"/>
  <c r="AP30" i="48" l="1"/>
  <c r="AR118" i="57"/>
  <c r="BA118" i="57" s="1"/>
  <c r="AM118" i="57"/>
  <c r="AR117" i="57"/>
  <c r="BA117" i="57" s="1"/>
  <c r="AM117" i="57"/>
  <c r="AD117" i="57" s="1"/>
  <c r="AR116" i="57"/>
  <c r="BA116" i="57" s="1"/>
  <c r="AM116" i="57"/>
  <c r="AD116" i="57" s="1"/>
  <c r="AR115" i="57"/>
  <c r="BA115" i="57" s="1"/>
  <c r="AM115" i="57"/>
  <c r="Z115" i="46"/>
  <c r="E62" i="47"/>
  <c r="G62" i="47" s="1"/>
  <c r="H62" i="47" s="1"/>
  <c r="AD118" i="57" l="1"/>
  <c r="AD115" i="57"/>
  <c r="O115" i="46"/>
  <c r="U115" i="57"/>
  <c r="T115" i="57"/>
  <c r="P115" i="57"/>
  <c r="AC115" i="57" l="1"/>
  <c r="V115" i="57"/>
  <c r="BA30" i="48" l="1"/>
  <c r="AU31" i="2"/>
  <c r="G31" i="2"/>
  <c r="AR52" i="57" l="1"/>
  <c r="BA52" i="57" s="1"/>
  <c r="AM52" i="57"/>
  <c r="AD52" i="57" s="1"/>
  <c r="AR51" i="57"/>
  <c r="BA51" i="57" s="1"/>
  <c r="AD51" i="57" s="1"/>
  <c r="AR50" i="57"/>
  <c r="BA50" i="57" s="1"/>
  <c r="AM50" i="57"/>
  <c r="AD50" i="57" s="1"/>
  <c r="AR51" i="46"/>
  <c r="BA51" i="46" s="1"/>
  <c r="AD51" i="46" s="1"/>
  <c r="F26" i="12" l="1"/>
  <c r="AR118" i="46"/>
  <c r="BA118" i="46" s="1"/>
  <c r="AM118" i="46"/>
  <c r="AR117" i="46"/>
  <c r="BA117" i="46" s="1"/>
  <c r="AM117" i="46"/>
  <c r="AC117" i="46"/>
  <c r="AR116" i="46"/>
  <c r="BA116" i="46" s="1"/>
  <c r="AM116" i="46"/>
  <c r="AC116" i="46"/>
  <c r="AR115" i="46"/>
  <c r="BA115" i="46" s="1"/>
  <c r="AM115" i="46"/>
  <c r="AD115" i="46" s="1"/>
  <c r="T115" i="46"/>
  <c r="N115" i="46"/>
  <c r="H115" i="46" s="1"/>
  <c r="G115" i="46"/>
  <c r="F9" i="12"/>
  <c r="I38" i="12"/>
  <c r="I62" i="47" s="1"/>
  <c r="G42" i="12"/>
  <c r="I37" i="12" s="1"/>
  <c r="F42" i="12"/>
  <c r="R8" i="12"/>
  <c r="P8" i="12"/>
  <c r="S8" i="12" s="1"/>
  <c r="Q14" i="12"/>
  <c r="Q15" i="12" s="1"/>
  <c r="P7" i="12"/>
  <c r="R6" i="12"/>
  <c r="P6" i="12"/>
  <c r="S6" i="12" s="1"/>
  <c r="AD116" i="46" l="1"/>
  <c r="AD118" i="46"/>
  <c r="U115" i="46"/>
  <c r="K115" i="46"/>
  <c r="AD117" i="46"/>
  <c r="J115" i="46"/>
  <c r="V115" i="46"/>
  <c r="P115" i="46"/>
  <c r="C115" i="46"/>
  <c r="N30" i="48" s="1"/>
  <c r="S7" i="12"/>
  <c r="S14" i="12" s="1"/>
  <c r="S15" i="12" s="1"/>
  <c r="R7" i="12"/>
  <c r="R14" i="12" s="1"/>
  <c r="R15" i="12" s="1"/>
  <c r="AC115" i="46" l="1"/>
  <c r="L30" i="48"/>
  <c r="AR113" i="57"/>
  <c r="BA113" i="57" s="1"/>
  <c r="AM113" i="57"/>
  <c r="AR112" i="57"/>
  <c r="BA112" i="57" s="1"/>
  <c r="AM112" i="57"/>
  <c r="AR111" i="57"/>
  <c r="BA111" i="57" s="1"/>
  <c r="AM111" i="57"/>
  <c r="AR110" i="57"/>
  <c r="BA110" i="57" s="1"/>
  <c r="AM110" i="57"/>
  <c r="AD110" i="57" s="1"/>
  <c r="E60" i="47"/>
  <c r="G60" i="47" s="1"/>
  <c r="H60" i="47" s="1"/>
  <c r="AD112" i="57" l="1"/>
  <c r="AD111" i="57"/>
  <c r="AD113" i="57"/>
  <c r="O110" i="46"/>
  <c r="U110" i="57"/>
  <c r="V110" i="57"/>
  <c r="P110" i="57"/>
  <c r="T110" i="57"/>
  <c r="AC110" i="57" s="1"/>
  <c r="AU30" i="2"/>
  <c r="G30" i="2"/>
  <c r="AP29" i="48" l="1"/>
  <c r="BA29" i="48" l="1"/>
  <c r="U110" i="46"/>
  <c r="N110" i="46"/>
  <c r="H110" i="46" s="1"/>
  <c r="G110" i="46"/>
  <c r="V110" i="46" s="1"/>
  <c r="AR113" i="46"/>
  <c r="BA113" i="46" s="1"/>
  <c r="AM113" i="46"/>
  <c r="AR112" i="46"/>
  <c r="BA112" i="46" s="1"/>
  <c r="AM112" i="46"/>
  <c r="AC112" i="46"/>
  <c r="AR111" i="46"/>
  <c r="BA111" i="46" s="1"/>
  <c r="AM111" i="46"/>
  <c r="AR110" i="46"/>
  <c r="BA110" i="46" s="1"/>
  <c r="AM110" i="46"/>
  <c r="I38" i="13"/>
  <c r="I60" i="47" s="1"/>
  <c r="G42" i="13"/>
  <c r="I37" i="13" s="1"/>
  <c r="F42" i="13"/>
  <c r="Y17" i="13"/>
  <c r="AA17" i="13"/>
  <c r="AA24" i="13" s="1"/>
  <c r="AA25" i="13" s="1"/>
  <c r="Z17" i="13"/>
  <c r="AC17" i="13" s="1"/>
  <c r="AB16" i="13"/>
  <c r="Z16" i="13"/>
  <c r="AC16" i="13" s="1"/>
  <c r="AA7" i="13"/>
  <c r="Y7" i="13"/>
  <c r="Z7" i="13" s="1"/>
  <c r="AD113" i="46" l="1"/>
  <c r="AD112" i="46"/>
  <c r="AD110" i="46"/>
  <c r="K110" i="46"/>
  <c r="L29" i="48" s="1"/>
  <c r="AD111" i="46"/>
  <c r="AC7" i="13"/>
  <c r="AB17" i="13"/>
  <c r="AB24" i="13" s="1"/>
  <c r="AB25" i="13" s="1"/>
  <c r="AC24" i="13"/>
  <c r="AC25" i="13" s="1"/>
  <c r="P110" i="46"/>
  <c r="C110" i="46"/>
  <c r="N29" i="48" s="1"/>
  <c r="T110" i="46"/>
  <c r="J110" i="46"/>
  <c r="AC111" i="46"/>
  <c r="AB7" i="13"/>
  <c r="AA14" i="13"/>
  <c r="AA15" i="13" s="1"/>
  <c r="AB6" i="13"/>
  <c r="AB14" i="13" s="1"/>
  <c r="AB15" i="13" s="1"/>
  <c r="Z6" i="13"/>
  <c r="AC6" i="13" s="1"/>
  <c r="AC14" i="13" s="1"/>
  <c r="AC15" i="13" s="1"/>
  <c r="AC110" i="46" l="1"/>
  <c r="AP28" i="48" l="1"/>
  <c r="AR108" i="57"/>
  <c r="BA108" i="57" s="1"/>
  <c r="AM108" i="57"/>
  <c r="AD108" i="57" s="1"/>
  <c r="AR107" i="57"/>
  <c r="BA107" i="57" s="1"/>
  <c r="AM107" i="57"/>
  <c r="S107" i="57"/>
  <c r="AR106" i="57"/>
  <c r="BA106" i="57" s="1"/>
  <c r="AM106" i="57"/>
  <c r="AD106" i="57" s="1"/>
  <c r="AR105" i="57"/>
  <c r="BA105" i="57" s="1"/>
  <c r="AM105" i="57"/>
  <c r="AD105" i="57" s="1"/>
  <c r="G107" i="46"/>
  <c r="Z107" i="46"/>
  <c r="K18" i="14"/>
  <c r="W107" i="57" s="1"/>
  <c r="K10" i="14"/>
  <c r="W106" i="57" s="1"/>
  <c r="K17" i="14"/>
  <c r="W105" i="57" s="1"/>
  <c r="AD107" i="57" l="1"/>
  <c r="W106" i="46"/>
  <c r="W107" i="46"/>
  <c r="W105" i="46"/>
  <c r="F56" i="47"/>
  <c r="E58" i="47"/>
  <c r="G58" i="47" s="1"/>
  <c r="H58" i="47" s="1"/>
  <c r="E57" i="47"/>
  <c r="G57" i="47" s="1"/>
  <c r="H57" i="47" s="1"/>
  <c r="E56" i="47"/>
  <c r="AQ29" i="2"/>
  <c r="G29" i="2"/>
  <c r="O106" i="46" l="1"/>
  <c r="T106" i="46" s="1"/>
  <c r="O105" i="46"/>
  <c r="C105" i="46" s="1"/>
  <c r="G56" i="47"/>
  <c r="H56" i="47" s="1"/>
  <c r="V106" i="57"/>
  <c r="T106" i="57"/>
  <c r="AC106" i="57" s="1"/>
  <c r="P106" i="57"/>
  <c r="U106" i="57"/>
  <c r="S107" i="46"/>
  <c r="N107" i="46"/>
  <c r="H107" i="46" s="1"/>
  <c r="AR108" i="46"/>
  <c r="BA108" i="46" s="1"/>
  <c r="AM108" i="46"/>
  <c r="AR107" i="46"/>
  <c r="BA107" i="46" s="1"/>
  <c r="AM107" i="46"/>
  <c r="AR106" i="46"/>
  <c r="BA106" i="46" s="1"/>
  <c r="AM106" i="46"/>
  <c r="N106" i="46"/>
  <c r="H106" i="46" s="1"/>
  <c r="J106" i="46" s="1"/>
  <c r="AR105" i="46"/>
  <c r="BA105" i="46" s="1"/>
  <c r="AM105" i="46"/>
  <c r="N105" i="46"/>
  <c r="Q42" i="14"/>
  <c r="Y9" i="14"/>
  <c r="Z9" i="14"/>
  <c r="X14" i="14"/>
  <c r="X15" i="14" s="1"/>
  <c r="Z8" i="14"/>
  <c r="Y8" i="14"/>
  <c r="Y7" i="14"/>
  <c r="Z7" i="14"/>
  <c r="Z6" i="14"/>
  <c r="Y6" i="14"/>
  <c r="F26" i="14"/>
  <c r="F17" i="14"/>
  <c r="F9" i="14"/>
  <c r="I38" i="14"/>
  <c r="I56" i="47" s="1"/>
  <c r="G42" i="14"/>
  <c r="I37" i="14" s="1"/>
  <c r="F42" i="14"/>
  <c r="Q28" i="14"/>
  <c r="P29" i="14"/>
  <c r="P28" i="14"/>
  <c r="P17" i="14"/>
  <c r="S17" i="14" s="1"/>
  <c r="S25" i="14" s="1"/>
  <c r="Q25" i="14"/>
  <c r="Q26" i="14" s="1"/>
  <c r="R17" i="14"/>
  <c r="Q8" i="14"/>
  <c r="Q7" i="14"/>
  <c r="R7" i="14" s="1"/>
  <c r="Q6" i="14"/>
  <c r="R6" i="14" s="1"/>
  <c r="P8" i="14"/>
  <c r="P7" i="14"/>
  <c r="P6" i="14"/>
  <c r="S7" i="14" l="1"/>
  <c r="S28" i="14"/>
  <c r="X105" i="57"/>
  <c r="AD105" i="46"/>
  <c r="AD108" i="46"/>
  <c r="Q29" i="14"/>
  <c r="S29" i="14" s="1"/>
  <c r="Z14" i="14"/>
  <c r="Z15" i="14" s="1"/>
  <c r="S6" i="14"/>
  <c r="Q14" i="14"/>
  <c r="Q15" i="14" s="1"/>
  <c r="O107" i="46"/>
  <c r="C107" i="46" s="1"/>
  <c r="T105" i="57"/>
  <c r="AC105" i="57" s="1"/>
  <c r="V105" i="57"/>
  <c r="P105" i="57"/>
  <c r="U105" i="57"/>
  <c r="U106" i="46"/>
  <c r="V105" i="46"/>
  <c r="AD107" i="46"/>
  <c r="AD106" i="46"/>
  <c r="V106" i="46"/>
  <c r="J107" i="46"/>
  <c r="K107" i="46"/>
  <c r="P105" i="46"/>
  <c r="K106" i="46"/>
  <c r="AC106" i="46" s="1"/>
  <c r="U105" i="46"/>
  <c r="H105" i="46"/>
  <c r="P106" i="46"/>
  <c r="T105" i="46"/>
  <c r="C106" i="46"/>
  <c r="Y14" i="14"/>
  <c r="Y15" i="14" s="1"/>
  <c r="R28" i="14"/>
  <c r="S26" i="14"/>
  <c r="R25" i="14"/>
  <c r="R26" i="14" s="1"/>
  <c r="R8" i="14"/>
  <c r="S8" i="14"/>
  <c r="R14" i="14"/>
  <c r="R15" i="14" s="1"/>
  <c r="T107" i="46" l="1"/>
  <c r="N28" i="48"/>
  <c r="U107" i="46"/>
  <c r="AA105" i="46" s="1"/>
  <c r="S36" i="14"/>
  <c r="R29" i="14"/>
  <c r="R36" i="14" s="1"/>
  <c r="R37" i="14" s="1"/>
  <c r="S14" i="14"/>
  <c r="S15" i="14" s="1"/>
  <c r="Q36" i="14"/>
  <c r="Q37" i="14" s="1"/>
  <c r="AC107" i="46"/>
  <c r="T107" i="57"/>
  <c r="AC107" i="57" s="1"/>
  <c r="U107" i="57"/>
  <c r="AA105" i="57" s="1"/>
  <c r="P107" i="57"/>
  <c r="V107" i="57"/>
  <c r="V107" i="46"/>
  <c r="P107" i="46"/>
  <c r="K105" i="46"/>
  <c r="L28" i="48" s="1"/>
  <c r="J105" i="46"/>
  <c r="AB105" i="57" l="1"/>
  <c r="S37" i="14"/>
  <c r="BA28" i="48"/>
  <c r="AC105" i="46"/>
  <c r="AB105" i="46" s="1"/>
  <c r="X105" i="46"/>
  <c r="AR103" i="57" l="1"/>
  <c r="BA103" i="57" s="1"/>
  <c r="AM103" i="57"/>
  <c r="AD103" i="57" s="1"/>
  <c r="AR102" i="57"/>
  <c r="BA102" i="57" s="1"/>
  <c r="AM102" i="57"/>
  <c r="AD102" i="57" s="1"/>
  <c r="AR101" i="57"/>
  <c r="BA101" i="57" s="1"/>
  <c r="AM101" i="57"/>
  <c r="AD101" i="57" s="1"/>
  <c r="S101" i="57"/>
  <c r="AR100" i="57"/>
  <c r="BA100" i="57" s="1"/>
  <c r="AM100" i="57"/>
  <c r="AR98" i="57"/>
  <c r="BA98" i="57" s="1"/>
  <c r="AM98" i="57"/>
  <c r="AD98" i="57" s="1"/>
  <c r="AR97" i="57"/>
  <c r="BA97" i="57" s="1"/>
  <c r="AM97" i="57"/>
  <c r="AD97" i="57" s="1"/>
  <c r="S97" i="57"/>
  <c r="AR96" i="57"/>
  <c r="BA96" i="57" s="1"/>
  <c r="AM96" i="57"/>
  <c r="AR95" i="57"/>
  <c r="BA95" i="57" s="1"/>
  <c r="AM95" i="57"/>
  <c r="AD95" i="57" s="1"/>
  <c r="AR93" i="57"/>
  <c r="BA93" i="57" s="1"/>
  <c r="AM93" i="57"/>
  <c r="AD93" i="57" s="1"/>
  <c r="AR92" i="57"/>
  <c r="BA92" i="57" s="1"/>
  <c r="AM92" i="57"/>
  <c r="AD92" i="57" s="1"/>
  <c r="AR91" i="57"/>
  <c r="BA91" i="57" s="1"/>
  <c r="AM91" i="57"/>
  <c r="AD91" i="57" s="1"/>
  <c r="AR90" i="57"/>
  <c r="BA90" i="57" s="1"/>
  <c r="AM90" i="57"/>
  <c r="AD90" i="57" s="1"/>
  <c r="AR88" i="57"/>
  <c r="BA88" i="57" s="1"/>
  <c r="AM88" i="57"/>
  <c r="AD88" i="57" s="1"/>
  <c r="AR87" i="57"/>
  <c r="BA87" i="57" s="1"/>
  <c r="AM87" i="57"/>
  <c r="AD87" i="57" s="1"/>
  <c r="AR86" i="57"/>
  <c r="BA86" i="57" s="1"/>
  <c r="AM86" i="57"/>
  <c r="AR85" i="57"/>
  <c r="BA85" i="57" s="1"/>
  <c r="AM85" i="57"/>
  <c r="AD85" i="57" s="1"/>
  <c r="Z97" i="46"/>
  <c r="W96" i="46"/>
  <c r="K17" i="15"/>
  <c r="W101" i="57" s="1"/>
  <c r="K16" i="15"/>
  <c r="W100" i="57" s="1"/>
  <c r="K14" i="16"/>
  <c r="W95" i="57" s="1"/>
  <c r="K16" i="16"/>
  <c r="W97" i="57" s="1"/>
  <c r="K15" i="16"/>
  <c r="W96" i="57" s="1"/>
  <c r="AD96" i="57" l="1"/>
  <c r="AD86" i="57"/>
  <c r="AD100" i="57"/>
  <c r="W101" i="46"/>
  <c r="W100" i="46"/>
  <c r="W97" i="46"/>
  <c r="W95" i="46"/>
  <c r="F53" i="47"/>
  <c r="F51" i="47"/>
  <c r="F50" i="47"/>
  <c r="E54" i="47"/>
  <c r="G54" i="47" s="1"/>
  <c r="H54" i="47" s="1"/>
  <c r="E53" i="47"/>
  <c r="E51" i="47"/>
  <c r="E50" i="47"/>
  <c r="E49" i="47"/>
  <c r="G49" i="47" s="1"/>
  <c r="H49" i="47" s="1"/>
  <c r="G50" i="47" l="1"/>
  <c r="H50" i="47" s="1"/>
  <c r="G51" i="47"/>
  <c r="H51" i="47" s="1"/>
  <c r="G53" i="47"/>
  <c r="H53" i="47" s="1"/>
  <c r="T100" i="57" s="1"/>
  <c r="O96" i="46"/>
  <c r="O95" i="46"/>
  <c r="T101" i="57"/>
  <c r="AC101" i="57" s="1"/>
  <c r="P101" i="57"/>
  <c r="V101" i="57"/>
  <c r="U101" i="57"/>
  <c r="O101" i="46"/>
  <c r="AP26" i="48"/>
  <c r="AP27" i="48"/>
  <c r="V100" i="57" l="1"/>
  <c r="P100" i="57"/>
  <c r="X95" i="57"/>
  <c r="O97" i="46"/>
  <c r="U100" i="57"/>
  <c r="AA100" i="57" s="1"/>
  <c r="O100" i="46"/>
  <c r="T96" i="57"/>
  <c r="P96" i="57"/>
  <c r="V96" i="57"/>
  <c r="U96" i="57"/>
  <c r="P95" i="57"/>
  <c r="T95" i="57"/>
  <c r="AC95" i="57" s="1"/>
  <c r="V95" i="57"/>
  <c r="U95" i="57"/>
  <c r="T97" i="57"/>
  <c r="U97" i="57"/>
  <c r="V97" i="57"/>
  <c r="P97" i="57"/>
  <c r="AQ28" i="2"/>
  <c r="AQ27" i="2"/>
  <c r="G28" i="2"/>
  <c r="G27" i="2"/>
  <c r="AC97" i="57" l="1"/>
  <c r="AC96" i="57"/>
  <c r="AC100" i="57"/>
  <c r="AB100" i="57" s="1"/>
  <c r="X100" i="57"/>
  <c r="AA95" i="57"/>
  <c r="AB95" i="57" s="1"/>
  <c r="BA27" i="48"/>
  <c r="BA26" i="48"/>
  <c r="S101" i="46"/>
  <c r="S97" i="46"/>
  <c r="P97" i="46" s="1"/>
  <c r="N101" i="46"/>
  <c r="H101" i="46" s="1"/>
  <c r="J101" i="46" s="1"/>
  <c r="C101" i="46"/>
  <c r="N96" i="46"/>
  <c r="H96" i="46" s="1"/>
  <c r="C96" i="46"/>
  <c r="T96" i="46"/>
  <c r="N97" i="46"/>
  <c r="H97" i="46" s="1"/>
  <c r="AR103" i="46"/>
  <c r="BA103" i="46" s="1"/>
  <c r="AM103" i="46"/>
  <c r="AR102" i="46"/>
  <c r="BA102" i="46" s="1"/>
  <c r="AM102" i="46"/>
  <c r="AR101" i="46"/>
  <c r="BA101" i="46" s="1"/>
  <c r="AM101" i="46"/>
  <c r="AR100" i="46"/>
  <c r="BA100" i="46" s="1"/>
  <c r="AM100" i="46"/>
  <c r="T100" i="46"/>
  <c r="N100" i="46"/>
  <c r="H100" i="46"/>
  <c r="K100" i="46" s="1"/>
  <c r="AR98" i="46"/>
  <c r="BA98" i="46" s="1"/>
  <c r="AM98" i="46"/>
  <c r="AR97" i="46"/>
  <c r="BA97" i="46" s="1"/>
  <c r="AM97" i="46"/>
  <c r="AR96" i="46"/>
  <c r="BA96" i="46" s="1"/>
  <c r="AM96" i="46"/>
  <c r="AR95" i="46"/>
  <c r="BA95" i="46" s="1"/>
  <c r="AM95" i="46"/>
  <c r="T95" i="46"/>
  <c r="N95" i="46"/>
  <c r="H95" i="46" s="1"/>
  <c r="K95" i="46" s="1"/>
  <c r="F26" i="15"/>
  <c r="I38" i="15"/>
  <c r="I53" i="47" s="1"/>
  <c r="Q40" i="15"/>
  <c r="X26" i="15"/>
  <c r="X27" i="15" s="1"/>
  <c r="Z20" i="15"/>
  <c r="Y20" i="15"/>
  <c r="Z19" i="15"/>
  <c r="Y19" i="15"/>
  <c r="Z18" i="15"/>
  <c r="Y18" i="15"/>
  <c r="Y7" i="15"/>
  <c r="Z7" i="15"/>
  <c r="Y8" i="15"/>
  <c r="Z8" i="15"/>
  <c r="X14" i="15"/>
  <c r="X15" i="15" s="1"/>
  <c r="Y6" i="15"/>
  <c r="W6" i="15"/>
  <c r="Z6" i="15" s="1"/>
  <c r="G42" i="15"/>
  <c r="I37" i="15" s="1"/>
  <c r="F42" i="15"/>
  <c r="P27" i="15"/>
  <c r="S27" i="15" s="1"/>
  <c r="S35" i="15" s="1"/>
  <c r="Q35" i="15"/>
  <c r="Q36" i="15" s="1"/>
  <c r="R27" i="15"/>
  <c r="R35" i="15" s="1"/>
  <c r="Q18" i="15"/>
  <c r="R18" i="15" s="1"/>
  <c r="Q17" i="15"/>
  <c r="R17" i="15" s="1"/>
  <c r="P18" i="15"/>
  <c r="P17" i="15"/>
  <c r="Q14" i="15"/>
  <c r="Q15" i="15" s="1"/>
  <c r="R6" i="15"/>
  <c r="R14" i="15" s="1"/>
  <c r="P6" i="15"/>
  <c r="S6" i="15" s="1"/>
  <c r="S14" i="15" s="1"/>
  <c r="I38" i="16"/>
  <c r="I49" i="47" s="1"/>
  <c r="Q40" i="16"/>
  <c r="Y30" i="16"/>
  <c r="Z30" i="16"/>
  <c r="Y31" i="16"/>
  <c r="Z31" i="16"/>
  <c r="Y29" i="16"/>
  <c r="Z29" i="16"/>
  <c r="Y28" i="16"/>
  <c r="Z28" i="16"/>
  <c r="X35" i="16"/>
  <c r="X36" i="16" s="1"/>
  <c r="Z27" i="16"/>
  <c r="R27" i="16"/>
  <c r="P27" i="16"/>
  <c r="S27" i="16" s="1"/>
  <c r="Q19" i="16"/>
  <c r="R19" i="16" s="1"/>
  <c r="Q18" i="16"/>
  <c r="R18" i="16" s="1"/>
  <c r="P19" i="16"/>
  <c r="S19" i="16" s="1"/>
  <c r="P18" i="16"/>
  <c r="P17" i="16"/>
  <c r="S17" i="16" s="1"/>
  <c r="Q8" i="16"/>
  <c r="R8" i="16" s="1"/>
  <c r="Q7" i="16"/>
  <c r="R7" i="16" s="1"/>
  <c r="Q6" i="16"/>
  <c r="R6" i="16" s="1"/>
  <c r="P8" i="16"/>
  <c r="P7" i="16"/>
  <c r="P6" i="16"/>
  <c r="AD103" i="46" l="1"/>
  <c r="S15" i="15"/>
  <c r="S8" i="16"/>
  <c r="Z26" i="15"/>
  <c r="Y14" i="15"/>
  <c r="AD101" i="46"/>
  <c r="R15" i="15"/>
  <c r="R36" i="15"/>
  <c r="AD102" i="46"/>
  <c r="S36" i="15"/>
  <c r="Q25" i="15"/>
  <c r="Q26" i="15" s="1"/>
  <c r="Q14" i="16"/>
  <c r="Q15" i="16" s="1"/>
  <c r="S6" i="16"/>
  <c r="Y26" i="15"/>
  <c r="Y27" i="15" s="1"/>
  <c r="Z14" i="15"/>
  <c r="Z15" i="15" s="1"/>
  <c r="Z27" i="15"/>
  <c r="AD96" i="46"/>
  <c r="S17" i="15"/>
  <c r="AD98" i="46"/>
  <c r="AC100" i="46"/>
  <c r="C95" i="46"/>
  <c r="V100" i="46"/>
  <c r="V95" i="46"/>
  <c r="U100" i="46"/>
  <c r="P96" i="46"/>
  <c r="V101" i="46"/>
  <c r="U95" i="46"/>
  <c r="T97" i="46"/>
  <c r="C100" i="46"/>
  <c r="N27" i="48" s="1"/>
  <c r="AD97" i="46"/>
  <c r="U101" i="46"/>
  <c r="P101" i="46"/>
  <c r="AC95" i="46"/>
  <c r="T101" i="46"/>
  <c r="K101" i="46"/>
  <c r="L27" i="48" s="1"/>
  <c r="K97" i="46"/>
  <c r="J97" i="46"/>
  <c r="J96" i="46"/>
  <c r="K96" i="46"/>
  <c r="AC96" i="46" s="1"/>
  <c r="V97" i="46"/>
  <c r="U97" i="46"/>
  <c r="C97" i="46"/>
  <c r="V96" i="46"/>
  <c r="U96" i="46"/>
  <c r="AD100" i="46"/>
  <c r="J100" i="46"/>
  <c r="P100" i="46"/>
  <c r="AD95" i="46"/>
  <c r="J95" i="46"/>
  <c r="P95" i="46"/>
  <c r="Y15" i="15"/>
  <c r="S18" i="15"/>
  <c r="R25" i="15"/>
  <c r="Z35" i="16"/>
  <c r="Z36" i="16" s="1"/>
  <c r="Y27" i="16"/>
  <c r="Y35" i="16" s="1"/>
  <c r="Y36" i="16" s="1"/>
  <c r="S35" i="16"/>
  <c r="R35" i="16"/>
  <c r="Q35" i="16"/>
  <c r="Q36" i="16" s="1"/>
  <c r="Q25" i="16"/>
  <c r="Q26" i="16" s="1"/>
  <c r="S18" i="16"/>
  <c r="S25" i="16" s="1"/>
  <c r="R17" i="16"/>
  <c r="R25" i="16" s="1"/>
  <c r="R26" i="16" s="1"/>
  <c r="S7" i="16"/>
  <c r="R14" i="16"/>
  <c r="R15" i="16" s="1"/>
  <c r="S14" i="16"/>
  <c r="S15" i="16" s="1"/>
  <c r="AA100" i="46" l="1"/>
  <c r="S25" i="15"/>
  <c r="S26" i="15" s="1"/>
  <c r="R26" i="15"/>
  <c r="R36" i="16"/>
  <c r="S26" i="16"/>
  <c r="AC97" i="46"/>
  <c r="N26" i="48"/>
  <c r="L26" i="48"/>
  <c r="AA95" i="46"/>
  <c r="X95" i="46"/>
  <c r="X100" i="46"/>
  <c r="AC101" i="46"/>
  <c r="AB100" i="46" s="1"/>
  <c r="S36" i="16"/>
  <c r="E47" i="47"/>
  <c r="G47" i="47" s="1"/>
  <c r="H47" i="47" s="1"/>
  <c r="AP25" i="48"/>
  <c r="AB95" i="46" l="1"/>
  <c r="O90" i="46"/>
  <c r="AQ26" i="2"/>
  <c r="G26" i="2"/>
  <c r="P90" i="57" l="1"/>
  <c r="U90" i="57"/>
  <c r="T90" i="57"/>
  <c r="AC90" i="57" s="1"/>
  <c r="V90" i="57"/>
  <c r="AR93" i="46"/>
  <c r="BA93" i="46" s="1"/>
  <c r="AM93" i="46"/>
  <c r="AR92" i="46"/>
  <c r="BA92" i="46" s="1"/>
  <c r="AM92" i="46"/>
  <c r="AR91" i="46"/>
  <c r="BA91" i="46" s="1"/>
  <c r="AM91" i="46"/>
  <c r="AC91" i="46"/>
  <c r="AR90" i="46"/>
  <c r="BA90" i="46" s="1"/>
  <c r="AM90" i="46"/>
  <c r="U90" i="46"/>
  <c r="T90" i="46"/>
  <c r="N90" i="46"/>
  <c r="V90" i="46" s="1"/>
  <c r="C90" i="46"/>
  <c r="N25" i="48" s="1"/>
  <c r="F26" i="17"/>
  <c r="I38" i="17"/>
  <c r="G42" i="17"/>
  <c r="I37" i="17" s="1"/>
  <c r="F42" i="17"/>
  <c r="Q14" i="17"/>
  <c r="Q15" i="17" s="1"/>
  <c r="R8" i="17"/>
  <c r="P8" i="17"/>
  <c r="S8" i="17" s="1"/>
  <c r="R7" i="17"/>
  <c r="P7" i="17"/>
  <c r="S7" i="17" s="1"/>
  <c r="R6" i="17"/>
  <c r="P6" i="17"/>
  <c r="S6" i="17" s="1"/>
  <c r="H90" i="46" l="1"/>
  <c r="J90" i="46" s="1"/>
  <c r="AD91" i="46"/>
  <c r="S14" i="17"/>
  <c r="S15" i="17" s="1"/>
  <c r="R14" i="17"/>
  <c r="R15" i="17" s="1"/>
  <c r="AD93" i="46"/>
  <c r="AD92" i="46"/>
  <c r="AD90" i="46"/>
  <c r="K90" i="46"/>
  <c r="P90" i="46"/>
  <c r="AQ25" i="2"/>
  <c r="G25" i="2"/>
  <c r="AC90" i="46" l="1"/>
  <c r="L25" i="48"/>
  <c r="AP24" i="48"/>
  <c r="E45" i="47"/>
  <c r="G45" i="47" s="1"/>
  <c r="H45" i="47" s="1"/>
  <c r="V85" i="57" l="1"/>
  <c r="U85" i="57"/>
  <c r="T85" i="57"/>
  <c r="P85" i="57"/>
  <c r="BA25" i="48"/>
  <c r="O85" i="46"/>
  <c r="AC85" i="57" l="1"/>
  <c r="BA24" i="48"/>
  <c r="KV10" i="1"/>
  <c r="KV11" i="1"/>
  <c r="KV12" i="1"/>
  <c r="KV13" i="1"/>
  <c r="KV14" i="1"/>
  <c r="KV15" i="1"/>
  <c r="KV16" i="1"/>
  <c r="KV17" i="1"/>
  <c r="KV18" i="1"/>
  <c r="KV19" i="1"/>
  <c r="KV20" i="1"/>
  <c r="KV21" i="1"/>
  <c r="KV22" i="1"/>
  <c r="KV23" i="1"/>
  <c r="KV24" i="1"/>
  <c r="KV25" i="1"/>
  <c r="KV26" i="1"/>
  <c r="KV27" i="1"/>
  <c r="KV28" i="1"/>
  <c r="KV29" i="1"/>
  <c r="KV30" i="1"/>
  <c r="KV31" i="1"/>
  <c r="KV32" i="1"/>
  <c r="KV33" i="1"/>
  <c r="KV34" i="1"/>
  <c r="KV36" i="1"/>
  <c r="KV37" i="1"/>
  <c r="KV38" i="1"/>
  <c r="KV39" i="1"/>
  <c r="KV9" i="1"/>
  <c r="I38" i="18" l="1"/>
  <c r="I45" i="47" s="1"/>
  <c r="AR88" i="46" l="1"/>
  <c r="BA88" i="46" s="1"/>
  <c r="AM88" i="46"/>
  <c r="AR87" i="46"/>
  <c r="BA87" i="46" s="1"/>
  <c r="AM87" i="46"/>
  <c r="AD87" i="46" s="1"/>
  <c r="AR86" i="46"/>
  <c r="BA86" i="46" s="1"/>
  <c r="AM86" i="46"/>
  <c r="AC86" i="46"/>
  <c r="AR85" i="46"/>
  <c r="BA85" i="46" s="1"/>
  <c r="AM85" i="46"/>
  <c r="P85" i="46"/>
  <c r="U85" i="46"/>
  <c r="N85" i="46"/>
  <c r="V85" i="46" s="1"/>
  <c r="Q14" i="18"/>
  <c r="Q15" i="18" s="1"/>
  <c r="R8" i="18"/>
  <c r="P8" i="18"/>
  <c r="S8" i="18" s="1"/>
  <c r="R7" i="18"/>
  <c r="P7" i="18"/>
  <c r="S7" i="18" s="1"/>
  <c r="R6" i="18"/>
  <c r="P6" i="18"/>
  <c r="S6" i="18" s="1"/>
  <c r="AD86" i="46" l="1"/>
  <c r="H85" i="46"/>
  <c r="J85" i="46" s="1"/>
  <c r="S14" i="18"/>
  <c r="S15" i="18" s="1"/>
  <c r="R14" i="18"/>
  <c r="R15" i="18" s="1"/>
  <c r="AD85" i="46"/>
  <c r="AD88" i="46"/>
  <c r="K85" i="46"/>
  <c r="T85" i="46"/>
  <c r="C85" i="46"/>
  <c r="N24" i="48" s="1"/>
  <c r="AQ24" i="2"/>
  <c r="G24" i="2"/>
  <c r="AC85" i="46" l="1"/>
  <c r="L24" i="48"/>
  <c r="AP23" i="48"/>
  <c r="AR83" i="57"/>
  <c r="BA83" i="57" s="1"/>
  <c r="AM83" i="57"/>
  <c r="AR82" i="57"/>
  <c r="BA82" i="57" s="1"/>
  <c r="AM82" i="57"/>
  <c r="AD82" i="57" s="1"/>
  <c r="AR81" i="57"/>
  <c r="BA81" i="57" s="1"/>
  <c r="AM81" i="57"/>
  <c r="AR80" i="57"/>
  <c r="BA80" i="57" s="1"/>
  <c r="AM80" i="57"/>
  <c r="E43" i="47"/>
  <c r="G43" i="47" s="1"/>
  <c r="H43" i="47" s="1"/>
  <c r="AD83" i="57" l="1"/>
  <c r="AD80" i="57"/>
  <c r="AD81" i="57"/>
  <c r="V80" i="57"/>
  <c r="P80" i="57"/>
  <c r="T80" i="57" l="1"/>
  <c r="AC80" i="57" s="1"/>
  <c r="U80" i="57"/>
  <c r="I38" i="19"/>
  <c r="I43" i="47" s="1"/>
  <c r="BA23" i="48" l="1"/>
  <c r="O80" i="46"/>
  <c r="U80" i="46" s="1"/>
  <c r="N80" i="46"/>
  <c r="H80" i="46" s="1"/>
  <c r="AR83" i="46"/>
  <c r="BA83" i="46" s="1"/>
  <c r="AM83" i="46"/>
  <c r="AR82" i="46"/>
  <c r="BA82" i="46" s="1"/>
  <c r="AM82" i="46"/>
  <c r="AR81" i="46"/>
  <c r="BA81" i="46" s="1"/>
  <c r="AM81" i="46"/>
  <c r="AR80" i="46"/>
  <c r="BA80" i="46" s="1"/>
  <c r="AM80" i="46"/>
  <c r="Z80" i="46"/>
  <c r="P7" i="19"/>
  <c r="S7" i="19" s="1"/>
  <c r="R7" i="19"/>
  <c r="P8" i="19"/>
  <c r="S8" i="19" s="1"/>
  <c r="R8" i="19"/>
  <c r="Q14" i="19"/>
  <c r="Q15" i="19" s="1"/>
  <c r="R6" i="19"/>
  <c r="P6" i="19"/>
  <c r="S6" i="19" s="1"/>
  <c r="R14" i="19" l="1"/>
  <c r="R15" i="19" s="1"/>
  <c r="AD81" i="46"/>
  <c r="AD83" i="46"/>
  <c r="AD82" i="46"/>
  <c r="AD80" i="46"/>
  <c r="V80" i="46"/>
  <c r="J80" i="46"/>
  <c r="K80" i="46"/>
  <c r="L23" i="48" s="1"/>
  <c r="P80" i="46"/>
  <c r="C80" i="46"/>
  <c r="N23" i="48" s="1"/>
  <c r="T80" i="46"/>
  <c r="S14" i="19"/>
  <c r="S15" i="19" s="1"/>
  <c r="N4" i="54"/>
  <c r="N3" i="54"/>
  <c r="O4" i="54"/>
  <c r="O3" i="54"/>
  <c r="M4" i="54"/>
  <c r="M3" i="54"/>
  <c r="L4" i="54"/>
  <c r="L3" i="54"/>
  <c r="K4" i="54"/>
  <c r="K3" i="54"/>
  <c r="J4" i="54"/>
  <c r="J3" i="54"/>
  <c r="I4" i="54"/>
  <c r="I3" i="54"/>
  <c r="H4" i="54"/>
  <c r="H3" i="54"/>
  <c r="G4" i="54"/>
  <c r="G3" i="54"/>
  <c r="F4" i="54"/>
  <c r="F3" i="54"/>
  <c r="E4" i="54"/>
  <c r="E3" i="54"/>
  <c r="D4" i="54"/>
  <c r="C4" i="54"/>
  <c r="C3" i="54"/>
  <c r="B4" i="54"/>
  <c r="B3" i="54"/>
  <c r="AC81" i="46" l="1"/>
  <c r="AC80" i="46" l="1"/>
  <c r="E20" i="45"/>
  <c r="I20" i="45"/>
  <c r="M20" i="45"/>
  <c r="E21" i="45"/>
  <c r="I21" i="45"/>
  <c r="M21" i="45"/>
  <c r="E22" i="45"/>
  <c r="I22" i="45"/>
  <c r="M22" i="45"/>
  <c r="E23" i="45"/>
  <c r="I23" i="45"/>
  <c r="M23" i="45"/>
  <c r="E24" i="45"/>
  <c r="I24" i="45"/>
  <c r="M24" i="45"/>
  <c r="E25" i="45"/>
  <c r="I25" i="45"/>
  <c r="M25" i="45"/>
  <c r="E26" i="45"/>
  <c r="I26" i="45"/>
  <c r="M26" i="45"/>
  <c r="E27" i="45"/>
  <c r="I27" i="45"/>
  <c r="M27" i="45"/>
  <c r="E28" i="45"/>
  <c r="I28" i="45"/>
  <c r="M28" i="45"/>
  <c r="E29" i="45"/>
  <c r="I29" i="45"/>
  <c r="M29" i="45"/>
  <c r="E30" i="45"/>
  <c r="I30" i="45"/>
  <c r="M30" i="45"/>
  <c r="E31" i="45"/>
  <c r="I31" i="45"/>
  <c r="M31" i="45"/>
  <c r="E32" i="45"/>
  <c r="I32" i="45"/>
  <c r="M32" i="45"/>
  <c r="E33" i="45"/>
  <c r="I33" i="45"/>
  <c r="M33" i="45"/>
  <c r="E34" i="45"/>
  <c r="I34" i="45"/>
  <c r="M34" i="45"/>
  <c r="E35" i="45"/>
  <c r="I35" i="45"/>
  <c r="M35" i="45"/>
  <c r="E36" i="45"/>
  <c r="I36" i="45"/>
  <c r="M36" i="45"/>
  <c r="E37" i="45"/>
  <c r="I37" i="45"/>
  <c r="M37" i="45"/>
  <c r="E38" i="45"/>
  <c r="I38" i="45"/>
  <c r="M38" i="45"/>
  <c r="P22" i="45" l="1"/>
  <c r="P35" i="45"/>
  <c r="P33" i="45"/>
  <c r="P32" i="45"/>
  <c r="P24" i="45"/>
  <c r="P30" i="45"/>
  <c r="P36" i="45"/>
  <c r="P34" i="45"/>
  <c r="P26" i="45"/>
  <c r="P38" i="45"/>
  <c r="P28" i="45"/>
  <c r="P27" i="45"/>
  <c r="P29" i="45"/>
  <c r="P37" i="45"/>
  <c r="P31" i="45"/>
  <c r="P25" i="45"/>
  <c r="P23" i="45"/>
  <c r="P21" i="45"/>
  <c r="P20" i="45"/>
  <c r="I46" i="22" s="1"/>
  <c r="AQ23" i="2"/>
  <c r="G23" i="2"/>
  <c r="AP22" i="48" l="1"/>
  <c r="Q69" i="57"/>
  <c r="R69" i="57"/>
  <c r="AY72" i="57"/>
  <c r="AM73" i="57"/>
  <c r="AD73" i="57" s="1"/>
  <c r="AR72" i="57"/>
  <c r="AM72" i="57"/>
  <c r="AR71" i="57"/>
  <c r="BA71" i="57" s="1"/>
  <c r="AM71" i="57"/>
  <c r="AR70" i="57"/>
  <c r="BA70" i="57" s="1"/>
  <c r="AM70" i="57"/>
  <c r="AR69" i="57"/>
  <c r="BA69" i="57" s="1"/>
  <c r="AM69" i="57"/>
  <c r="AR78" i="57"/>
  <c r="BA78" i="57" s="1"/>
  <c r="AM78" i="57"/>
  <c r="AD78" i="57" s="1"/>
  <c r="AR77" i="57"/>
  <c r="BA77" i="57" s="1"/>
  <c r="AM77" i="57"/>
  <c r="AR76" i="57"/>
  <c r="BA76" i="57" s="1"/>
  <c r="AM76" i="57"/>
  <c r="S76" i="57"/>
  <c r="AR75" i="57"/>
  <c r="BA75" i="57" s="1"/>
  <c r="AM75" i="57"/>
  <c r="K15" i="20"/>
  <c r="W75" i="57" s="1"/>
  <c r="C8" i="20"/>
  <c r="K14" i="20" s="1"/>
  <c r="W76" i="57" s="1"/>
  <c r="F40" i="47"/>
  <c r="E41" i="47"/>
  <c r="G41" i="47" s="1"/>
  <c r="H41" i="47" s="1"/>
  <c r="E40" i="47"/>
  <c r="E39" i="47"/>
  <c r="G39" i="47" s="1"/>
  <c r="C69" i="57" l="1"/>
  <c r="K69" i="57"/>
  <c r="AD69" i="57"/>
  <c r="AD76" i="57"/>
  <c r="AD70" i="57"/>
  <c r="AD75" i="57"/>
  <c r="AD77" i="57"/>
  <c r="AD71" i="57"/>
  <c r="W75" i="46"/>
  <c r="H39" i="47"/>
  <c r="P76" i="57" s="1"/>
  <c r="G40" i="47"/>
  <c r="W76" i="46"/>
  <c r="P70" i="57"/>
  <c r="O70" i="46"/>
  <c r="O75" i="46"/>
  <c r="BA72" i="57"/>
  <c r="AD72" i="57" s="1"/>
  <c r="U70" i="57" l="1"/>
  <c r="V70" i="57"/>
  <c r="T70" i="57"/>
  <c r="AC70" i="57" s="1"/>
  <c r="O76" i="46"/>
  <c r="V75" i="57"/>
  <c r="U76" i="57"/>
  <c r="T76" i="57"/>
  <c r="AC76" i="57" s="1"/>
  <c r="V76" i="57"/>
  <c r="T75" i="57"/>
  <c r="P75" i="57"/>
  <c r="U75" i="57"/>
  <c r="AC75" i="57" l="1"/>
  <c r="X75" i="57"/>
  <c r="AA75" i="57"/>
  <c r="AB75" i="57" s="1"/>
  <c r="BA22" i="48"/>
  <c r="AM78" i="46" l="1"/>
  <c r="AR78" i="46"/>
  <c r="BA78" i="46" s="1"/>
  <c r="S76" i="46"/>
  <c r="I38" i="20"/>
  <c r="I39" i="47" s="1"/>
  <c r="AD78" i="46" l="1"/>
  <c r="Q69" i="46"/>
  <c r="Y8" i="22"/>
  <c r="Z8" i="22"/>
  <c r="Y9" i="22"/>
  <c r="Z9" i="22"/>
  <c r="X14" i="22"/>
  <c r="X15" i="22" s="1"/>
  <c r="Z11" i="22"/>
  <c r="Y11" i="22"/>
  <c r="W11" i="22"/>
  <c r="Y10" i="22"/>
  <c r="Z10" i="22"/>
  <c r="Z7" i="22"/>
  <c r="Y7" i="22"/>
  <c r="Z6" i="22"/>
  <c r="Y6" i="22"/>
  <c r="X6" i="22"/>
  <c r="W6" i="22"/>
  <c r="N70" i="46"/>
  <c r="H70" i="46" s="1"/>
  <c r="C70" i="46"/>
  <c r="W70" i="46"/>
  <c r="R43" i="22"/>
  <c r="R45" i="22" s="1"/>
  <c r="Q27" i="22"/>
  <c r="Q28" i="22" s="1"/>
  <c r="R28" i="22" s="1"/>
  <c r="P28" i="22"/>
  <c r="N76" i="46"/>
  <c r="H76" i="46" s="1"/>
  <c r="U76" i="46"/>
  <c r="T76" i="46"/>
  <c r="AR77" i="46"/>
  <c r="BA77" i="46" s="1"/>
  <c r="AM77" i="46"/>
  <c r="AR76" i="46"/>
  <c r="BA76" i="46" s="1"/>
  <c r="AM76" i="46"/>
  <c r="AR75" i="46"/>
  <c r="BA75" i="46" s="1"/>
  <c r="AM75" i="46"/>
  <c r="Z75" i="46"/>
  <c r="C75" i="46"/>
  <c r="N75" i="46"/>
  <c r="H75" i="46" s="1"/>
  <c r="K75" i="46" s="1"/>
  <c r="Q39" i="20"/>
  <c r="Y28" i="20"/>
  <c r="Z28" i="20"/>
  <c r="Y29" i="20"/>
  <c r="Z29" i="20"/>
  <c r="Y30" i="20"/>
  <c r="Z30" i="20"/>
  <c r="X35" i="20"/>
  <c r="X36" i="20" s="1"/>
  <c r="Z27" i="20"/>
  <c r="Y27" i="20"/>
  <c r="G42" i="20"/>
  <c r="I37" i="20" s="1"/>
  <c r="F42" i="20"/>
  <c r="Q35" i="20"/>
  <c r="Q36" i="20" s="1"/>
  <c r="R27" i="20"/>
  <c r="R35" i="20" s="1"/>
  <c r="R36" i="20" s="1"/>
  <c r="P27" i="20"/>
  <c r="S27" i="20" s="1"/>
  <c r="S35" i="20" s="1"/>
  <c r="S36" i="20" s="1"/>
  <c r="P17" i="20"/>
  <c r="S17" i="20" s="1"/>
  <c r="Q25" i="20"/>
  <c r="Q26" i="20" s="1"/>
  <c r="R8" i="20"/>
  <c r="Q6" i="20"/>
  <c r="Q14" i="20" s="1"/>
  <c r="Q15" i="20" s="1"/>
  <c r="P8" i="20"/>
  <c r="S8" i="20" s="1"/>
  <c r="P7" i="20"/>
  <c r="S7" i="20" s="1"/>
  <c r="R11" i="20"/>
  <c r="P11" i="20"/>
  <c r="S11" i="20" s="1"/>
  <c r="R10" i="20"/>
  <c r="P10" i="20"/>
  <c r="S10" i="20" s="1"/>
  <c r="R7" i="20"/>
  <c r="P6" i="20"/>
  <c r="AD76" i="46" l="1"/>
  <c r="S28" i="22"/>
  <c r="Y35" i="20"/>
  <c r="Y36" i="20" s="1"/>
  <c r="Z35" i="20"/>
  <c r="Z36" i="20" s="1"/>
  <c r="C76" i="46"/>
  <c r="N22" i="48" s="1"/>
  <c r="AD77" i="46"/>
  <c r="AD75" i="46"/>
  <c r="Y14" i="22"/>
  <c r="Y15" i="22" s="1"/>
  <c r="Z14" i="22"/>
  <c r="Z15" i="22" s="1"/>
  <c r="J70" i="46"/>
  <c r="K70" i="46"/>
  <c r="P70" i="46"/>
  <c r="V70" i="46"/>
  <c r="U70" i="46"/>
  <c r="T70" i="46"/>
  <c r="J76" i="46"/>
  <c r="K76" i="46"/>
  <c r="P76" i="46"/>
  <c r="V76" i="46"/>
  <c r="U75" i="46"/>
  <c r="AA75" i="46" s="1"/>
  <c r="J75" i="46"/>
  <c r="V75" i="46"/>
  <c r="T75" i="46"/>
  <c r="AC75" i="46" s="1"/>
  <c r="P75" i="46"/>
  <c r="S25" i="20"/>
  <c r="S26" i="20" s="1"/>
  <c r="R17" i="20"/>
  <c r="R25" i="20" s="1"/>
  <c r="R26" i="20" s="1"/>
  <c r="S6" i="20"/>
  <c r="S14" i="20" s="1"/>
  <c r="S15" i="20" s="1"/>
  <c r="R6" i="20"/>
  <c r="R14" i="20"/>
  <c r="R15" i="20" s="1"/>
  <c r="X75" i="46" l="1"/>
  <c r="AC76" i="46"/>
  <c r="AC70" i="46"/>
  <c r="L22" i="48"/>
  <c r="AB75" i="46"/>
  <c r="AP21" i="48" l="1"/>
  <c r="AQ22" i="2" l="1"/>
  <c r="G22" i="2"/>
  <c r="AY166" i="57" l="1"/>
  <c r="Z69" i="46"/>
  <c r="AM73" i="46"/>
  <c r="AD73" i="46" s="1"/>
  <c r="T39" i="22"/>
  <c r="W39" i="22" s="1"/>
  <c r="E37" i="47" l="1"/>
  <c r="G37" i="47" s="1"/>
  <c r="H37" i="47" s="1"/>
  <c r="V69" i="57" l="1"/>
  <c r="U69" i="57"/>
  <c r="T69" i="57"/>
  <c r="P69" i="57"/>
  <c r="O69" i="46"/>
  <c r="AC69" i="57" l="1"/>
  <c r="BA21" i="48"/>
  <c r="AR72" i="46"/>
  <c r="BA72" i="46" s="1"/>
  <c r="AM72" i="46"/>
  <c r="AR71" i="46"/>
  <c r="BA71" i="46" s="1"/>
  <c r="AM71" i="46"/>
  <c r="AR70" i="46"/>
  <c r="BA70" i="46" s="1"/>
  <c r="AM70" i="46"/>
  <c r="AR69" i="46"/>
  <c r="BA69" i="46" s="1"/>
  <c r="AM69" i="46"/>
  <c r="T69" i="46"/>
  <c r="N69" i="46"/>
  <c r="V69" i="46" s="1"/>
  <c r="F17" i="22"/>
  <c r="I38" i="22"/>
  <c r="I37" i="47" s="1"/>
  <c r="G42" i="22"/>
  <c r="I37" i="22" s="1"/>
  <c r="F42" i="22"/>
  <c r="N41" i="22"/>
  <c r="R32" i="22"/>
  <c r="P32" i="22"/>
  <c r="S32" i="22" s="1"/>
  <c r="R31" i="22"/>
  <c r="P31" i="22"/>
  <c r="S31" i="22" s="1"/>
  <c r="Q35" i="22"/>
  <c r="Q36" i="22" s="1"/>
  <c r="P27" i="22"/>
  <c r="Q17" i="22"/>
  <c r="F19" i="22"/>
  <c r="Q19" i="22"/>
  <c r="Q18" i="22"/>
  <c r="R18" i="22" s="1"/>
  <c r="R19" i="22"/>
  <c r="R20" i="22"/>
  <c r="S20" i="22"/>
  <c r="R21" i="22"/>
  <c r="R22" i="22"/>
  <c r="P18" i="22"/>
  <c r="P19" i="22"/>
  <c r="S19" i="22" s="1"/>
  <c r="P22" i="22"/>
  <c r="S22" i="22" s="1"/>
  <c r="P21" i="22"/>
  <c r="S21" i="22" s="1"/>
  <c r="P17" i="22"/>
  <c r="Q6" i="22"/>
  <c r="Q14" i="22" s="1"/>
  <c r="Q15" i="22" s="1"/>
  <c r="R11" i="22"/>
  <c r="P11" i="22"/>
  <c r="S11" i="22" s="1"/>
  <c r="R10" i="22"/>
  <c r="P10" i="22"/>
  <c r="S10" i="22" s="1"/>
  <c r="S7" i="22"/>
  <c r="R7" i="22"/>
  <c r="P6" i="22"/>
  <c r="S17" i="22" l="1"/>
  <c r="R17" i="22"/>
  <c r="R25" i="22" s="1"/>
  <c r="AD71" i="46"/>
  <c r="AD69" i="46"/>
  <c r="AD70" i="46"/>
  <c r="AD72" i="46"/>
  <c r="P69" i="46"/>
  <c r="C69" i="46"/>
  <c r="N21" i="48" s="1"/>
  <c r="U69" i="46"/>
  <c r="H69" i="46"/>
  <c r="R27" i="22"/>
  <c r="R35" i="22" s="1"/>
  <c r="R36" i="22" s="1"/>
  <c r="S27" i="22"/>
  <c r="S35" i="22" s="1"/>
  <c r="S36" i="22" s="1"/>
  <c r="S18" i="22"/>
  <c r="Q25" i="22"/>
  <c r="Q26" i="22" s="1"/>
  <c r="R6" i="22"/>
  <c r="R14" i="22" s="1"/>
  <c r="R15" i="22" s="1"/>
  <c r="S6" i="22"/>
  <c r="S14" i="22" s="1"/>
  <c r="S15" i="22" s="1"/>
  <c r="S25" i="22" l="1"/>
  <c r="S26" i="22" s="1"/>
  <c r="R26" i="22"/>
  <c r="K69" i="46"/>
  <c r="L21" i="48" s="1"/>
  <c r="J69" i="46"/>
  <c r="AC69" i="46" l="1"/>
  <c r="E35" i="47" l="1"/>
  <c r="G35" i="47" s="1"/>
  <c r="H35" i="47" s="1"/>
  <c r="E33" i="47"/>
  <c r="G33" i="47" s="1"/>
  <c r="H33" i="47" s="1"/>
  <c r="U64" i="57" l="1"/>
  <c r="T59" i="57"/>
  <c r="V59" i="57"/>
  <c r="U59" i="57"/>
  <c r="O59" i="46"/>
  <c r="O64" i="46"/>
  <c r="T64" i="57"/>
  <c r="AC64" i="57" s="1"/>
  <c r="P59" i="57"/>
  <c r="AQ21" i="2"/>
  <c r="AQ20" i="2"/>
  <c r="G21" i="2"/>
  <c r="G20" i="2"/>
  <c r="AC59" i="57" l="1"/>
  <c r="P64" i="57"/>
  <c r="V64" i="57"/>
  <c r="AR67" i="57"/>
  <c r="BA67" i="57" s="1"/>
  <c r="AM67" i="57"/>
  <c r="AD67" i="57" s="1"/>
  <c r="AR66" i="57"/>
  <c r="BA66" i="57" s="1"/>
  <c r="AM66" i="57"/>
  <c r="AD66" i="57" s="1"/>
  <c r="AR65" i="57"/>
  <c r="BA65" i="57" s="1"/>
  <c r="AM65" i="57"/>
  <c r="AR64" i="57"/>
  <c r="BA64" i="57" s="1"/>
  <c r="AM64" i="57"/>
  <c r="AD64" i="57" s="1"/>
  <c r="AR62" i="57"/>
  <c r="BA62" i="57" s="1"/>
  <c r="AM62" i="57"/>
  <c r="AD62" i="57" s="1"/>
  <c r="AR61" i="57"/>
  <c r="BA61" i="57" s="1"/>
  <c r="AM61" i="57"/>
  <c r="AD61" i="57" s="1"/>
  <c r="AR60" i="57"/>
  <c r="BA60" i="57" s="1"/>
  <c r="AM60" i="57"/>
  <c r="AR59" i="57"/>
  <c r="BA59" i="57" s="1"/>
  <c r="AM59" i="57"/>
  <c r="AD59" i="57" s="1"/>
  <c r="T64" i="46"/>
  <c r="U64" i="46"/>
  <c r="N64" i="46"/>
  <c r="H64" i="46" s="1"/>
  <c r="U59" i="46"/>
  <c r="T59" i="46"/>
  <c r="N59" i="46"/>
  <c r="V59" i="46" s="1"/>
  <c r="C59" i="46"/>
  <c r="N19" i="48" s="1"/>
  <c r="AR67" i="46"/>
  <c r="BA67" i="46" s="1"/>
  <c r="AM67" i="46"/>
  <c r="AR66" i="46"/>
  <c r="BA66" i="46" s="1"/>
  <c r="AM66" i="46"/>
  <c r="AR65" i="46"/>
  <c r="BA65" i="46" s="1"/>
  <c r="AM65" i="46"/>
  <c r="AR64" i="46"/>
  <c r="BA64" i="46" s="1"/>
  <c r="AM64" i="46"/>
  <c r="AR62" i="46"/>
  <c r="BA62" i="46" s="1"/>
  <c r="AM62" i="46"/>
  <c r="AR61" i="46"/>
  <c r="BA61" i="46" s="1"/>
  <c r="AM61" i="46"/>
  <c r="AR60" i="46"/>
  <c r="BA60" i="46" s="1"/>
  <c r="AM60" i="46"/>
  <c r="AR59" i="46"/>
  <c r="BA59" i="46" s="1"/>
  <c r="AM59" i="46"/>
  <c r="I38" i="21"/>
  <c r="I35" i="47" s="1"/>
  <c r="F42" i="21"/>
  <c r="G40" i="21"/>
  <c r="G39" i="21"/>
  <c r="G38" i="21"/>
  <c r="O10" i="21"/>
  <c r="O9" i="21"/>
  <c r="O8" i="21"/>
  <c r="I38" i="23"/>
  <c r="I33" i="47" s="1"/>
  <c r="G42" i="23"/>
  <c r="I37" i="23" s="1"/>
  <c r="F42" i="23"/>
  <c r="Q25" i="23"/>
  <c r="P26" i="23"/>
  <c r="Q26" i="23" s="1"/>
  <c r="O26" i="23"/>
  <c r="O25" i="23"/>
  <c r="R25" i="23" s="1"/>
  <c r="P11" i="23"/>
  <c r="Q11" i="23" s="1"/>
  <c r="P10" i="23"/>
  <c r="Q10" i="23" s="1"/>
  <c r="P9" i="23"/>
  <c r="Q9" i="23" s="1"/>
  <c r="O11" i="23"/>
  <c r="O10" i="23"/>
  <c r="O9" i="23"/>
  <c r="AD60" i="57" l="1"/>
  <c r="AD65" i="57"/>
  <c r="AD62" i="46"/>
  <c r="R9" i="23"/>
  <c r="G42" i="21"/>
  <c r="I37" i="21" s="1"/>
  <c r="BA20" i="48"/>
  <c r="AD60" i="46"/>
  <c r="AD65" i="46"/>
  <c r="R11" i="23"/>
  <c r="R10" i="23"/>
  <c r="R12" i="23" s="1"/>
  <c r="R26" i="23"/>
  <c r="R27" i="23" s="1"/>
  <c r="P27" i="23"/>
  <c r="Q27" i="23"/>
  <c r="P12" i="23"/>
  <c r="H59" i="46"/>
  <c r="K59" i="46" s="1"/>
  <c r="L19" i="48" s="1"/>
  <c r="AD59" i="46"/>
  <c r="AD67" i="46"/>
  <c r="AD66" i="46"/>
  <c r="AD64" i="46"/>
  <c r="J64" i="46"/>
  <c r="K64" i="46"/>
  <c r="V64" i="46"/>
  <c r="P64" i="46"/>
  <c r="C64" i="46"/>
  <c r="N20" i="48" s="1"/>
  <c r="P59" i="46"/>
  <c r="AD61" i="46"/>
  <c r="Q12" i="23"/>
  <c r="AP20" i="48"/>
  <c r="AP19" i="48"/>
  <c r="R28" i="23" l="1"/>
  <c r="Q13" i="23"/>
  <c r="R13" i="23"/>
  <c r="Q28" i="23"/>
  <c r="AC59" i="46"/>
  <c r="J59" i="46"/>
  <c r="AC64" i="46"/>
  <c r="L20" i="48"/>
  <c r="BA19" i="48"/>
  <c r="G19" i="2" l="1"/>
  <c r="AQ19" i="2"/>
  <c r="AU19" i="2"/>
  <c r="K19" i="2"/>
  <c r="Z55" i="46"/>
  <c r="AR57" i="57"/>
  <c r="BA57" i="57" s="1"/>
  <c r="AM57" i="57"/>
  <c r="AD57" i="57" s="1"/>
  <c r="AR56" i="57"/>
  <c r="BA56" i="57" s="1"/>
  <c r="AM56" i="57"/>
  <c r="AR55" i="57"/>
  <c r="BA55" i="57" s="1"/>
  <c r="AM55" i="57"/>
  <c r="AD55" i="57" s="1"/>
  <c r="AR54" i="57"/>
  <c r="BA54" i="57" s="1"/>
  <c r="AM54" i="57"/>
  <c r="AD54" i="57" s="1"/>
  <c r="K14" i="24"/>
  <c r="W55" i="57" s="1"/>
  <c r="K13" i="24"/>
  <c r="W54" i="57" s="1"/>
  <c r="F30" i="47"/>
  <c r="E30" i="47"/>
  <c r="E31" i="47"/>
  <c r="G31" i="47" s="1"/>
  <c r="H31" i="47" s="1"/>
  <c r="AP18" i="48"/>
  <c r="AP10" i="48"/>
  <c r="AP11" i="48"/>
  <c r="AP12" i="48"/>
  <c r="AP13" i="48"/>
  <c r="AP14" i="48"/>
  <c r="AP15" i="48"/>
  <c r="AP16" i="48"/>
  <c r="AP17" i="48"/>
  <c r="AP9" i="48"/>
  <c r="AD56" i="57" l="1"/>
  <c r="W54" i="46"/>
  <c r="U54" i="57"/>
  <c r="T54" i="57"/>
  <c r="V54" i="57"/>
  <c r="W55" i="46"/>
  <c r="O54" i="46"/>
  <c r="P54" i="57"/>
  <c r="G30" i="47"/>
  <c r="H30" i="47" s="1"/>
  <c r="E9" i="45"/>
  <c r="E10" i="45"/>
  <c r="E11" i="45"/>
  <c r="E12" i="45"/>
  <c r="E13" i="45"/>
  <c r="E14" i="45"/>
  <c r="E15" i="45"/>
  <c r="E16" i="45"/>
  <c r="E17" i="45"/>
  <c r="E18" i="45"/>
  <c r="E19" i="45"/>
  <c r="E8" i="45"/>
  <c r="I9" i="45"/>
  <c r="I10" i="45"/>
  <c r="I11" i="45"/>
  <c r="I12" i="45"/>
  <c r="I13" i="45"/>
  <c r="I14" i="45"/>
  <c r="I15" i="45"/>
  <c r="I16" i="45"/>
  <c r="I17" i="45"/>
  <c r="I18" i="45"/>
  <c r="I19" i="45"/>
  <c r="I8" i="45"/>
  <c r="M9" i="45"/>
  <c r="M10" i="45"/>
  <c r="M11" i="45"/>
  <c r="M12" i="45"/>
  <c r="M13" i="45"/>
  <c r="M14" i="45"/>
  <c r="M15" i="45"/>
  <c r="M16" i="45"/>
  <c r="M17" i="45"/>
  <c r="M18" i="45"/>
  <c r="M19" i="45"/>
  <c r="M8" i="45"/>
  <c r="AC54" i="57" l="1"/>
  <c r="O55" i="46"/>
  <c r="X54" i="57" l="1"/>
  <c r="U55" i="57"/>
  <c r="AA54" i="57" s="1"/>
  <c r="P55" i="57"/>
  <c r="V55" i="57"/>
  <c r="T55" i="57"/>
  <c r="AC55" i="57" s="1"/>
  <c r="U54" i="46"/>
  <c r="N54" i="46"/>
  <c r="H54" i="46" s="1"/>
  <c r="J54" i="46" s="1"/>
  <c r="C54" i="46"/>
  <c r="AR57" i="46"/>
  <c r="BA57" i="46" s="1"/>
  <c r="AM57" i="46"/>
  <c r="AR56" i="46"/>
  <c r="BA56" i="46" s="1"/>
  <c r="AM56" i="46"/>
  <c r="AR55" i="46"/>
  <c r="BA55" i="46" s="1"/>
  <c r="AM55" i="46"/>
  <c r="P55" i="46"/>
  <c r="N55" i="46"/>
  <c r="V55" i="46" s="1"/>
  <c r="AR54" i="46"/>
  <c r="BA54" i="46" s="1"/>
  <c r="AM54" i="46"/>
  <c r="I38" i="24"/>
  <c r="I30" i="47" s="1"/>
  <c r="Q39" i="24"/>
  <c r="X23" i="24"/>
  <c r="Y9" i="24"/>
  <c r="Z9" i="24"/>
  <c r="Y10" i="24"/>
  <c r="Z10" i="24"/>
  <c r="Y11" i="24"/>
  <c r="Z11" i="24"/>
  <c r="Y12" i="24"/>
  <c r="Z12" i="24"/>
  <c r="Y13" i="24"/>
  <c r="Z13" i="24"/>
  <c r="Y20" i="24"/>
  <c r="W20" i="24"/>
  <c r="Z20" i="24" s="1"/>
  <c r="Y19" i="24"/>
  <c r="W19" i="24"/>
  <c r="Z19" i="24" s="1"/>
  <c r="Y18" i="24"/>
  <c r="Z18" i="24"/>
  <c r="Y8" i="24"/>
  <c r="Z8" i="24"/>
  <c r="Y7" i="24"/>
  <c r="Z7" i="24"/>
  <c r="Y6" i="24"/>
  <c r="Z6" i="24"/>
  <c r="G42" i="24"/>
  <c r="I37" i="24" s="1"/>
  <c r="F42" i="24"/>
  <c r="P27" i="24"/>
  <c r="S27" i="24" s="1"/>
  <c r="S32" i="24"/>
  <c r="R32" i="24"/>
  <c r="P32" i="24"/>
  <c r="R27" i="24"/>
  <c r="Q20" i="24"/>
  <c r="Q19" i="24"/>
  <c r="R19" i="24" s="1"/>
  <c r="Q18" i="24"/>
  <c r="P18" i="24"/>
  <c r="P19" i="24"/>
  <c r="P20" i="24"/>
  <c r="P21" i="24"/>
  <c r="S21" i="24" s="1"/>
  <c r="P17" i="24"/>
  <c r="S17" i="24" s="1"/>
  <c r="R22" i="24"/>
  <c r="P22" i="24"/>
  <c r="S22" i="24" s="1"/>
  <c r="R21" i="24"/>
  <c r="R17" i="24"/>
  <c r="Q9" i="24"/>
  <c r="R9" i="24" s="1"/>
  <c r="P9" i="24"/>
  <c r="Q8" i="24"/>
  <c r="R8" i="24" s="1"/>
  <c r="Q7" i="24"/>
  <c r="Q6" i="24"/>
  <c r="R6" i="24" s="1"/>
  <c r="P8" i="24"/>
  <c r="P7" i="24"/>
  <c r="R11" i="24"/>
  <c r="P11" i="24"/>
  <c r="S11" i="24" s="1"/>
  <c r="R10" i="24"/>
  <c r="P10" i="24"/>
  <c r="S10" i="24" s="1"/>
  <c r="R7" i="24"/>
  <c r="P6" i="24"/>
  <c r="S6" i="24" s="1"/>
  <c r="AB54" i="57" l="1"/>
  <c r="S18" i="24"/>
  <c r="S9" i="24"/>
  <c r="S7" i="24"/>
  <c r="S19" i="24"/>
  <c r="Q25" i="24"/>
  <c r="Q26" i="24" s="1"/>
  <c r="AD55" i="46"/>
  <c r="BA18" i="48"/>
  <c r="AD54" i="46"/>
  <c r="AD57" i="46"/>
  <c r="AD56" i="46"/>
  <c r="V54" i="46"/>
  <c r="K54" i="46"/>
  <c r="P54" i="46"/>
  <c r="T54" i="46"/>
  <c r="T55" i="46"/>
  <c r="C55" i="46"/>
  <c r="N18" i="48" s="1"/>
  <c r="U55" i="46"/>
  <c r="AA54" i="46" s="1"/>
  <c r="H55" i="46"/>
  <c r="Z23" i="24"/>
  <c r="Y23" i="24"/>
  <c r="X24" i="24"/>
  <c r="S35" i="24"/>
  <c r="R35" i="24"/>
  <c r="Q35" i="24"/>
  <c r="Q36" i="24" s="1"/>
  <c r="R20" i="24"/>
  <c r="S20" i="24"/>
  <c r="S25" i="24"/>
  <c r="R18" i="24"/>
  <c r="R25" i="24" s="1"/>
  <c r="S8" i="24"/>
  <c r="S14" i="24" s="1"/>
  <c r="R14" i="24"/>
  <c r="Q14" i="24"/>
  <c r="Q15" i="24" s="1"/>
  <c r="AR49" i="57"/>
  <c r="BA49" i="57" s="1"/>
  <c r="AM49" i="57"/>
  <c r="AR48" i="57"/>
  <c r="BA48" i="57" s="1"/>
  <c r="AM48" i="57"/>
  <c r="AD48" i="57" s="1"/>
  <c r="AR47" i="57"/>
  <c r="BA47" i="57" s="1"/>
  <c r="AM47" i="57"/>
  <c r="AD47" i="57" s="1"/>
  <c r="AR46" i="57"/>
  <c r="BA46" i="57" s="1"/>
  <c r="AM46" i="57"/>
  <c r="AD46" i="57" s="1"/>
  <c r="R46" i="57"/>
  <c r="Q46" i="57"/>
  <c r="AR44" i="57"/>
  <c r="BA44" i="57" s="1"/>
  <c r="AM44" i="57"/>
  <c r="AD44" i="57" s="1"/>
  <c r="AR43" i="57"/>
  <c r="BA43" i="57" s="1"/>
  <c r="AM43" i="57"/>
  <c r="AD43" i="57" s="1"/>
  <c r="AR42" i="57"/>
  <c r="BA42" i="57" s="1"/>
  <c r="AM42" i="57"/>
  <c r="AD42" i="57" s="1"/>
  <c r="S42" i="57"/>
  <c r="AR41" i="57"/>
  <c r="BA41" i="57" s="1"/>
  <c r="AM41" i="57"/>
  <c r="AD41" i="57" s="1"/>
  <c r="K13" i="25"/>
  <c r="W47" i="57" s="1"/>
  <c r="K12" i="25"/>
  <c r="W46" i="57" s="1"/>
  <c r="E28" i="47"/>
  <c r="G28" i="47" s="1"/>
  <c r="H28" i="47" s="1"/>
  <c r="E27" i="47"/>
  <c r="G27" i="47" s="1"/>
  <c r="H27" i="47" s="1"/>
  <c r="C46" i="57" l="1"/>
  <c r="K46" i="57"/>
  <c r="AD49" i="57"/>
  <c r="O43" i="46"/>
  <c r="P47" i="57"/>
  <c r="R26" i="24"/>
  <c r="S26" i="24"/>
  <c r="O47" i="46"/>
  <c r="V47" i="57"/>
  <c r="W47" i="46"/>
  <c r="O46" i="46"/>
  <c r="W46" i="46"/>
  <c r="AC54" i="46"/>
  <c r="K55" i="46"/>
  <c r="J55" i="46"/>
  <c r="Y24" i="24"/>
  <c r="Z24" i="24"/>
  <c r="R36" i="24"/>
  <c r="S36" i="24"/>
  <c r="S15" i="24"/>
  <c r="R15" i="24"/>
  <c r="AU18" i="2"/>
  <c r="K18" i="2"/>
  <c r="U46" i="57" l="1"/>
  <c r="T47" i="57"/>
  <c r="AC47" i="57" s="1"/>
  <c r="U47" i="57"/>
  <c r="P46" i="57"/>
  <c r="T46" i="57"/>
  <c r="X54" i="46"/>
  <c r="AC55" i="46"/>
  <c r="AB54" i="46" s="1"/>
  <c r="V43" i="57"/>
  <c r="U43" i="57"/>
  <c r="P43" i="57"/>
  <c r="T43" i="57"/>
  <c r="V46" i="57"/>
  <c r="L18" i="48"/>
  <c r="AC43" i="57" l="1"/>
  <c r="AA46" i="57"/>
  <c r="AC46" i="57"/>
  <c r="X46" i="57"/>
  <c r="BA17" i="48"/>
  <c r="AB46" i="57" l="1"/>
  <c r="AM50" i="46"/>
  <c r="AR50" i="46"/>
  <c r="BA50" i="46" s="1"/>
  <c r="AM52" i="46"/>
  <c r="AR52" i="46"/>
  <c r="BA52" i="46" s="1"/>
  <c r="Q46" i="46"/>
  <c r="R46" i="46"/>
  <c r="N46" i="46"/>
  <c r="AR49" i="46"/>
  <c r="BA49" i="46" s="1"/>
  <c r="AM49" i="46"/>
  <c r="AR48" i="46"/>
  <c r="BA48" i="46" s="1"/>
  <c r="AM48" i="46"/>
  <c r="AR47" i="46"/>
  <c r="BA47" i="46" s="1"/>
  <c r="AM47" i="46"/>
  <c r="U47" i="46"/>
  <c r="T47" i="46"/>
  <c r="P47" i="46"/>
  <c r="N47" i="46"/>
  <c r="H47" i="46" s="1"/>
  <c r="J47" i="46" s="1"/>
  <c r="C47" i="46"/>
  <c r="AR46" i="46"/>
  <c r="BA46" i="46" s="1"/>
  <c r="AM46" i="46"/>
  <c r="I38" i="25"/>
  <c r="I27" i="47" s="1"/>
  <c r="I37" i="25"/>
  <c r="Q39" i="25"/>
  <c r="G42" i="25"/>
  <c r="F42" i="25"/>
  <c r="O43" i="25"/>
  <c r="Q29" i="25"/>
  <c r="R29" i="25" s="1"/>
  <c r="P29" i="25"/>
  <c r="Q28" i="25"/>
  <c r="P28" i="25"/>
  <c r="Q27" i="25"/>
  <c r="P27" i="25"/>
  <c r="R32" i="25"/>
  <c r="P32" i="25"/>
  <c r="S32" i="25" s="1"/>
  <c r="R31" i="25"/>
  <c r="P31" i="25"/>
  <c r="S31" i="25" s="1"/>
  <c r="Q6" i="25"/>
  <c r="P6" i="25"/>
  <c r="R11" i="25"/>
  <c r="P11" i="25"/>
  <c r="S11" i="25" s="1"/>
  <c r="R10" i="25"/>
  <c r="P10" i="25"/>
  <c r="S10" i="25" s="1"/>
  <c r="S7" i="25"/>
  <c r="S28" i="25" l="1"/>
  <c r="V47" i="46"/>
  <c r="S29" i="25"/>
  <c r="R28" i="25"/>
  <c r="Q35" i="25"/>
  <c r="Q36" i="25" s="1"/>
  <c r="AD46" i="46"/>
  <c r="AD52" i="46"/>
  <c r="AD50" i="46"/>
  <c r="AD49" i="46"/>
  <c r="AD48" i="46"/>
  <c r="AD47" i="46"/>
  <c r="V46" i="46"/>
  <c r="U46" i="46"/>
  <c r="AA46" i="46" s="1"/>
  <c r="P46" i="46"/>
  <c r="T46" i="46"/>
  <c r="C46" i="46"/>
  <c r="N17" i="48" s="1"/>
  <c r="H46" i="46"/>
  <c r="K47" i="46"/>
  <c r="AC47" i="46" s="1"/>
  <c r="S27" i="25"/>
  <c r="S35" i="25" s="1"/>
  <c r="R27" i="25"/>
  <c r="R6" i="25"/>
  <c r="S6" i="25"/>
  <c r="S14" i="25" s="1"/>
  <c r="Q14" i="25"/>
  <c r="Q15" i="25" s="1"/>
  <c r="R7" i="25"/>
  <c r="S42" i="46"/>
  <c r="N43" i="46"/>
  <c r="H43" i="46" s="1"/>
  <c r="C43" i="46"/>
  <c r="W43" i="46"/>
  <c r="Q39" i="26"/>
  <c r="Q41" i="26" s="1"/>
  <c r="Q28" i="26"/>
  <c r="Q27" i="26" s="1"/>
  <c r="R35" i="25" l="1"/>
  <c r="R36" i="25"/>
  <c r="S15" i="25"/>
  <c r="S36" i="25"/>
  <c r="J46" i="46"/>
  <c r="K46" i="46"/>
  <c r="L17" i="48" s="1"/>
  <c r="R14" i="25"/>
  <c r="R15" i="25" s="1"/>
  <c r="J43" i="46"/>
  <c r="K43" i="46"/>
  <c r="V43" i="46"/>
  <c r="U43" i="46"/>
  <c r="P43" i="46"/>
  <c r="T43" i="46"/>
  <c r="AC43" i="46" l="1"/>
  <c r="AC46" i="46"/>
  <c r="AB46" i="46" s="1"/>
  <c r="X46" i="46"/>
  <c r="K17" i="2"/>
  <c r="AU17" i="2"/>
  <c r="K11" i="26" l="1"/>
  <c r="W42" i="57" s="1"/>
  <c r="C7" i="26"/>
  <c r="K8" i="26" s="1"/>
  <c r="W41" i="57" s="1"/>
  <c r="W41" i="46" l="1"/>
  <c r="W42" i="46"/>
  <c r="F25" i="47"/>
  <c r="E25" i="47"/>
  <c r="E24" i="47"/>
  <c r="G24" i="47" s="1"/>
  <c r="H24" i="47" s="1"/>
  <c r="T41" i="57" l="1"/>
  <c r="V41" i="57"/>
  <c r="P41" i="57"/>
  <c r="U41" i="57"/>
  <c r="O41" i="46"/>
  <c r="G25" i="47"/>
  <c r="H25" i="47" s="1"/>
  <c r="AC41" i="57" l="1"/>
  <c r="X41" i="57"/>
  <c r="O42" i="46"/>
  <c r="T42" i="46" s="1"/>
  <c r="AR44" i="46"/>
  <c r="BA44" i="46" s="1"/>
  <c r="AM44" i="46"/>
  <c r="AR43" i="46"/>
  <c r="BA43" i="46" s="1"/>
  <c r="AM43" i="46"/>
  <c r="AR42" i="46"/>
  <c r="BA42" i="46" s="1"/>
  <c r="AM42" i="46"/>
  <c r="N42" i="46"/>
  <c r="H42" i="46"/>
  <c r="K42" i="46" s="1"/>
  <c r="AC42" i="46" s="1"/>
  <c r="AR41" i="46"/>
  <c r="BA41" i="46" s="1"/>
  <c r="AM41" i="46"/>
  <c r="U41" i="46"/>
  <c r="N41" i="46"/>
  <c r="F26" i="26"/>
  <c r="F17" i="26"/>
  <c r="F9" i="26"/>
  <c r="I38" i="26"/>
  <c r="I24" i="47" s="1"/>
  <c r="R32" i="26"/>
  <c r="P32" i="26"/>
  <c r="S32" i="26" s="1"/>
  <c r="R31" i="26"/>
  <c r="P31" i="26"/>
  <c r="S31" i="26" s="1"/>
  <c r="Q35" i="26"/>
  <c r="P28" i="26"/>
  <c r="S28" i="26" s="1"/>
  <c r="R27" i="26"/>
  <c r="P27" i="26"/>
  <c r="S27" i="26" s="1"/>
  <c r="R21" i="26"/>
  <c r="P21" i="26"/>
  <c r="S21" i="26" s="1"/>
  <c r="R20" i="26"/>
  <c r="P20" i="26"/>
  <c r="S20" i="26" s="1"/>
  <c r="P17" i="26"/>
  <c r="R16" i="26"/>
  <c r="P16" i="26"/>
  <c r="Q6" i="26"/>
  <c r="Q7" i="26" s="1"/>
  <c r="R7" i="26" s="1"/>
  <c r="P7" i="26"/>
  <c r="S7" i="26" s="1"/>
  <c r="R11" i="26"/>
  <c r="P11" i="26"/>
  <c r="S11" i="26" s="1"/>
  <c r="R10" i="26"/>
  <c r="P10" i="26"/>
  <c r="S10" i="26" s="1"/>
  <c r="P6" i="26"/>
  <c r="J4" i="26"/>
  <c r="C42" i="46" l="1"/>
  <c r="S6" i="26"/>
  <c r="R6" i="26"/>
  <c r="U42" i="57"/>
  <c r="AA41" i="57" s="1"/>
  <c r="T42" i="57"/>
  <c r="AC42" i="57" s="1"/>
  <c r="V42" i="57"/>
  <c r="P42" i="57"/>
  <c r="AD41" i="46"/>
  <c r="V41" i="46"/>
  <c r="Q14" i="26"/>
  <c r="AD44" i="46"/>
  <c r="S14" i="26"/>
  <c r="S15" i="26" s="1"/>
  <c r="AD42" i="46"/>
  <c r="P42" i="46"/>
  <c r="AD43" i="46"/>
  <c r="V42" i="46"/>
  <c r="U42" i="46"/>
  <c r="AA41" i="46" s="1"/>
  <c r="P41" i="46"/>
  <c r="J42" i="46"/>
  <c r="T41" i="46"/>
  <c r="C41" i="46"/>
  <c r="N16" i="48" s="1"/>
  <c r="H41" i="46"/>
  <c r="S35" i="26"/>
  <c r="S36" i="26" s="1"/>
  <c r="R28" i="26"/>
  <c r="R35" i="26" s="1"/>
  <c r="R36" i="26" s="1"/>
  <c r="Q17" i="26"/>
  <c r="R17" i="26" s="1"/>
  <c r="R24" i="26" s="1"/>
  <c r="S16" i="26"/>
  <c r="R14" i="26"/>
  <c r="R15" i="26" s="1"/>
  <c r="K16" i="2"/>
  <c r="AB41" i="57" l="1"/>
  <c r="BA16" i="48"/>
  <c r="J41" i="46"/>
  <c r="K41" i="46"/>
  <c r="L16" i="48" s="1"/>
  <c r="Q24" i="26"/>
  <c r="R25" i="26" s="1"/>
  <c r="S17" i="26"/>
  <c r="S24" i="26" s="1"/>
  <c r="S25" i="26" s="1"/>
  <c r="AU16" i="2"/>
  <c r="X41" i="46" l="1"/>
  <c r="AC41" i="46"/>
  <c r="AB41" i="46"/>
  <c r="AR39" i="57"/>
  <c r="BA39" i="57" s="1"/>
  <c r="AM39" i="57"/>
  <c r="AR38" i="57"/>
  <c r="BA38" i="57" s="1"/>
  <c r="AM38" i="57"/>
  <c r="AR37" i="57"/>
  <c r="BA37" i="57" s="1"/>
  <c r="AM37" i="57"/>
  <c r="AR36" i="57"/>
  <c r="BA36" i="57" s="1"/>
  <c r="AM36" i="57"/>
  <c r="AD36" i="57" s="1"/>
  <c r="Z36" i="46"/>
  <c r="K11" i="28"/>
  <c r="W37" i="57" s="1"/>
  <c r="C16" i="28"/>
  <c r="K8" i="28" s="1"/>
  <c r="W36" i="57" s="1"/>
  <c r="F21" i="47"/>
  <c r="E22" i="47"/>
  <c r="G22" i="47" s="1"/>
  <c r="H22" i="47" s="1"/>
  <c r="E21" i="47"/>
  <c r="AD38" i="57" l="1"/>
  <c r="AD39" i="57"/>
  <c r="AD37" i="57"/>
  <c r="G21" i="47"/>
  <c r="H21" i="47" s="1"/>
  <c r="W37" i="46"/>
  <c r="W36" i="46"/>
  <c r="O37" i="46"/>
  <c r="V37" i="57"/>
  <c r="T36" i="57" l="1"/>
  <c r="V36" i="57"/>
  <c r="O36" i="46"/>
  <c r="U36" i="57"/>
  <c r="U37" i="57"/>
  <c r="T37" i="57"/>
  <c r="P37" i="57"/>
  <c r="AA36" i="57" l="1"/>
  <c r="P36" i="57"/>
  <c r="N37" i="46"/>
  <c r="C37" i="46"/>
  <c r="U36" i="46"/>
  <c r="N36" i="46"/>
  <c r="H36" i="46" s="1"/>
  <c r="AR39" i="46"/>
  <c r="BA39" i="46" s="1"/>
  <c r="AM39" i="46"/>
  <c r="AR38" i="46"/>
  <c r="BA38" i="46" s="1"/>
  <c r="AM38" i="46"/>
  <c r="AR37" i="46"/>
  <c r="BA37" i="46" s="1"/>
  <c r="AM37" i="46"/>
  <c r="AD37" i="46" s="1"/>
  <c r="AR36" i="46"/>
  <c r="BA36" i="46" s="1"/>
  <c r="AM36" i="46"/>
  <c r="F26" i="28"/>
  <c r="F17" i="28"/>
  <c r="I38" i="28"/>
  <c r="I21" i="47" s="1"/>
  <c r="Q40" i="28"/>
  <c r="W25" i="28"/>
  <c r="X22" i="28"/>
  <c r="V22" i="28"/>
  <c r="Y22" i="28" s="1"/>
  <c r="X21" i="28"/>
  <c r="V21" i="28"/>
  <c r="Y21" i="28" s="1"/>
  <c r="Y18" i="28"/>
  <c r="X18" i="28"/>
  <c r="Y17" i="28"/>
  <c r="X17" i="28"/>
  <c r="X8" i="28"/>
  <c r="Y8" i="28"/>
  <c r="X11" i="28"/>
  <c r="V11" i="28"/>
  <c r="Y11" i="28" s="1"/>
  <c r="X10" i="28"/>
  <c r="V10" i="28"/>
  <c r="Y10" i="28" s="1"/>
  <c r="Y6" i="28"/>
  <c r="X6" i="28"/>
  <c r="G42" i="28"/>
  <c r="I37" i="28" s="1"/>
  <c r="F42" i="28"/>
  <c r="P27" i="28"/>
  <c r="S27" i="28" s="1"/>
  <c r="R32" i="28"/>
  <c r="P32" i="28"/>
  <c r="S32" i="28" s="1"/>
  <c r="R31" i="28"/>
  <c r="P31" i="28"/>
  <c r="S31" i="28" s="1"/>
  <c r="Q35" i="28"/>
  <c r="R27" i="28"/>
  <c r="Q17" i="28"/>
  <c r="R22" i="28"/>
  <c r="P22" i="28"/>
  <c r="S22" i="28" s="1"/>
  <c r="R21" i="28"/>
  <c r="P21" i="28"/>
  <c r="S21" i="28" s="1"/>
  <c r="P18" i="28"/>
  <c r="P17" i="28"/>
  <c r="Q6" i="28"/>
  <c r="R6" i="28" s="1"/>
  <c r="P7" i="28"/>
  <c r="R11" i="28"/>
  <c r="P11" i="28"/>
  <c r="S11" i="28" s="1"/>
  <c r="R10" i="28"/>
  <c r="P10" i="28"/>
  <c r="S10" i="28" s="1"/>
  <c r="P6" i="28"/>
  <c r="J4" i="28"/>
  <c r="AC36" i="57" l="1"/>
  <c r="X36" i="57"/>
  <c r="BA15" i="48"/>
  <c r="AB36" i="57"/>
  <c r="S17" i="28"/>
  <c r="S35" i="28"/>
  <c r="S36" i="28" s="1"/>
  <c r="Q7" i="28"/>
  <c r="R7" i="28" s="1"/>
  <c r="R14" i="28" s="1"/>
  <c r="AD36" i="46"/>
  <c r="Q18" i="28"/>
  <c r="R18" i="28" s="1"/>
  <c r="S6" i="28"/>
  <c r="U37" i="46"/>
  <c r="AA36" i="46" s="1"/>
  <c r="T37" i="46"/>
  <c r="AD38" i="46"/>
  <c r="P37" i="46"/>
  <c r="V37" i="46"/>
  <c r="V36" i="46"/>
  <c r="H37" i="46"/>
  <c r="K36" i="46"/>
  <c r="J36" i="46"/>
  <c r="P36" i="46"/>
  <c r="C36" i="46"/>
  <c r="N15" i="48" s="1"/>
  <c r="T36" i="46"/>
  <c r="AD39" i="46"/>
  <c r="X25" i="28"/>
  <c r="X26" i="28" s="1"/>
  <c r="Y25" i="28"/>
  <c r="Y26" i="28" s="1"/>
  <c r="X7" i="28"/>
  <c r="X14" i="28" s="1"/>
  <c r="R35" i="28"/>
  <c r="R36" i="28" s="1"/>
  <c r="R17" i="28"/>
  <c r="AR34" i="46"/>
  <c r="BA34" i="46" s="1"/>
  <c r="AM34" i="46"/>
  <c r="AR33" i="46"/>
  <c r="BA33" i="46" s="1"/>
  <c r="AM33" i="46"/>
  <c r="S33" i="46"/>
  <c r="N33" i="46"/>
  <c r="AR32" i="46"/>
  <c r="BA32" i="46" s="1"/>
  <c r="AM32" i="46"/>
  <c r="N32" i="46"/>
  <c r="AR31" i="46"/>
  <c r="BA31" i="46" s="1"/>
  <c r="AM31" i="46"/>
  <c r="N31" i="46"/>
  <c r="J31" i="46"/>
  <c r="Q14" i="28" l="1"/>
  <c r="R25" i="28"/>
  <c r="AD33" i="46"/>
  <c r="R15" i="28"/>
  <c r="AD32" i="46"/>
  <c r="S18" i="28"/>
  <c r="S25" i="28" s="1"/>
  <c r="Q25" i="28"/>
  <c r="R26" i="28" s="1"/>
  <c r="AD34" i="46"/>
  <c r="S7" i="28"/>
  <c r="S14" i="28" s="1"/>
  <c r="S15" i="28" s="1"/>
  <c r="AC36" i="46"/>
  <c r="K37" i="46"/>
  <c r="L15" i="48" s="1"/>
  <c r="J37" i="46"/>
  <c r="Y7" i="28"/>
  <c r="Y14" i="28" s="1"/>
  <c r="W14" i="28"/>
  <c r="X15" i="28" s="1"/>
  <c r="AD31" i="46"/>
  <c r="H33" i="46"/>
  <c r="H32" i="46"/>
  <c r="AR34" i="57"/>
  <c r="BA34" i="57" s="1"/>
  <c r="AM34" i="57"/>
  <c r="AD34" i="57" s="1"/>
  <c r="AR33" i="57"/>
  <c r="BA33" i="57" s="1"/>
  <c r="AM33" i="57"/>
  <c r="AD33" i="57" s="1"/>
  <c r="S33" i="57"/>
  <c r="AR32" i="57"/>
  <c r="BA32" i="57" s="1"/>
  <c r="AM32" i="57"/>
  <c r="AD32" i="57" s="1"/>
  <c r="AR31" i="57"/>
  <c r="BA31" i="57" s="1"/>
  <c r="AM31" i="57"/>
  <c r="AD31" i="57" s="1"/>
  <c r="AU15" i="2"/>
  <c r="S26" i="28" l="1"/>
  <c r="AB36" i="46"/>
  <c r="X36" i="46"/>
  <c r="Y15" i="28"/>
  <c r="J33" i="46"/>
  <c r="J32" i="46"/>
  <c r="AQ15" i="2" l="1"/>
  <c r="G15" i="2"/>
  <c r="K10" i="27" l="1"/>
  <c r="W32" i="57" s="1"/>
  <c r="K8" i="27"/>
  <c r="W33" i="57" s="1"/>
  <c r="K7" i="27"/>
  <c r="W31" i="57" s="1"/>
  <c r="E18" i="47"/>
  <c r="G18" i="47" s="1"/>
  <c r="H18" i="47" s="1"/>
  <c r="E19" i="47"/>
  <c r="G19" i="47" s="1"/>
  <c r="H19" i="47" s="1"/>
  <c r="E17" i="47"/>
  <c r="O33" i="46" l="1"/>
  <c r="U33" i="46" s="1"/>
  <c r="O32" i="46"/>
  <c r="P32" i="46" s="1"/>
  <c r="W33" i="46"/>
  <c r="W31" i="46"/>
  <c r="W32" i="46"/>
  <c r="G17" i="47"/>
  <c r="H17" i="47" s="1"/>
  <c r="K33" i="46" l="1"/>
  <c r="C32" i="46"/>
  <c r="V33" i="46"/>
  <c r="P33" i="46"/>
  <c r="C33" i="46"/>
  <c r="T33" i="46"/>
  <c r="V32" i="46"/>
  <c r="U32" i="46"/>
  <c r="K32" i="46"/>
  <c r="O31" i="46"/>
  <c r="V31" i="46" s="1"/>
  <c r="T32" i="46"/>
  <c r="P32" i="57"/>
  <c r="T32" i="57"/>
  <c r="AC32" i="57" s="1"/>
  <c r="U32" i="57"/>
  <c r="V32" i="57"/>
  <c r="P33" i="57"/>
  <c r="T33" i="57"/>
  <c r="AC33" i="57" s="1"/>
  <c r="V33" i="57"/>
  <c r="U33" i="57"/>
  <c r="I38" i="27"/>
  <c r="I17" i="47" s="1"/>
  <c r="Q39" i="27"/>
  <c r="Q40" i="27" s="1"/>
  <c r="Q35" i="27"/>
  <c r="R32" i="27"/>
  <c r="P32" i="27"/>
  <c r="S32" i="27" s="1"/>
  <c r="R31" i="27"/>
  <c r="P31" i="27"/>
  <c r="S31" i="27" s="1"/>
  <c r="R27" i="27"/>
  <c r="P27" i="27"/>
  <c r="S27" i="27" s="1"/>
  <c r="P16" i="27"/>
  <c r="S16" i="27" s="1"/>
  <c r="R21" i="27"/>
  <c r="P21" i="27"/>
  <c r="S21" i="27" s="1"/>
  <c r="R20" i="27"/>
  <c r="P20" i="27"/>
  <c r="S20" i="27" s="1"/>
  <c r="R16" i="27"/>
  <c r="Q24" i="27"/>
  <c r="Q8" i="27"/>
  <c r="R8" i="27" s="1"/>
  <c r="P8" i="27"/>
  <c r="Q7" i="27"/>
  <c r="P7" i="27"/>
  <c r="Q6" i="27"/>
  <c r="P6" i="27"/>
  <c r="R11" i="27"/>
  <c r="P11" i="27"/>
  <c r="S11" i="27" s="1"/>
  <c r="R10" i="27"/>
  <c r="P10" i="27"/>
  <c r="S10" i="27" s="1"/>
  <c r="R9" i="27"/>
  <c r="P9" i="27"/>
  <c r="S9" i="27" s="1"/>
  <c r="J4" i="27"/>
  <c r="AC33" i="46" l="1"/>
  <c r="X31" i="57"/>
  <c r="AC32" i="46"/>
  <c r="T31" i="46"/>
  <c r="P31" i="46"/>
  <c r="U31" i="46"/>
  <c r="C31" i="46"/>
  <c r="N14" i="48" s="1"/>
  <c r="K31" i="46"/>
  <c r="X31" i="46" s="1"/>
  <c r="S8" i="27"/>
  <c r="S7" i="27"/>
  <c r="R24" i="27"/>
  <c r="R25" i="27" s="1"/>
  <c r="S35" i="27"/>
  <c r="S36" i="27" s="1"/>
  <c r="R35" i="27"/>
  <c r="R36" i="27" s="1"/>
  <c r="U31" i="57"/>
  <c r="T31" i="57"/>
  <c r="AC31" i="57" s="1"/>
  <c r="P31" i="57"/>
  <c r="V31" i="57"/>
  <c r="S24" i="27"/>
  <c r="S25" i="27" s="1"/>
  <c r="R7" i="27"/>
  <c r="Q14" i="27"/>
  <c r="S6" i="27"/>
  <c r="R6" i="27"/>
  <c r="S14" i="27" l="1"/>
  <c r="S15" i="27" s="1"/>
  <c r="L14" i="48"/>
  <c r="AC31" i="46"/>
  <c r="R14" i="27"/>
  <c r="R15" i="27" s="1"/>
  <c r="BA14" i="48"/>
  <c r="AN13" i="48" l="1"/>
  <c r="AN12" i="48"/>
  <c r="AR26" i="57" l="1"/>
  <c r="BA26" i="57" s="1"/>
  <c r="AM26" i="57"/>
  <c r="AD26" i="57" s="1"/>
  <c r="AR29" i="57" l="1"/>
  <c r="BA29" i="57" s="1"/>
  <c r="AM29" i="57"/>
  <c r="AD29" i="57" s="1"/>
  <c r="AR28" i="57"/>
  <c r="BA28" i="57" s="1"/>
  <c r="AM28" i="57"/>
  <c r="AD28" i="57" s="1"/>
  <c r="AR27" i="57"/>
  <c r="BA27" i="57" s="1"/>
  <c r="AM27" i="57"/>
  <c r="AR24" i="57"/>
  <c r="BA24" i="57" s="1"/>
  <c r="AM24" i="57"/>
  <c r="AD24" i="57" s="1"/>
  <c r="AR23" i="57"/>
  <c r="BA23" i="57" s="1"/>
  <c r="AM23" i="57"/>
  <c r="AD23" i="57" s="1"/>
  <c r="AR22" i="57"/>
  <c r="BA22" i="57" s="1"/>
  <c r="AM22" i="57"/>
  <c r="AD22" i="57" s="1"/>
  <c r="AR21" i="57"/>
  <c r="BA21" i="57" s="1"/>
  <c r="AM21" i="57"/>
  <c r="AD21" i="57" s="1"/>
  <c r="K9" i="30"/>
  <c r="W23" i="57" s="1"/>
  <c r="K8" i="30"/>
  <c r="W22" i="57" s="1"/>
  <c r="C7" i="30"/>
  <c r="K7" i="30" s="1"/>
  <c r="W21" i="57" s="1"/>
  <c r="AD27" i="57" l="1"/>
  <c r="W23" i="46"/>
  <c r="W22" i="46"/>
  <c r="W21" i="46"/>
  <c r="F15" i="47"/>
  <c r="E15" i="47"/>
  <c r="F12" i="47"/>
  <c r="F10" i="47"/>
  <c r="E13" i="47"/>
  <c r="G13" i="47" s="1"/>
  <c r="E12" i="47"/>
  <c r="E11" i="47"/>
  <c r="G11" i="47" s="1"/>
  <c r="H11" i="47" s="1"/>
  <c r="E10" i="47"/>
  <c r="G12" i="47" l="1"/>
  <c r="G15" i="47"/>
  <c r="H15" i="47" s="1"/>
  <c r="O22" i="46"/>
  <c r="H12" i="47"/>
  <c r="G10" i="47"/>
  <c r="H10" i="47" s="1"/>
  <c r="O26" i="46" l="1"/>
  <c r="T26" i="57"/>
  <c r="AC26" i="57" s="1"/>
  <c r="P26" i="57"/>
  <c r="U26" i="57"/>
  <c r="V26" i="57"/>
  <c r="O23" i="46"/>
  <c r="O21" i="46"/>
  <c r="V22" i="57"/>
  <c r="U22" i="57"/>
  <c r="T22" i="57"/>
  <c r="AC22" i="57" s="1"/>
  <c r="P22" i="57"/>
  <c r="AQ14" i="2"/>
  <c r="AQ13" i="2"/>
  <c r="G14" i="2"/>
  <c r="G13" i="2"/>
  <c r="X21" i="57" l="1"/>
  <c r="BA13" i="48"/>
  <c r="V21" i="57"/>
  <c r="P21" i="57"/>
  <c r="U21" i="57"/>
  <c r="T21" i="57"/>
  <c r="AC21" i="57" s="1"/>
  <c r="T23" i="57"/>
  <c r="AC23" i="57" s="1"/>
  <c r="V23" i="57"/>
  <c r="P23" i="57"/>
  <c r="U23" i="57"/>
  <c r="J22" i="46"/>
  <c r="N22" i="46"/>
  <c r="C22" i="46"/>
  <c r="J23" i="46"/>
  <c r="N23" i="46"/>
  <c r="T23" i="46"/>
  <c r="P23" i="46"/>
  <c r="AR29" i="46"/>
  <c r="BA29" i="46" s="1"/>
  <c r="AM29" i="46"/>
  <c r="AR28" i="46"/>
  <c r="BA28" i="46" s="1"/>
  <c r="AM28" i="46"/>
  <c r="AR27" i="46"/>
  <c r="BA27" i="46" s="1"/>
  <c r="AM27" i="46"/>
  <c r="AR26" i="46"/>
  <c r="BA26" i="46" s="1"/>
  <c r="AM26" i="46"/>
  <c r="C26" i="46"/>
  <c r="N13" i="48" s="1"/>
  <c r="N26" i="46"/>
  <c r="J26" i="46"/>
  <c r="AR24" i="46"/>
  <c r="BA24" i="46" s="1"/>
  <c r="AM24" i="46"/>
  <c r="AR23" i="46"/>
  <c r="BA23" i="46" s="1"/>
  <c r="AM23" i="46"/>
  <c r="AR22" i="46"/>
  <c r="BA22" i="46" s="1"/>
  <c r="AM22" i="46"/>
  <c r="AD22" i="46" s="1"/>
  <c r="AR21" i="46"/>
  <c r="BA21" i="46" s="1"/>
  <c r="AM21" i="46"/>
  <c r="T21" i="46"/>
  <c r="N21" i="46"/>
  <c r="K21" i="46" s="1"/>
  <c r="J21" i="46"/>
  <c r="I38" i="29"/>
  <c r="I15" i="47" s="1"/>
  <c r="J4" i="29"/>
  <c r="I38" i="30"/>
  <c r="I10" i="47" s="1"/>
  <c r="Y19" i="30"/>
  <c r="Z19" i="30"/>
  <c r="Y20" i="30"/>
  <c r="Z20" i="30"/>
  <c r="Y21" i="30"/>
  <c r="Z21" i="30"/>
  <c r="Q39" i="30"/>
  <c r="X25" i="30"/>
  <c r="X26" i="30" s="1"/>
  <c r="Z18" i="30"/>
  <c r="Y18" i="30"/>
  <c r="X13" i="30"/>
  <c r="X14" i="30" s="1"/>
  <c r="Y7" i="30"/>
  <c r="Z7" i="30"/>
  <c r="Z6" i="30"/>
  <c r="Y6" i="30"/>
  <c r="Q26" i="30"/>
  <c r="R26" i="30" s="1"/>
  <c r="P27" i="30"/>
  <c r="P26" i="30"/>
  <c r="P16" i="30"/>
  <c r="S16" i="30" s="1"/>
  <c r="S23" i="30" s="1"/>
  <c r="Q23" i="30"/>
  <c r="Q24" i="30" s="1"/>
  <c r="R16" i="30"/>
  <c r="Q8" i="30"/>
  <c r="R8" i="30" s="1"/>
  <c r="Q7" i="30"/>
  <c r="R7" i="30" s="1"/>
  <c r="Q6" i="30"/>
  <c r="P8" i="30"/>
  <c r="P7" i="30"/>
  <c r="P6" i="30"/>
  <c r="Q13" i="31"/>
  <c r="Q14" i="31" s="1"/>
  <c r="S7" i="31"/>
  <c r="R6" i="31"/>
  <c r="R13" i="31" s="1"/>
  <c r="P6" i="31"/>
  <c r="S6" i="31" s="1"/>
  <c r="S13" i="31" s="1"/>
  <c r="J4" i="30"/>
  <c r="R14" i="31" l="1"/>
  <c r="S14" i="31"/>
  <c r="AC21" i="46"/>
  <c r="S8" i="30"/>
  <c r="AD29" i="46"/>
  <c r="AD23" i="46"/>
  <c r="BA12" i="48"/>
  <c r="Q27" i="30"/>
  <c r="R27" i="30" s="1"/>
  <c r="R33" i="30" s="1"/>
  <c r="Z13" i="30"/>
  <c r="Z14" i="30" s="1"/>
  <c r="V23" i="46"/>
  <c r="V26" i="46"/>
  <c r="T22" i="46"/>
  <c r="P26" i="46"/>
  <c r="V22" i="46"/>
  <c r="T26" i="46"/>
  <c r="U26" i="46"/>
  <c r="K26" i="46"/>
  <c r="U22" i="46"/>
  <c r="AD28" i="46"/>
  <c r="AD27" i="46"/>
  <c r="AD26" i="46"/>
  <c r="AD21" i="46"/>
  <c r="P22" i="46"/>
  <c r="K23" i="46"/>
  <c r="AC23" i="46" s="1"/>
  <c r="C23" i="46"/>
  <c r="K22" i="46"/>
  <c r="AC22" i="46" s="1"/>
  <c r="U23" i="46"/>
  <c r="AD24" i="46"/>
  <c r="U21" i="46"/>
  <c r="C21" i="46"/>
  <c r="V21" i="46"/>
  <c r="P21" i="46"/>
  <c r="Y25" i="30"/>
  <c r="Y26" i="30" s="1"/>
  <c r="Z25" i="30"/>
  <c r="Z26" i="30" s="1"/>
  <c r="Y13" i="30"/>
  <c r="Y14" i="30" s="1"/>
  <c r="S26" i="30"/>
  <c r="S24" i="30"/>
  <c r="R23" i="30"/>
  <c r="R24" i="30" s="1"/>
  <c r="S7" i="30"/>
  <c r="Q13" i="30"/>
  <c r="Q14" i="30" s="1"/>
  <c r="R6" i="30"/>
  <c r="R13" i="30" s="1"/>
  <c r="S6" i="30"/>
  <c r="S13" i="30" l="1"/>
  <c r="S14" i="30" s="1"/>
  <c r="L12" i="48"/>
  <c r="R14" i="30"/>
  <c r="Q33" i="30"/>
  <c r="Q34" i="30" s="1"/>
  <c r="S27" i="30"/>
  <c r="S33" i="30" s="1"/>
  <c r="S34" i="30" s="1"/>
  <c r="N12" i="48"/>
  <c r="L13" i="48"/>
  <c r="AC26" i="46"/>
  <c r="X21" i="46"/>
  <c r="AR19" i="57"/>
  <c r="BA19" i="57" s="1"/>
  <c r="AM19" i="57"/>
  <c r="AD19" i="57" s="1"/>
  <c r="AR18" i="57"/>
  <c r="BA18" i="57" s="1"/>
  <c r="AM18" i="57"/>
  <c r="AD18" i="57" s="1"/>
  <c r="AR17" i="57"/>
  <c r="BA17" i="57" s="1"/>
  <c r="AM17" i="57"/>
  <c r="AD17" i="57" s="1"/>
  <c r="AR16" i="57"/>
  <c r="BA16" i="57" s="1"/>
  <c r="AM16" i="57"/>
  <c r="AR14" i="57"/>
  <c r="BA14" i="57" s="1"/>
  <c r="AM14" i="57"/>
  <c r="AR13" i="57"/>
  <c r="BA13" i="57" s="1"/>
  <c r="AM13" i="57"/>
  <c r="AD13" i="57" s="1"/>
  <c r="AR12" i="57"/>
  <c r="BA12" i="57" s="1"/>
  <c r="AM12" i="57"/>
  <c r="AR11" i="57"/>
  <c r="BA11" i="57" s="1"/>
  <c r="AM11" i="57"/>
  <c r="Z11" i="46"/>
  <c r="AR9" i="57"/>
  <c r="BA9" i="57" s="1"/>
  <c r="AM9" i="57"/>
  <c r="AD9" i="57" s="1"/>
  <c r="AR8" i="57"/>
  <c r="BA8" i="57" s="1"/>
  <c r="AM8" i="57"/>
  <c r="AD8" i="57" s="1"/>
  <c r="AR7" i="57"/>
  <c r="BA7" i="57" s="1"/>
  <c r="AM7" i="57"/>
  <c r="AD7" i="57" s="1"/>
  <c r="AR6" i="57"/>
  <c r="BA6" i="57" s="1"/>
  <c r="AM6" i="57"/>
  <c r="AD6" i="57" s="1"/>
  <c r="F8" i="47"/>
  <c r="E8" i="47"/>
  <c r="AD12" i="57" l="1"/>
  <c r="AD14" i="57"/>
  <c r="AD11" i="57"/>
  <c r="AD16" i="57"/>
  <c r="R34" i="30"/>
  <c r="G8" i="47"/>
  <c r="H8" i="47" s="1"/>
  <c r="O16" i="46" l="1"/>
  <c r="E6" i="47"/>
  <c r="G6" i="47" s="1"/>
  <c r="H6" i="47" s="1"/>
  <c r="O11" i="46" l="1"/>
  <c r="T16" i="57"/>
  <c r="AC16" i="57" s="1"/>
  <c r="U16" i="57"/>
  <c r="V16" i="57"/>
  <c r="P16" i="57"/>
  <c r="AQ12" i="2"/>
  <c r="AQ11" i="2"/>
  <c r="G12" i="2"/>
  <c r="G11" i="2"/>
  <c r="BA11" i="48" l="1"/>
  <c r="P11" i="57"/>
  <c r="U11" i="57"/>
  <c r="T11" i="57"/>
  <c r="AC11" i="57" s="1"/>
  <c r="BA10" i="48"/>
  <c r="V11" i="57"/>
  <c r="AR19" i="46"/>
  <c r="BA19" i="46" s="1"/>
  <c r="AM19" i="46"/>
  <c r="AR18" i="46"/>
  <c r="BA18" i="46" s="1"/>
  <c r="AM18" i="46"/>
  <c r="AR17" i="46"/>
  <c r="BA17" i="46" s="1"/>
  <c r="AM17" i="46"/>
  <c r="AR16" i="46"/>
  <c r="BA16" i="46" s="1"/>
  <c r="AM16" i="46"/>
  <c r="U16" i="46"/>
  <c r="T16" i="46"/>
  <c r="N16" i="46"/>
  <c r="K16" i="46" s="1"/>
  <c r="J16" i="46"/>
  <c r="C16" i="46"/>
  <c r="N11" i="48" s="1"/>
  <c r="AR14" i="46"/>
  <c r="BA14" i="46" s="1"/>
  <c r="AM14" i="46"/>
  <c r="AR13" i="46"/>
  <c r="BA13" i="46" s="1"/>
  <c r="AM13" i="46"/>
  <c r="AR12" i="46"/>
  <c r="BA12" i="46" s="1"/>
  <c r="AM12" i="46"/>
  <c r="AR11" i="46"/>
  <c r="BA11" i="46" s="1"/>
  <c r="AM11" i="46"/>
  <c r="T11" i="46"/>
  <c r="N11" i="46"/>
  <c r="J11" i="46"/>
  <c r="F26" i="31"/>
  <c r="I38" i="31"/>
  <c r="I8" i="47" s="1"/>
  <c r="G42" i="31"/>
  <c r="I37" i="31" s="1"/>
  <c r="F42" i="31"/>
  <c r="J4" i="31"/>
  <c r="I38" i="32"/>
  <c r="I6" i="47" s="1"/>
  <c r="G42" i="32"/>
  <c r="I37" i="32" s="1"/>
  <c r="F42" i="32"/>
  <c r="Q33" i="32"/>
  <c r="Q34" i="32" s="1"/>
  <c r="S27" i="32"/>
  <c r="R26" i="32"/>
  <c r="R33" i="32" s="1"/>
  <c r="P26" i="32"/>
  <c r="S26" i="32" s="1"/>
  <c r="Q23" i="32"/>
  <c r="Q24" i="32" s="1"/>
  <c r="S17" i="32"/>
  <c r="R16" i="32"/>
  <c r="R23" i="32" s="1"/>
  <c r="R24" i="32" s="1"/>
  <c r="P16" i="32"/>
  <c r="S16" i="32" s="1"/>
  <c r="Q13" i="32"/>
  <c r="Q14" i="32" s="1"/>
  <c r="S7" i="32"/>
  <c r="R6" i="32"/>
  <c r="R13" i="32" s="1"/>
  <c r="P6" i="32"/>
  <c r="S6" i="32" s="1"/>
  <c r="J4" i="32"/>
  <c r="S13" i="32" l="1"/>
  <c r="AC16" i="46"/>
  <c r="S14" i="32"/>
  <c r="R14" i="32"/>
  <c r="AD17" i="46"/>
  <c r="S33" i="32"/>
  <c r="S34" i="32" s="1"/>
  <c r="S23" i="32"/>
  <c r="S24" i="32" s="1"/>
  <c r="AD19" i="46"/>
  <c r="R34" i="32"/>
  <c r="AD14" i="46"/>
  <c r="L11" i="48"/>
  <c r="C11" i="46"/>
  <c r="N10" i="48" s="1"/>
  <c r="K11" i="46"/>
  <c r="U11" i="46"/>
  <c r="V11" i="46"/>
  <c r="AD18" i="46"/>
  <c r="AD16" i="46"/>
  <c r="AD13" i="46"/>
  <c r="AD12" i="46"/>
  <c r="AD11" i="46"/>
  <c r="V16" i="46"/>
  <c r="P16" i="46"/>
  <c r="P11" i="46"/>
  <c r="AC11" i="46" l="1"/>
  <c r="L10" i="48"/>
  <c r="C9" i="1" l="1"/>
  <c r="C10" i="2" s="1"/>
  <c r="AQ10" i="2"/>
  <c r="G10" i="2" l="1"/>
  <c r="F4" i="47"/>
  <c r="E4" i="47"/>
  <c r="F26" i="33" l="1"/>
  <c r="F17" i="33"/>
  <c r="I38" i="33"/>
  <c r="I4" i="47" s="1"/>
  <c r="G42" i="33"/>
  <c r="I37" i="33" s="1"/>
  <c r="F42" i="33"/>
  <c r="Q34" i="33"/>
  <c r="Q35" i="33" s="1"/>
  <c r="S28" i="33"/>
  <c r="R27" i="33"/>
  <c r="R34" i="33" s="1"/>
  <c r="P27" i="33"/>
  <c r="S27" i="33" s="1"/>
  <c r="P17" i="33"/>
  <c r="S17" i="33" s="1"/>
  <c r="Q24" i="33"/>
  <c r="Q25" i="33" s="1"/>
  <c r="S18" i="33"/>
  <c r="R17" i="33"/>
  <c r="Q13" i="33"/>
  <c r="Q14" i="33" s="1"/>
  <c r="R7" i="33"/>
  <c r="P7" i="33"/>
  <c r="S7" i="33" s="1"/>
  <c r="R6" i="33"/>
  <c r="P6" i="33"/>
  <c r="S6" i="33" s="1"/>
  <c r="S13" i="33" l="1"/>
  <c r="S34" i="33"/>
  <c r="S35" i="33" s="1"/>
  <c r="S14" i="33"/>
  <c r="R35" i="33"/>
  <c r="S24" i="33"/>
  <c r="S25" i="33" s="1"/>
  <c r="R24" i="33"/>
  <c r="R25" i="33" s="1"/>
  <c r="R13" i="33"/>
  <c r="R14" i="33" s="1"/>
  <c r="J4" i="33" l="1"/>
  <c r="A9" i="1" l="1"/>
  <c r="BF162" i="46" l="1"/>
  <c r="BE162" i="46"/>
  <c r="BD162" i="46"/>
  <c r="BC162" i="46"/>
  <c r="BB162" i="46"/>
  <c r="BF162" i="57"/>
  <c r="BE162" i="57"/>
  <c r="BD162" i="57"/>
  <c r="A6" i="46" l="1"/>
  <c r="B1" i="47"/>
  <c r="A8" i="45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F42" i="29" l="1"/>
  <c r="G42" i="29"/>
  <c r="I37" i="29" s="1"/>
  <c r="F32" i="27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E34" i="29" s="1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C24" i="31" s="1"/>
  <c r="F14" i="31"/>
  <c r="E14" i="31"/>
  <c r="E34" i="31" s="1"/>
  <c r="D14" i="31"/>
  <c r="C14" i="31"/>
  <c r="D33" i="27" l="1"/>
  <c r="C34" i="27"/>
  <c r="E33" i="29"/>
  <c r="C34" i="29"/>
  <c r="K7" i="29" s="1"/>
  <c r="W26" i="57" s="1"/>
  <c r="D33" i="30"/>
  <c r="C34" i="30"/>
  <c r="D24" i="30"/>
  <c r="C33" i="30"/>
  <c r="E34" i="27"/>
  <c r="F34" i="27"/>
  <c r="D24" i="27"/>
  <c r="D34" i="29"/>
  <c r="D33" i="29"/>
  <c r="D33" i="31"/>
  <c r="C34" i="31"/>
  <c r="K7" i="31" s="1"/>
  <c r="W16" i="57" s="1"/>
  <c r="F34" i="31"/>
  <c r="E33" i="27"/>
  <c r="D34" i="27"/>
  <c r="C33" i="29"/>
  <c r="D34" i="31"/>
  <c r="E24" i="30"/>
  <c r="E33" i="31"/>
  <c r="D24" i="31"/>
  <c r="D34" i="30"/>
  <c r="F34" i="29"/>
  <c r="C33" i="27"/>
  <c r="E24" i="31"/>
  <c r="E34" i="30"/>
  <c r="E33" i="30"/>
  <c r="F34" i="30"/>
  <c r="E24" i="27"/>
  <c r="C33" i="31"/>
  <c r="C24" i="29"/>
  <c r="C24" i="27"/>
  <c r="C15" i="27"/>
  <c r="D15" i="27"/>
  <c r="E15" i="27"/>
  <c r="D24" i="29"/>
  <c r="D15" i="29"/>
  <c r="E24" i="29"/>
  <c r="C15" i="29"/>
  <c r="E15" i="29"/>
  <c r="C24" i="30"/>
  <c r="C15" i="30"/>
  <c r="D15" i="30"/>
  <c r="E15" i="30"/>
  <c r="C15" i="31"/>
  <c r="D15" i="31"/>
  <c r="E15" i="31"/>
  <c r="P13" i="45"/>
  <c r="X26" i="57" l="1"/>
  <c r="X16" i="57"/>
  <c r="W26" i="46"/>
  <c r="W16" i="46"/>
  <c r="X26" i="46" l="1"/>
  <c r="X16" i="46"/>
  <c r="O7" i="29" l="1"/>
  <c r="O8" i="29"/>
  <c r="R8" i="29" s="1"/>
  <c r="Q12" i="29"/>
  <c r="O12" i="29"/>
  <c r="R12" i="29" s="1"/>
  <c r="Q11" i="29"/>
  <c r="O11" i="29"/>
  <c r="R11" i="29" s="1"/>
  <c r="Q9" i="29"/>
  <c r="P12" i="45" l="1"/>
  <c r="R7" i="29"/>
  <c r="O10" i="29"/>
  <c r="Q8" i="29"/>
  <c r="O9" i="29"/>
  <c r="R9" i="29" s="1"/>
  <c r="Q7" i="29"/>
  <c r="R10" i="29" l="1"/>
  <c r="R15" i="29" s="1"/>
  <c r="Q10" i="29"/>
  <c r="Q15" i="29" s="1"/>
  <c r="P15" i="29"/>
  <c r="R16" i="29" l="1"/>
  <c r="Q16" i="29"/>
  <c r="P11" i="45" l="1"/>
  <c r="P10" i="45"/>
  <c r="G42" i="30" l="1"/>
  <c r="I37" i="30" s="1"/>
  <c r="F42" i="30"/>
  <c r="P9" i="45" l="1"/>
  <c r="AM40" i="2" l="1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C39" i="1" l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B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CC41" i="1"/>
  <c r="BZ41" i="1"/>
  <c r="BW41" i="1"/>
  <c r="BT41" i="1"/>
  <c r="BQ41" i="1"/>
  <c r="BN41" i="1"/>
  <c r="BK41" i="1"/>
  <c r="BH41" i="1"/>
  <c r="BE41" i="1"/>
  <c r="BB41" i="1"/>
  <c r="AY41" i="1"/>
  <c r="AV41" i="1"/>
  <c r="AS41" i="1"/>
  <c r="AP41" i="1"/>
  <c r="AM41" i="1"/>
  <c r="AJ41" i="1"/>
  <c r="AG41" i="1"/>
  <c r="AD41" i="1"/>
  <c r="AA41" i="1"/>
  <c r="X41" i="1"/>
  <c r="U41" i="1"/>
  <c r="R41" i="1"/>
  <c r="O41" i="1"/>
  <c r="L41" i="1"/>
  <c r="I41" i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X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KA11" i="1"/>
  <c r="JZ11" i="1"/>
  <c r="JW11" i="1"/>
  <c r="JT11" i="1"/>
  <c r="JQ11" i="1"/>
  <c r="JO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D10" i="1"/>
  <c r="KC10" i="1"/>
  <c r="KA10" i="1"/>
  <c r="JZ10" i="1"/>
  <c r="JW10" i="1"/>
  <c r="JT10" i="1"/>
  <c r="JQ10" i="1"/>
  <c r="JO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M9" i="1"/>
  <c r="KL9" i="1"/>
  <c r="KJ9" i="1"/>
  <c r="KI9" i="1"/>
  <c r="KF9" i="1"/>
  <c r="KC9" i="1"/>
  <c r="KA9" i="1"/>
  <c r="JZ9" i="1"/>
  <c r="JX9" i="1"/>
  <c r="JW9" i="1"/>
  <c r="JT9" i="1"/>
  <c r="JQ9" i="1"/>
  <c r="JO9" i="1"/>
  <c r="JN9" i="1"/>
  <c r="JL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M11" i="1"/>
  <c r="KJ12" i="1"/>
  <c r="KD12" i="1"/>
  <c r="JR9" i="1"/>
  <c r="JO12" i="1"/>
  <c r="JL11" i="1"/>
  <c r="M39" i="55"/>
  <c r="D39" i="55"/>
  <c r="M38" i="55"/>
  <c r="D38" i="55"/>
  <c r="M37" i="55"/>
  <c r="D37" i="55"/>
  <c r="M36" i="55"/>
  <c r="D36" i="55"/>
  <c r="M35" i="55"/>
  <c r="D35" i="55"/>
  <c r="M34" i="55"/>
  <c r="D34" i="55"/>
  <c r="M33" i="55"/>
  <c r="D33" i="55"/>
  <c r="M32" i="55"/>
  <c r="D32" i="55"/>
  <c r="M31" i="55"/>
  <c r="D31" i="55"/>
  <c r="M30" i="55"/>
  <c r="D30" i="55"/>
  <c r="M29" i="55"/>
  <c r="D29" i="55"/>
  <c r="M28" i="55"/>
  <c r="D28" i="55"/>
  <c r="M27" i="55"/>
  <c r="D27" i="55"/>
  <c r="M26" i="55"/>
  <c r="D26" i="55"/>
  <c r="M25" i="55"/>
  <c r="D25" i="55"/>
  <c r="M24" i="55"/>
  <c r="D24" i="55"/>
  <c r="M23" i="55"/>
  <c r="D23" i="55"/>
  <c r="M22" i="55"/>
  <c r="D22" i="55"/>
  <c r="M21" i="55"/>
  <c r="D21" i="55"/>
  <c r="M20" i="55"/>
  <c r="D20" i="55"/>
  <c r="M19" i="55"/>
  <c r="D19" i="55"/>
  <c r="M18" i="55"/>
  <c r="D18" i="55"/>
  <c r="M17" i="55"/>
  <c r="D17" i="55"/>
  <c r="M16" i="55"/>
  <c r="D16" i="55"/>
  <c r="M11" i="55"/>
  <c r="D11" i="55"/>
  <c r="M10" i="55"/>
  <c r="D10" i="55"/>
  <c r="M9" i="55"/>
  <c r="D9" i="55"/>
  <c r="M8" i="55"/>
  <c r="D8" i="55"/>
  <c r="M6" i="55"/>
  <c r="D6" i="55"/>
  <c r="M5" i="55"/>
  <c r="D5" i="55"/>
  <c r="M4" i="55"/>
  <c r="D4" i="55"/>
  <c r="E3" i="55"/>
  <c r="F3" i="55" s="1"/>
  <c r="G3" i="55" s="1"/>
  <c r="H3" i="55" s="1"/>
  <c r="M3" i="55" s="1"/>
  <c r="N3" i="55" s="1"/>
  <c r="O3" i="55" s="1"/>
  <c r="P3" i="55" s="1"/>
  <c r="Q3" i="55" s="1"/>
  <c r="Q41" i="1" l="1"/>
  <c r="T41" i="1"/>
  <c r="W41" i="1"/>
  <c r="KF41" i="1"/>
  <c r="DH41" i="1"/>
  <c r="EG41" i="1"/>
  <c r="FE41" i="1"/>
  <c r="GC41" i="1"/>
  <c r="HA41" i="1"/>
  <c r="HY41" i="1"/>
  <c r="IW41" i="1"/>
  <c r="K41" i="1"/>
  <c r="P41" i="1"/>
  <c r="M41" i="1"/>
  <c r="KT38" i="1"/>
  <c r="KT13" i="1"/>
  <c r="N41" i="1"/>
  <c r="AI41" i="1"/>
  <c r="BG41" i="1"/>
  <c r="CE41" i="1"/>
  <c r="DC41" i="1"/>
  <c r="EA41" i="1"/>
  <c r="EY41" i="1"/>
  <c r="FW41" i="1"/>
  <c r="GU41" i="1"/>
  <c r="HS41" i="1"/>
  <c r="IQ41" i="1"/>
  <c r="KT17" i="1"/>
  <c r="KT10" i="1"/>
  <c r="KT14" i="1"/>
  <c r="KT9" i="1"/>
  <c r="KT16" i="1"/>
  <c r="KT11" i="1"/>
  <c r="KT22" i="1"/>
  <c r="KT12" i="1"/>
  <c r="KT19" i="1"/>
  <c r="KT27" i="1"/>
  <c r="KT18" i="1"/>
  <c r="KT15" i="1"/>
  <c r="KT20" i="1"/>
  <c r="KT24" i="1"/>
  <c r="KT28" i="1"/>
  <c r="KT21" i="1"/>
  <c r="KT26" i="1"/>
  <c r="KT25" i="1"/>
  <c r="KT23" i="1"/>
  <c r="AL41" i="1"/>
  <c r="BJ41" i="1"/>
  <c r="CH41" i="1"/>
  <c r="DF41" i="1"/>
  <c r="ED41" i="1"/>
  <c r="FB41" i="1"/>
  <c r="FZ41" i="1"/>
  <c r="GX41" i="1"/>
  <c r="HV41" i="1"/>
  <c r="IT41" i="1"/>
  <c r="CM41" i="1"/>
  <c r="DK41" i="1"/>
  <c r="EI41" i="1"/>
  <c r="V41" i="1"/>
  <c r="AU41" i="1"/>
  <c r="BS41" i="1"/>
  <c r="CQ41" i="1"/>
  <c r="DO41" i="1"/>
  <c r="FK41" i="1"/>
  <c r="ID41" i="1"/>
  <c r="JB41" i="1"/>
  <c r="JZ41" i="1"/>
  <c r="KT39" i="1"/>
  <c r="Z41" i="1"/>
  <c r="AX41" i="1"/>
  <c r="BV41" i="1"/>
  <c r="CT41" i="1"/>
  <c r="DR41" i="1"/>
  <c r="EP41" i="1"/>
  <c r="FN41" i="1"/>
  <c r="GL41" i="1"/>
  <c r="HJ41" i="1"/>
  <c r="IH41" i="1"/>
  <c r="JF41" i="1"/>
  <c r="KT36" i="1"/>
  <c r="AB41" i="1"/>
  <c r="AZ41" i="1"/>
  <c r="BY41" i="1"/>
  <c r="CW41" i="1"/>
  <c r="DU41" i="1"/>
  <c r="ES41" i="1"/>
  <c r="FP41" i="1"/>
  <c r="GO41" i="1"/>
  <c r="HM41" i="1"/>
  <c r="AF41" i="1"/>
  <c r="BD41" i="1"/>
  <c r="CB41" i="1"/>
  <c r="CZ41" i="1"/>
  <c r="DX41" i="1"/>
  <c r="EV41" i="1"/>
  <c r="FT41" i="1"/>
  <c r="GR41" i="1"/>
  <c r="HP41" i="1"/>
  <c r="IN41" i="1"/>
  <c r="KP39" i="1"/>
  <c r="KP38" i="1"/>
  <c r="KP37" i="1"/>
  <c r="KP36" i="1"/>
  <c r="KP32" i="1"/>
  <c r="KP34" i="1"/>
  <c r="KP33" i="1"/>
  <c r="KP30" i="1"/>
  <c r="KP28" i="1"/>
  <c r="KP27" i="1"/>
  <c r="KP26" i="1"/>
  <c r="KP35" i="1"/>
  <c r="KP31" i="1"/>
  <c r="KP25" i="1"/>
  <c r="KP24" i="1"/>
  <c r="KP23" i="1"/>
  <c r="KP22" i="1"/>
  <c r="KP21" i="1"/>
  <c r="KP20" i="1"/>
  <c r="KP19" i="1"/>
  <c r="KP18" i="1"/>
  <c r="KP17" i="1"/>
  <c r="KP16" i="1"/>
  <c r="KP15" i="1"/>
  <c r="KP14" i="1"/>
  <c r="KP13" i="1"/>
  <c r="KP29" i="1"/>
  <c r="JR11" i="1"/>
  <c r="KP10" i="1"/>
  <c r="JL12" i="1"/>
  <c r="KP12" i="1"/>
  <c r="KS39" i="1"/>
  <c r="KS38" i="1"/>
  <c r="KS37" i="1"/>
  <c r="KS36" i="1"/>
  <c r="KS35" i="1"/>
  <c r="KS34" i="1"/>
  <c r="KS33" i="1"/>
  <c r="KS32" i="1"/>
  <c r="KS30" i="1"/>
  <c r="KS31" i="1"/>
  <c r="KS29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11" i="1"/>
  <c r="KS10" i="1"/>
  <c r="KS9" i="1"/>
  <c r="KS28" i="1"/>
  <c r="KS26" i="1"/>
  <c r="KS27" i="1"/>
  <c r="JU39" i="1"/>
  <c r="JU38" i="1"/>
  <c r="JU37" i="1"/>
  <c r="JU35" i="1"/>
  <c r="JU34" i="1"/>
  <c r="JU33" i="1"/>
  <c r="JU32" i="1"/>
  <c r="JU36" i="1"/>
  <c r="JU30" i="1"/>
  <c r="JU29" i="1"/>
  <c r="JU31" i="1"/>
  <c r="JU26" i="1"/>
  <c r="JU25" i="1"/>
  <c r="JU24" i="1"/>
  <c r="JU23" i="1"/>
  <c r="JU22" i="1"/>
  <c r="JU21" i="1"/>
  <c r="JU20" i="1"/>
  <c r="JU19" i="1"/>
  <c r="JU18" i="1"/>
  <c r="JU17" i="1"/>
  <c r="JU16" i="1"/>
  <c r="JU15" i="1"/>
  <c r="JU14" i="1"/>
  <c r="JU13" i="1"/>
  <c r="JU12" i="1"/>
  <c r="JU11" i="1"/>
  <c r="JU10" i="1"/>
  <c r="JU27" i="1"/>
  <c r="JU28" i="1"/>
  <c r="JX41" i="1"/>
  <c r="JX39" i="1"/>
  <c r="JX38" i="1"/>
  <c r="JX37" i="1"/>
  <c r="JX36" i="1"/>
  <c r="JX35" i="1"/>
  <c r="JX34" i="1"/>
  <c r="JX33" i="1"/>
  <c r="JX32" i="1"/>
  <c r="JX31" i="1"/>
  <c r="JX28" i="1"/>
  <c r="JX27" i="1"/>
  <c r="JX26" i="1"/>
  <c r="JX30" i="1"/>
  <c r="JX29" i="1"/>
  <c r="JX25" i="1"/>
  <c r="JX24" i="1"/>
  <c r="JX23" i="1"/>
  <c r="JX22" i="1"/>
  <c r="JX21" i="1"/>
  <c r="JX20" i="1"/>
  <c r="JX19" i="1"/>
  <c r="JX18" i="1"/>
  <c r="JX17" i="1"/>
  <c r="JX16" i="1"/>
  <c r="JX15" i="1"/>
  <c r="JX14" i="1"/>
  <c r="JX13" i="1"/>
  <c r="KJ11" i="1"/>
  <c r="KA41" i="1"/>
  <c r="KA39" i="1"/>
  <c r="KA38" i="1"/>
  <c r="KA37" i="1"/>
  <c r="KA36" i="1"/>
  <c r="KA35" i="1"/>
  <c r="KA34" i="1"/>
  <c r="KA33" i="1"/>
  <c r="KA32" i="1"/>
  <c r="KA31" i="1"/>
  <c r="KA30" i="1"/>
  <c r="KA29" i="1"/>
  <c r="KA28" i="1"/>
  <c r="KA25" i="1"/>
  <c r="KA24" i="1"/>
  <c r="KA23" i="1"/>
  <c r="KA22" i="1"/>
  <c r="KA21" i="1"/>
  <c r="KA20" i="1"/>
  <c r="KA19" i="1"/>
  <c r="KA18" i="1"/>
  <c r="KA17" i="1"/>
  <c r="KA16" i="1"/>
  <c r="KA15" i="1"/>
  <c r="KA14" i="1"/>
  <c r="KA13" i="1"/>
  <c r="KA12" i="1"/>
  <c r="KA26" i="1"/>
  <c r="KA27" i="1"/>
  <c r="JR10" i="1"/>
  <c r="JX11" i="1"/>
  <c r="KD39" i="1"/>
  <c r="KD38" i="1"/>
  <c r="KD37" i="1"/>
  <c r="KD36" i="1"/>
  <c r="KD35" i="1"/>
  <c r="KD33" i="1"/>
  <c r="KD31" i="1"/>
  <c r="KD28" i="1"/>
  <c r="KD27" i="1"/>
  <c r="KD26" i="1"/>
  <c r="KD32" i="1"/>
  <c r="KD34" i="1"/>
  <c r="KD29" i="1"/>
  <c r="KD25" i="1"/>
  <c r="KD24" i="1"/>
  <c r="KD23" i="1"/>
  <c r="KD22" i="1"/>
  <c r="KD21" i="1"/>
  <c r="KD20" i="1"/>
  <c r="KD19" i="1"/>
  <c r="KD18" i="1"/>
  <c r="KD17" i="1"/>
  <c r="KD16" i="1"/>
  <c r="KD15" i="1"/>
  <c r="KD14" i="1"/>
  <c r="KD13" i="1"/>
  <c r="KD30" i="1"/>
  <c r="KD9" i="1"/>
  <c r="KP9" i="1"/>
  <c r="JR39" i="1"/>
  <c r="JR38" i="1"/>
  <c r="JR37" i="1"/>
  <c r="JR36" i="1"/>
  <c r="JR35" i="1"/>
  <c r="JR31" i="1"/>
  <c r="JR34" i="1"/>
  <c r="JR30" i="1"/>
  <c r="JR33" i="1"/>
  <c r="JR32" i="1"/>
  <c r="JR28" i="1"/>
  <c r="JR27" i="1"/>
  <c r="JR26" i="1"/>
  <c r="JR29" i="1"/>
  <c r="JR25" i="1"/>
  <c r="JR24" i="1"/>
  <c r="JR23" i="1"/>
  <c r="JR22" i="1"/>
  <c r="JR21" i="1"/>
  <c r="JR20" i="1"/>
  <c r="JR19" i="1"/>
  <c r="JR18" i="1"/>
  <c r="JR17" i="1"/>
  <c r="JR16" i="1"/>
  <c r="JR15" i="1"/>
  <c r="JR14" i="1"/>
  <c r="JR13" i="1"/>
  <c r="KJ10" i="1"/>
  <c r="JR12" i="1"/>
  <c r="KG39" i="1"/>
  <c r="KG38" i="1"/>
  <c r="KG37" i="1"/>
  <c r="KG41" i="1"/>
  <c r="KG35" i="1"/>
  <c r="KG34" i="1"/>
  <c r="KG33" i="1"/>
  <c r="KG32" i="1"/>
  <c r="KG36" i="1"/>
  <c r="KG30" i="1"/>
  <c r="KG29" i="1"/>
  <c r="KG25" i="1"/>
  <c r="KG24" i="1"/>
  <c r="KG23" i="1"/>
  <c r="KG22" i="1"/>
  <c r="KG21" i="1"/>
  <c r="KG20" i="1"/>
  <c r="KG19" i="1"/>
  <c r="KG18" i="1"/>
  <c r="KG17" i="1"/>
  <c r="KG16" i="1"/>
  <c r="KG15" i="1"/>
  <c r="KG14" i="1"/>
  <c r="KG13" i="1"/>
  <c r="KG12" i="1"/>
  <c r="KG11" i="1"/>
  <c r="KG10" i="1"/>
  <c r="KG26" i="1"/>
  <c r="KG27" i="1"/>
  <c r="KG31" i="1"/>
  <c r="KG28" i="1"/>
  <c r="JL39" i="1"/>
  <c r="JL38" i="1"/>
  <c r="JL37" i="1"/>
  <c r="JL36" i="1"/>
  <c r="JL35" i="1"/>
  <c r="JL34" i="1"/>
  <c r="JL33" i="1"/>
  <c r="JL32" i="1"/>
  <c r="JL28" i="1"/>
  <c r="JL27" i="1"/>
  <c r="JL26" i="1"/>
  <c r="JL30" i="1"/>
  <c r="JL31" i="1"/>
  <c r="JL29" i="1"/>
  <c r="JL25" i="1"/>
  <c r="JL24" i="1"/>
  <c r="JL23" i="1"/>
  <c r="JL22" i="1"/>
  <c r="JL21" i="1"/>
  <c r="JL20" i="1"/>
  <c r="JL19" i="1"/>
  <c r="JL18" i="1"/>
  <c r="JL17" i="1"/>
  <c r="JL16" i="1"/>
  <c r="JL15" i="1"/>
  <c r="JL14" i="1"/>
  <c r="JL13" i="1"/>
  <c r="JU9" i="1"/>
  <c r="KP11" i="1"/>
  <c r="KJ39" i="1"/>
  <c r="KJ38" i="1"/>
  <c r="KJ37" i="1"/>
  <c r="KJ36" i="1"/>
  <c r="KJ35" i="1"/>
  <c r="KJ34" i="1"/>
  <c r="KJ33" i="1"/>
  <c r="KJ32" i="1"/>
  <c r="KJ31" i="1"/>
  <c r="KJ28" i="1"/>
  <c r="KJ27" i="1"/>
  <c r="KJ26" i="1"/>
  <c r="KJ30" i="1"/>
  <c r="KJ25" i="1"/>
  <c r="KJ24" i="1"/>
  <c r="KJ23" i="1"/>
  <c r="KJ22" i="1"/>
  <c r="KJ21" i="1"/>
  <c r="KJ20" i="1"/>
  <c r="KJ19" i="1"/>
  <c r="KJ18" i="1"/>
  <c r="KJ17" i="1"/>
  <c r="KJ16" i="1"/>
  <c r="KJ15" i="1"/>
  <c r="KJ14" i="1"/>
  <c r="KJ13" i="1"/>
  <c r="KJ29" i="1"/>
  <c r="KG9" i="1"/>
  <c r="JX10" i="1"/>
  <c r="JO39" i="1"/>
  <c r="JO38" i="1"/>
  <c r="JO37" i="1"/>
  <c r="JO36" i="1"/>
  <c r="JO35" i="1"/>
  <c r="JO34" i="1"/>
  <c r="JO33" i="1"/>
  <c r="JO32" i="1"/>
  <c r="JO31" i="1"/>
  <c r="JO30" i="1"/>
  <c r="JO29" i="1"/>
  <c r="JO28" i="1"/>
  <c r="JO26" i="1"/>
  <c r="JO25" i="1"/>
  <c r="JO24" i="1"/>
  <c r="JO23" i="1"/>
  <c r="JO22" i="1"/>
  <c r="JO21" i="1"/>
  <c r="JO20" i="1"/>
  <c r="JO19" i="1"/>
  <c r="JO18" i="1"/>
  <c r="JO17" i="1"/>
  <c r="JO16" i="1"/>
  <c r="JO15" i="1"/>
  <c r="JO14" i="1"/>
  <c r="JO13" i="1"/>
  <c r="JO27" i="1"/>
  <c r="KM39" i="1"/>
  <c r="KM38" i="1"/>
  <c r="KM37" i="1"/>
  <c r="KM36" i="1"/>
  <c r="KM35" i="1"/>
  <c r="KM34" i="1"/>
  <c r="KM33" i="1"/>
  <c r="KM32" i="1"/>
  <c r="KM31" i="1"/>
  <c r="KM30" i="1"/>
  <c r="KM29" i="1"/>
  <c r="KM27" i="1"/>
  <c r="KM28" i="1"/>
  <c r="KM25" i="1"/>
  <c r="KM24" i="1"/>
  <c r="KM23" i="1"/>
  <c r="KM22" i="1"/>
  <c r="KM21" i="1"/>
  <c r="KM20" i="1"/>
  <c r="KM19" i="1"/>
  <c r="KM18" i="1"/>
  <c r="KM17" i="1"/>
  <c r="KM16" i="1"/>
  <c r="KM15" i="1"/>
  <c r="KM14" i="1"/>
  <c r="KM13" i="1"/>
  <c r="KM12" i="1"/>
  <c r="KM26" i="1"/>
  <c r="JL10" i="1"/>
  <c r="KM10" i="1"/>
  <c r="KD11" i="1"/>
  <c r="KT32" i="1"/>
  <c r="KT31" i="1"/>
  <c r="KT29" i="1"/>
  <c r="KT30" i="1"/>
  <c r="KT33" i="1"/>
  <c r="KT34" i="1"/>
  <c r="KD41" i="1"/>
  <c r="JL41" i="1"/>
  <c r="KJ41" i="1"/>
  <c r="JO41" i="1"/>
  <c r="KM41" i="1"/>
  <c r="KT37" i="1"/>
  <c r="JR41" i="1"/>
  <c r="KP41" i="1"/>
  <c r="JU41" i="1"/>
  <c r="KS41" i="1"/>
  <c r="AC41" i="1"/>
  <c r="AK41" i="1"/>
  <c r="BA41" i="1"/>
  <c r="BI41" i="1"/>
  <c r="CG41" i="1"/>
  <c r="DE41" i="1"/>
  <c r="EC41" i="1"/>
  <c r="FA41" i="1"/>
  <c r="FQ41" i="1"/>
  <c r="FY41" i="1"/>
  <c r="GW41" i="1"/>
  <c r="HU41" i="1"/>
  <c r="IK41" i="1"/>
  <c r="IS41" i="1"/>
  <c r="JI41" i="1"/>
  <c r="JQ41" i="1"/>
  <c r="KO41" i="1"/>
  <c r="AT41" i="1"/>
  <c r="BR41" i="1"/>
  <c r="CP41" i="1"/>
  <c r="DN41" i="1"/>
  <c r="FJ41" i="1"/>
  <c r="GH41" i="1"/>
  <c r="HF41" i="1"/>
  <c r="G41" i="1"/>
  <c r="AE41" i="1"/>
  <c r="BC41" i="1"/>
  <c r="CA41" i="1"/>
  <c r="CY41" i="1"/>
  <c r="DW41" i="1"/>
  <c r="EU41" i="1"/>
  <c r="FS41" i="1"/>
  <c r="GI41" i="1"/>
  <c r="GQ41" i="1"/>
  <c r="HG41" i="1"/>
  <c r="HO41" i="1"/>
  <c r="IE41" i="1"/>
  <c r="IM41" i="1"/>
  <c r="JC41" i="1"/>
  <c r="JK41" i="1"/>
  <c r="KI41" i="1"/>
  <c r="H41" i="1"/>
  <c r="AN41" i="1"/>
  <c r="BL41" i="1"/>
  <c r="CJ41" i="1"/>
  <c r="EF41" i="1"/>
  <c r="FD41" i="1"/>
  <c r="GB41" i="1"/>
  <c r="GZ41" i="1"/>
  <c r="HX41" i="1"/>
  <c r="IV41" i="1"/>
  <c r="JT41" i="1"/>
  <c r="KR41" i="1"/>
  <c r="Y41" i="1"/>
  <c r="AO41" i="1"/>
  <c r="AW41" i="1"/>
  <c r="BM41" i="1"/>
  <c r="BU41" i="1"/>
  <c r="CK41" i="1"/>
  <c r="CS41" i="1"/>
  <c r="DI41" i="1"/>
  <c r="DQ41" i="1"/>
  <c r="EO41" i="1"/>
  <c r="FM41" i="1"/>
  <c r="GK41" i="1"/>
  <c r="HI41" i="1"/>
  <c r="IG41" i="1"/>
  <c r="JE41" i="1"/>
  <c r="KC41" i="1"/>
  <c r="J41" i="1"/>
  <c r="AH41" i="1"/>
  <c r="BF41" i="1"/>
  <c r="CD41" i="1"/>
  <c r="DB41" i="1"/>
  <c r="DZ41" i="1"/>
  <c r="EX41" i="1"/>
  <c r="FV41" i="1"/>
  <c r="GT41" i="1"/>
  <c r="HR41" i="1"/>
  <c r="IP41" i="1"/>
  <c r="JN41" i="1"/>
  <c r="KL41" i="1"/>
  <c r="S41" i="1"/>
  <c r="AQ41" i="1"/>
  <c r="BO41" i="1"/>
  <c r="FG41" i="1"/>
  <c r="GE41" i="1"/>
  <c r="HC41" i="1"/>
  <c r="IA41" i="1"/>
  <c r="IY41" i="1"/>
  <c r="JW41" i="1"/>
  <c r="AR41" i="1"/>
  <c r="BP41" i="1"/>
  <c r="BX41" i="1"/>
  <c r="CN41" i="1"/>
  <c r="CV41" i="1"/>
  <c r="DL41" i="1"/>
  <c r="DT41" i="1"/>
  <c r="EJ41" i="1"/>
  <c r="ER41" i="1"/>
  <c r="FH41" i="1"/>
  <c r="GF41" i="1"/>
  <c r="GN41" i="1"/>
  <c r="HD41" i="1"/>
  <c r="HL41" i="1"/>
  <c r="IB41" i="1"/>
  <c r="IJ41" i="1"/>
  <c r="IZ41" i="1"/>
  <c r="JH41" i="1"/>
  <c r="M40" i="55"/>
  <c r="D40" i="55"/>
  <c r="KU36" i="1" l="1"/>
  <c r="KU15" i="1"/>
  <c r="KU35" i="1"/>
  <c r="KU14" i="1"/>
  <c r="KU31" i="1"/>
  <c r="KU39" i="1"/>
  <c r="KU13" i="1"/>
  <c r="KU21" i="1"/>
  <c r="KU26" i="1"/>
  <c r="KU37" i="1"/>
  <c r="KU38" i="1"/>
  <c r="KU10" i="1"/>
  <c r="KU27" i="1"/>
  <c r="KU33" i="1"/>
  <c r="KU32" i="1"/>
  <c r="KU16" i="1"/>
  <c r="KU34" i="1"/>
  <c r="KU28" i="1"/>
  <c r="KU23" i="1"/>
  <c r="KU22" i="1"/>
  <c r="KU24" i="1"/>
  <c r="KU30" i="1"/>
  <c r="KU17" i="1"/>
  <c r="KU25" i="1"/>
  <c r="KU18" i="1"/>
  <c r="KU12" i="1"/>
  <c r="KU19" i="1"/>
  <c r="KU9" i="1"/>
  <c r="KU20" i="1"/>
  <c r="KU29" i="1"/>
  <c r="KU11" i="1"/>
  <c r="KU41" i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D34" i="8" s="1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42" i="10"/>
  <c r="F32" i="10"/>
  <c r="E32" i="10"/>
  <c r="D32" i="10"/>
  <c r="C32" i="10"/>
  <c r="F23" i="10"/>
  <c r="E23" i="10"/>
  <c r="D23" i="10"/>
  <c r="Z141" i="57" s="1"/>
  <c r="AA140" i="57" s="1"/>
  <c r="AB140" i="57" s="1"/>
  <c r="C23" i="10"/>
  <c r="F14" i="10"/>
  <c r="E14" i="10"/>
  <c r="D14" i="10"/>
  <c r="D34" i="10" s="1"/>
  <c r="C14" i="10"/>
  <c r="F32" i="11"/>
  <c r="E32" i="11"/>
  <c r="D32" i="11"/>
  <c r="C32" i="11"/>
  <c r="F23" i="11"/>
  <c r="E23" i="11"/>
  <c r="D23" i="11"/>
  <c r="D24" i="11" s="1"/>
  <c r="C23" i="11"/>
  <c r="F14" i="11"/>
  <c r="E14" i="1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C24" i="14" s="1"/>
  <c r="F14" i="14"/>
  <c r="E14" i="14"/>
  <c r="E34" i="14" s="1"/>
  <c r="D14" i="14"/>
  <c r="D34" i="14" s="1"/>
  <c r="C14" i="14"/>
  <c r="F32" i="15"/>
  <c r="E32" i="15"/>
  <c r="D32" i="15"/>
  <c r="C32" i="15"/>
  <c r="C33" i="15" s="1"/>
  <c r="F23" i="15"/>
  <c r="E23" i="15"/>
  <c r="D23" i="15"/>
  <c r="C23" i="15"/>
  <c r="F14" i="15"/>
  <c r="E14" i="15"/>
  <c r="D14" i="15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C33" i="17" s="1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E34" i="18" s="1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C14" i="19"/>
  <c r="F32" i="20"/>
  <c r="E32" i="20"/>
  <c r="D32" i="20"/>
  <c r="C32" i="20"/>
  <c r="F23" i="20"/>
  <c r="E23" i="20"/>
  <c r="D23" i="20"/>
  <c r="C23" i="20"/>
  <c r="C24" i="20" s="1"/>
  <c r="F14" i="20"/>
  <c r="E14" i="20"/>
  <c r="D14" i="20"/>
  <c r="D34" i="20" s="1"/>
  <c r="C14" i="20"/>
  <c r="F32" i="22"/>
  <c r="E32" i="22"/>
  <c r="D32" i="22"/>
  <c r="Z85" i="57" s="1"/>
  <c r="C32" i="22"/>
  <c r="C33" i="22" s="1"/>
  <c r="F23" i="22"/>
  <c r="E23" i="22"/>
  <c r="D23" i="22"/>
  <c r="C23" i="22"/>
  <c r="F14" i="22"/>
  <c r="E14" i="22"/>
  <c r="D14" i="22"/>
  <c r="C14" i="22"/>
  <c r="F32" i="21"/>
  <c r="E32" i="21"/>
  <c r="D32" i="21"/>
  <c r="C32" i="21"/>
  <c r="F23" i="21"/>
  <c r="E23" i="21"/>
  <c r="D23" i="21"/>
  <c r="C23" i="21"/>
  <c r="F14" i="21"/>
  <c r="E14" i="21"/>
  <c r="D14" i="21"/>
  <c r="C14" i="21"/>
  <c r="F32" i="23"/>
  <c r="E32" i="23"/>
  <c r="D32" i="23"/>
  <c r="C32" i="23"/>
  <c r="C33" i="23" s="1"/>
  <c r="F23" i="23"/>
  <c r="E23" i="23"/>
  <c r="D23" i="23"/>
  <c r="C23" i="23"/>
  <c r="F14" i="23"/>
  <c r="E14" i="23"/>
  <c r="D14" i="23"/>
  <c r="C1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C14" i="28"/>
  <c r="F32" i="32"/>
  <c r="E32" i="32"/>
  <c r="D32" i="32"/>
  <c r="C32" i="32"/>
  <c r="F23" i="32"/>
  <c r="E23" i="32"/>
  <c r="D23" i="32"/>
  <c r="C23" i="32"/>
  <c r="F14" i="32"/>
  <c r="E14" i="32"/>
  <c r="D14" i="32"/>
  <c r="C14" i="3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C33" i="11" l="1"/>
  <c r="Z141" i="46"/>
  <c r="AA140" i="46" s="1"/>
  <c r="AB140" i="46" s="1"/>
  <c r="Z85" i="46"/>
  <c r="C34" i="8"/>
  <c r="F34" i="8"/>
  <c r="D34" i="24"/>
  <c r="E34" i="10"/>
  <c r="F34" i="14"/>
  <c r="F34" i="12"/>
  <c r="F34" i="10"/>
  <c r="D33" i="9"/>
  <c r="D34" i="21"/>
  <c r="D34" i="12"/>
  <c r="D15" i="16"/>
  <c r="D33" i="17"/>
  <c r="D33" i="15"/>
  <c r="D24" i="14"/>
  <c r="E24" i="16"/>
  <c r="C34" i="18"/>
  <c r="K14" i="18" s="1"/>
  <c r="W85" i="57" s="1"/>
  <c r="C15" i="16"/>
  <c r="C34" i="14"/>
  <c r="D35" i="14" s="1"/>
  <c r="C33" i="6"/>
  <c r="D34" i="25"/>
  <c r="D34" i="23"/>
  <c r="D34" i="22"/>
  <c r="F34" i="28"/>
  <c r="F34" i="11"/>
  <c r="E15" i="12"/>
  <c r="C15" i="23"/>
  <c r="C34" i="22"/>
  <c r="K14" i="22" s="1"/>
  <c r="W69" i="57" s="1"/>
  <c r="F34" i="18"/>
  <c r="C15" i="11"/>
  <c r="E34" i="28"/>
  <c r="E15" i="25"/>
  <c r="E15" i="23"/>
  <c r="E34" i="22"/>
  <c r="D34" i="19"/>
  <c r="D24" i="18"/>
  <c r="D24" i="12"/>
  <c r="E33" i="13"/>
  <c r="D33" i="7"/>
  <c r="C24" i="28"/>
  <c r="E33" i="26"/>
  <c r="C24" i="25"/>
  <c r="E33" i="24"/>
  <c r="C24" i="23"/>
  <c r="C33" i="21"/>
  <c r="C24" i="22"/>
  <c r="E33" i="20"/>
  <c r="D33" i="26"/>
  <c r="D33" i="24"/>
  <c r="D24" i="23"/>
  <c r="D33" i="20"/>
  <c r="C15" i="12"/>
  <c r="C15" i="19"/>
  <c r="C33" i="19"/>
  <c r="C24" i="12"/>
  <c r="E33" i="25"/>
  <c r="D34" i="11"/>
  <c r="F34" i="25"/>
  <c r="F34" i="23"/>
  <c r="F34" i="22"/>
  <c r="E24" i="18"/>
  <c r="E24" i="12"/>
  <c r="E34" i="11"/>
  <c r="C33" i="9"/>
  <c r="C34" i="6"/>
  <c r="C34" i="37"/>
  <c r="K16" i="37" s="1"/>
  <c r="D33" i="28"/>
  <c r="C34" i="24"/>
  <c r="F34" i="17"/>
  <c r="F34" i="13"/>
  <c r="D34" i="9"/>
  <c r="C33" i="16"/>
  <c r="C33" i="12"/>
  <c r="E33" i="9"/>
  <c r="D24" i="19"/>
  <c r="D34" i="18"/>
  <c r="C24" i="11"/>
  <c r="D33" i="10"/>
  <c r="F34" i="9"/>
  <c r="F34" i="7"/>
  <c r="C34" i="32"/>
  <c r="E33" i="32"/>
  <c r="D24" i="20"/>
  <c r="D33" i="16"/>
  <c r="D33" i="14"/>
  <c r="D24" i="13"/>
  <c r="D15" i="11"/>
  <c r="E24" i="21"/>
  <c r="E15" i="15"/>
  <c r="E33" i="11"/>
  <c r="E24" i="37"/>
  <c r="E34" i="19"/>
  <c r="E34" i="9"/>
  <c r="C34" i="21"/>
  <c r="K14" i="21" s="1"/>
  <c r="C15" i="20"/>
  <c r="C34" i="15"/>
  <c r="C34" i="11"/>
  <c r="K18" i="11" s="1"/>
  <c r="W120" i="57" s="1"/>
  <c r="C33" i="37"/>
  <c r="C24" i="26"/>
  <c r="C33" i="26"/>
  <c r="D33" i="21"/>
  <c r="D15" i="20"/>
  <c r="D34" i="16"/>
  <c r="E15" i="9"/>
  <c r="E24" i="8"/>
  <c r="C24" i="19"/>
  <c r="E24" i="14"/>
  <c r="C24" i="9"/>
  <c r="D35" i="30"/>
  <c r="C24" i="17"/>
  <c r="E24" i="11"/>
  <c r="C33" i="8"/>
  <c r="E33" i="6"/>
  <c r="E34" i="32"/>
  <c r="F34" i="32"/>
  <c r="E24" i="26"/>
  <c r="E24" i="28"/>
  <c r="E34" i="25"/>
  <c r="E34" i="21"/>
  <c r="E24" i="17"/>
  <c r="E24" i="32"/>
  <c r="D24" i="25"/>
  <c r="D33" i="23"/>
  <c r="F34" i="21"/>
  <c r="D33" i="19"/>
  <c r="E34" i="16"/>
  <c r="D24" i="16"/>
  <c r="D34" i="15"/>
  <c r="C15" i="13"/>
  <c r="E15" i="11"/>
  <c r="D33" i="11"/>
  <c r="D24" i="9"/>
  <c r="E24" i="6"/>
  <c r="D15" i="37"/>
  <c r="E33" i="18"/>
  <c r="E24" i="13"/>
  <c r="D33" i="12"/>
  <c r="D34" i="7"/>
  <c r="E33" i="12"/>
  <c r="C15" i="28"/>
  <c r="C33" i="28"/>
  <c r="E34" i="26"/>
  <c r="D24" i="26"/>
  <c r="E24" i="25"/>
  <c r="D15" i="24"/>
  <c r="E34" i="23"/>
  <c r="D15" i="21"/>
  <c r="E15" i="20"/>
  <c r="E15" i="19"/>
  <c r="E34" i="15"/>
  <c r="E33" i="15"/>
  <c r="D34" i="13"/>
  <c r="C34" i="12"/>
  <c r="K18" i="12" s="1"/>
  <c r="W115" i="57" s="1"/>
  <c r="C34" i="10"/>
  <c r="D35" i="10" s="1"/>
  <c r="E24" i="9"/>
  <c r="C24" i="7"/>
  <c r="C34" i="7"/>
  <c r="E34" i="37"/>
  <c r="D33" i="37"/>
  <c r="C34" i="26"/>
  <c r="D34" i="28"/>
  <c r="F34" i="26"/>
  <c r="E34" i="24"/>
  <c r="E15" i="21"/>
  <c r="F34" i="20"/>
  <c r="D34" i="17"/>
  <c r="F34" i="15"/>
  <c r="E34" i="13"/>
  <c r="C34" i="9"/>
  <c r="E34" i="8"/>
  <c r="E35" i="8" s="1"/>
  <c r="E33" i="8"/>
  <c r="F34" i="37"/>
  <c r="E33" i="37"/>
  <c r="D24" i="28"/>
  <c r="E33" i="14"/>
  <c r="D34" i="26"/>
  <c r="D34" i="32"/>
  <c r="E15" i="28"/>
  <c r="E33" i="28"/>
  <c r="C15" i="26"/>
  <c r="C34" i="25"/>
  <c r="C33" i="25"/>
  <c r="F34" i="24"/>
  <c r="E33" i="23"/>
  <c r="C24" i="21"/>
  <c r="E34" i="17"/>
  <c r="D24" i="15"/>
  <c r="C24" i="10"/>
  <c r="D15" i="9"/>
  <c r="E34" i="7"/>
  <c r="D34" i="6"/>
  <c r="E15" i="37"/>
  <c r="E24" i="24"/>
  <c r="D33" i="22"/>
  <c r="F34" i="19"/>
  <c r="F34" i="16"/>
  <c r="E15" i="32"/>
  <c r="D15" i="26"/>
  <c r="D33" i="25"/>
  <c r="D24" i="24"/>
  <c r="C33" i="24"/>
  <c r="C34" i="23"/>
  <c r="K14" i="23" s="1"/>
  <c r="C34" i="19"/>
  <c r="K14" i="19" s="1"/>
  <c r="W80" i="57" s="1"/>
  <c r="C24" i="16"/>
  <c r="C33" i="14"/>
  <c r="C24" i="13"/>
  <c r="E34" i="6"/>
  <c r="C24" i="37"/>
  <c r="D34" i="37"/>
  <c r="E15" i="8"/>
  <c r="C33" i="7"/>
  <c r="F34" i="6"/>
  <c r="D24" i="37"/>
  <c r="C15" i="37"/>
  <c r="D24" i="6"/>
  <c r="C24" i="6"/>
  <c r="D33" i="6"/>
  <c r="C15" i="6"/>
  <c r="D15" i="6"/>
  <c r="E15" i="6"/>
  <c r="C15" i="7"/>
  <c r="D24" i="7"/>
  <c r="E33" i="7"/>
  <c r="D15" i="7"/>
  <c r="E24" i="7"/>
  <c r="E15" i="7"/>
  <c r="C15" i="8"/>
  <c r="D24" i="8"/>
  <c r="C24" i="8"/>
  <c r="D33" i="8"/>
  <c r="D15" i="8"/>
  <c r="C15" i="9"/>
  <c r="C15" i="10"/>
  <c r="D24" i="10"/>
  <c r="E33" i="10"/>
  <c r="D15" i="10"/>
  <c r="E24" i="10"/>
  <c r="E15" i="10"/>
  <c r="C33" i="10"/>
  <c r="D15" i="12"/>
  <c r="E34" i="12"/>
  <c r="C33" i="13"/>
  <c r="D33" i="13"/>
  <c r="D15" i="13"/>
  <c r="C34" i="13"/>
  <c r="K18" i="13" s="1"/>
  <c r="W110" i="57" s="1"/>
  <c r="E15" i="13"/>
  <c r="C15" i="14"/>
  <c r="D15" i="14"/>
  <c r="E15" i="14"/>
  <c r="C15" i="15"/>
  <c r="C24" i="15"/>
  <c r="D15" i="15"/>
  <c r="E24" i="15"/>
  <c r="E33" i="16"/>
  <c r="C34" i="16"/>
  <c r="E15" i="16"/>
  <c r="C15" i="17"/>
  <c r="D24" i="17"/>
  <c r="E33" i="17"/>
  <c r="D15" i="17"/>
  <c r="C34" i="17"/>
  <c r="K14" i="17" s="1"/>
  <c r="W90" i="57" s="1"/>
  <c r="E15" i="17"/>
  <c r="C33" i="18"/>
  <c r="C24" i="18"/>
  <c r="D33" i="18"/>
  <c r="C15" i="18"/>
  <c r="D15" i="18"/>
  <c r="E15" i="18"/>
  <c r="E33" i="19"/>
  <c r="D15" i="19"/>
  <c r="E24" i="19"/>
  <c r="C33" i="20"/>
  <c r="E24" i="20"/>
  <c r="C34" i="20"/>
  <c r="E34" i="20"/>
  <c r="C15" i="22"/>
  <c r="D24" i="22"/>
  <c r="E33" i="22"/>
  <c r="D15" i="22"/>
  <c r="E24" i="22"/>
  <c r="E15" i="22"/>
  <c r="C15" i="21"/>
  <c r="D24" i="21"/>
  <c r="E33" i="21"/>
  <c r="D15" i="23"/>
  <c r="E24" i="23"/>
  <c r="C24" i="24"/>
  <c r="C15" i="24"/>
  <c r="E15" i="24"/>
  <c r="C15" i="25"/>
  <c r="D15" i="25"/>
  <c r="E15" i="26"/>
  <c r="D15" i="28"/>
  <c r="C34" i="28"/>
  <c r="E35" i="30"/>
  <c r="C35" i="30"/>
  <c r="C33" i="32"/>
  <c r="C24" i="32"/>
  <c r="D33" i="32"/>
  <c r="C15" i="32"/>
  <c r="D24" i="32"/>
  <c r="D15" i="32"/>
  <c r="Z151" i="57" l="1"/>
  <c r="Z151" i="46"/>
  <c r="AA90" i="57"/>
  <c r="AB90" i="57" s="1"/>
  <c r="X90" i="57"/>
  <c r="X110" i="57"/>
  <c r="AA110" i="57"/>
  <c r="AB110" i="57" s="1"/>
  <c r="X69" i="57"/>
  <c r="AA69" i="57"/>
  <c r="AB69" i="57" s="1"/>
  <c r="X80" i="57"/>
  <c r="AA80" i="57"/>
  <c r="AB80" i="57" s="1"/>
  <c r="W150" i="57"/>
  <c r="W150" i="46"/>
  <c r="X115" i="57"/>
  <c r="AA115" i="57"/>
  <c r="AB115" i="57" s="1"/>
  <c r="X120" i="57"/>
  <c r="AA120" i="57"/>
  <c r="AB120" i="57" s="1"/>
  <c r="X85" i="57"/>
  <c r="AA85" i="57"/>
  <c r="AB85" i="57" s="1"/>
  <c r="E35" i="21"/>
  <c r="D35" i="7"/>
  <c r="W90" i="46"/>
  <c r="W80" i="46"/>
  <c r="W115" i="46"/>
  <c r="W120" i="46"/>
  <c r="W85" i="46"/>
  <c r="W110" i="46"/>
  <c r="E35" i="18"/>
  <c r="D35" i="24"/>
  <c r="E35" i="24"/>
  <c r="W69" i="46"/>
  <c r="C35" i="24"/>
  <c r="C35" i="22"/>
  <c r="C35" i="8"/>
  <c r="D35" i="22"/>
  <c r="E35" i="22"/>
  <c r="C35" i="14"/>
  <c r="E35" i="15"/>
  <c r="E35" i="14"/>
  <c r="C35" i="18"/>
  <c r="C35" i="27"/>
  <c r="E35" i="27"/>
  <c r="D35" i="18"/>
  <c r="C35" i="19"/>
  <c r="D35" i="27"/>
  <c r="C35" i="6"/>
  <c r="D35" i="11"/>
  <c r="E35" i="23"/>
  <c r="D35" i="21"/>
  <c r="E35" i="11"/>
  <c r="D35" i="8"/>
  <c r="E35" i="31"/>
  <c r="C35" i="21"/>
  <c r="C35" i="16"/>
  <c r="D35" i="23"/>
  <c r="C35" i="23"/>
  <c r="C35" i="11"/>
  <c r="C35" i="10"/>
  <c r="D35" i="26"/>
  <c r="C35" i="9"/>
  <c r="D35" i="15"/>
  <c r="E35" i="10"/>
  <c r="C35" i="15"/>
  <c r="D35" i="9"/>
  <c r="C35" i="26"/>
  <c r="E35" i="9"/>
  <c r="C35" i="31"/>
  <c r="C35" i="12"/>
  <c r="E35" i="7"/>
  <c r="D35" i="31"/>
  <c r="E35" i="6"/>
  <c r="E35" i="20"/>
  <c r="E35" i="19"/>
  <c r="D35" i="6"/>
  <c r="C35" i="17"/>
  <c r="E35" i="12"/>
  <c r="E35" i="26"/>
  <c r="D35" i="19"/>
  <c r="C35" i="7"/>
  <c r="D35" i="12"/>
  <c r="D35" i="16"/>
  <c r="E35" i="16"/>
  <c r="D35" i="17"/>
  <c r="E35" i="17"/>
  <c r="C35" i="20"/>
  <c r="D35" i="20"/>
  <c r="AA150" i="46" l="1"/>
  <c r="AB150" i="46" s="1"/>
  <c r="X150" i="46"/>
  <c r="X150" i="57"/>
  <c r="AA150" i="57"/>
  <c r="AB150" i="57" s="1"/>
  <c r="AA115" i="46"/>
  <c r="AB115" i="46" s="1"/>
  <c r="X115" i="46"/>
  <c r="AA80" i="46"/>
  <c r="AB80" i="46" s="1"/>
  <c r="X80" i="46"/>
  <c r="AA110" i="46"/>
  <c r="AB110" i="46" s="1"/>
  <c r="X110" i="46"/>
  <c r="AA120" i="46"/>
  <c r="AB120" i="46" s="1"/>
  <c r="X120" i="46"/>
  <c r="AA85" i="46"/>
  <c r="AB85" i="46" s="1"/>
  <c r="X85" i="46"/>
  <c r="AA90" i="46"/>
  <c r="AB90" i="46" s="1"/>
  <c r="X90" i="46"/>
  <c r="AA69" i="46"/>
  <c r="AB69" i="46" s="1"/>
  <c r="X69" i="46"/>
  <c r="AE39" i="54"/>
  <c r="AF39" i="54"/>
  <c r="AD39" i="54"/>
  <c r="BC162" i="57" l="1"/>
  <c r="BB162" i="57"/>
  <c r="C35" i="2" l="1"/>
  <c r="G42" i="10" l="1"/>
  <c r="I37" i="10" s="1"/>
  <c r="W78" i="20" l="1"/>
  <c r="P19" i="45" l="1"/>
  <c r="P18" i="45"/>
  <c r="P17" i="45" l="1"/>
  <c r="C38" i="24" l="1"/>
  <c r="C39" i="24"/>
  <c r="P16" i="45" l="1"/>
  <c r="P15" i="45"/>
  <c r="P14" i="45"/>
  <c r="C43" i="26"/>
  <c r="G42" i="26"/>
  <c r="I37" i="26" s="1"/>
  <c r="F42" i="26"/>
  <c r="R7" i="43" l="1"/>
  <c r="U7" i="43" s="1"/>
  <c r="R8" i="43"/>
  <c r="S8" i="43"/>
  <c r="U8" i="43" l="1"/>
  <c r="AR9" i="46" l="1"/>
  <c r="BA9" i="46" s="1"/>
  <c r="AM9" i="46"/>
  <c r="AD9" i="46" l="1"/>
  <c r="Z6" i="46" l="1"/>
  <c r="AZ162" i="57" l="1"/>
  <c r="AY162" i="57"/>
  <c r="AX162" i="57"/>
  <c r="AW162" i="57"/>
  <c r="AV162" i="57"/>
  <c r="AU162" i="57"/>
  <c r="AT162" i="57"/>
  <c r="AS162" i="57"/>
  <c r="AQ162" i="57"/>
  <c r="AP162" i="57"/>
  <c r="AO162" i="57"/>
  <c r="AN162" i="57"/>
  <c r="AL162" i="57"/>
  <c r="AK162" i="57"/>
  <c r="AJ162" i="57"/>
  <c r="AI162" i="57"/>
  <c r="AH162" i="57"/>
  <c r="AG162" i="57"/>
  <c r="AF162" i="57"/>
  <c r="S162" i="57"/>
  <c r="R162" i="57"/>
  <c r="Q162" i="57"/>
  <c r="Q163" i="57" s="1"/>
  <c r="AR161" i="57"/>
  <c r="AM161" i="57"/>
  <c r="AC161" i="57"/>
  <c r="AA161" i="57"/>
  <c r="S164" i="57" l="1"/>
  <c r="AZ166" i="57"/>
  <c r="AZ167" i="57" s="1"/>
  <c r="BE164" i="57"/>
  <c r="BD164" i="57"/>
  <c r="BF164" i="57"/>
  <c r="BB164" i="57"/>
  <c r="BC164" i="57"/>
  <c r="R163" i="57"/>
  <c r="S163" i="57"/>
  <c r="AR162" i="57"/>
  <c r="BA162" i="57"/>
  <c r="R164" i="57" s="1"/>
  <c r="AM162" i="57"/>
  <c r="AZ162" i="46"/>
  <c r="AY162" i="46"/>
  <c r="AX162" i="46"/>
  <c r="AW162" i="46"/>
  <c r="AV162" i="46"/>
  <c r="AU162" i="46"/>
  <c r="AT162" i="46"/>
  <c r="AS162" i="46"/>
  <c r="AQ162" i="46"/>
  <c r="AP162" i="46"/>
  <c r="AO162" i="46"/>
  <c r="AN162" i="46"/>
  <c r="AL162" i="46"/>
  <c r="AK162" i="46"/>
  <c r="AJ162" i="46"/>
  <c r="AI162" i="46"/>
  <c r="AH162" i="46"/>
  <c r="AG162" i="46"/>
  <c r="AF162" i="46"/>
  <c r="AR161" i="46"/>
  <c r="AM161" i="46"/>
  <c r="AR8" i="46"/>
  <c r="BA8" i="46" s="1"/>
  <c r="AM8" i="46"/>
  <c r="AR7" i="46"/>
  <c r="BA7" i="46" s="1"/>
  <c r="AM7" i="46"/>
  <c r="AR6" i="46"/>
  <c r="AM6" i="46"/>
  <c r="AY167" i="57" l="1"/>
  <c r="AY168" i="57" s="1"/>
  <c r="Q167" i="57" s="1"/>
  <c r="AD7" i="46"/>
  <c r="AD8" i="46"/>
  <c r="AM162" i="46"/>
  <c r="AR162" i="46"/>
  <c r="AD162" i="57"/>
  <c r="T9" i="56" s="1"/>
  <c r="BA6" i="46"/>
  <c r="AD6" i="46" s="1"/>
  <c r="AD162" i="46" s="1"/>
  <c r="BA162" i="46" l="1"/>
  <c r="E40" i="45"/>
  <c r="I40" i="45"/>
  <c r="M40" i="45"/>
  <c r="I46" i="16" l="1"/>
  <c r="I46" i="18"/>
  <c r="I46" i="20"/>
  <c r="I46" i="21"/>
  <c r="I46" i="24"/>
  <c r="I46" i="26"/>
  <c r="I46" i="27"/>
  <c r="I46" i="30"/>
  <c r="I46" i="32"/>
  <c r="L8" i="45"/>
  <c r="L9" i="45" s="1"/>
  <c r="L10" i="45" s="1"/>
  <c r="L11" i="45" s="1"/>
  <c r="L12" i="45" s="1"/>
  <c r="L13" i="45" s="1"/>
  <c r="H8" i="45"/>
  <c r="H9" i="45" s="1"/>
  <c r="H10" i="45" s="1"/>
  <c r="H11" i="45" s="1"/>
  <c r="H12" i="45" s="1"/>
  <c r="H13" i="45" s="1"/>
  <c r="P8" i="45"/>
  <c r="I46" i="33" s="1"/>
  <c r="D8" i="45"/>
  <c r="D9" i="45" s="1"/>
  <c r="D10" i="45" s="1"/>
  <c r="D11" i="45" s="1"/>
  <c r="D12" i="45" s="1"/>
  <c r="D13" i="45" s="1"/>
  <c r="A7" i="45" l="1"/>
  <c r="I46" i="28"/>
  <c r="I46" i="17"/>
  <c r="I46" i="14"/>
  <c r="I46" i="13"/>
  <c r="I46" i="12"/>
  <c r="I46" i="11"/>
  <c r="I46" i="10"/>
  <c r="I46" i="9"/>
  <c r="I46" i="8"/>
  <c r="I46" i="7"/>
  <c r="I46" i="6"/>
  <c r="I46" i="37"/>
  <c r="P40" i="45"/>
  <c r="I46" i="43" l="1"/>
  <c r="I46" i="4"/>
  <c r="I46" i="15"/>
  <c r="I46" i="19"/>
  <c r="I46" i="23"/>
  <c r="I46" i="25"/>
  <c r="I46" i="29"/>
  <c r="I46" i="31"/>
  <c r="S162" i="46" l="1"/>
  <c r="S164" i="46" s="1"/>
  <c r="R162" i="46"/>
  <c r="Q162" i="46"/>
  <c r="Q163" i="46" s="1"/>
  <c r="AC161" i="46"/>
  <c r="AA161" i="46"/>
  <c r="N6" i="46"/>
  <c r="BB164" i="46" l="1"/>
  <c r="BC164" i="46"/>
  <c r="BE164" i="46"/>
  <c r="BD164" i="46"/>
  <c r="BF164" i="46"/>
  <c r="J6" i="46"/>
  <c r="R163" i="46"/>
  <c r="S163" i="46"/>
  <c r="H14" i="45" l="1"/>
  <c r="H15" i="45" s="1"/>
  <c r="H16" i="45" s="1"/>
  <c r="L14" i="45"/>
  <c r="L15" i="45" s="1"/>
  <c r="L16" i="45" s="1"/>
  <c r="D14" i="45"/>
  <c r="D15" i="45" s="1"/>
  <c r="D16" i="45" s="1"/>
  <c r="I9" i="56"/>
  <c r="R164" i="46"/>
  <c r="D17" i="45" l="1"/>
  <c r="L17" i="45"/>
  <c r="H17" i="45"/>
  <c r="H18" i="45" l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L18" i="45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D18" i="45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G4" i="47" l="1"/>
  <c r="H4" i="47" s="1"/>
  <c r="AO13" i="48"/>
  <c r="AO14" i="48"/>
  <c r="AO15" i="48"/>
  <c r="AO16" i="48"/>
  <c r="AO17" i="48"/>
  <c r="AO18" i="48"/>
  <c r="AO19" i="48"/>
  <c r="AO20" i="48"/>
  <c r="AO21" i="48"/>
  <c r="AO22" i="48"/>
  <c r="AO23" i="48"/>
  <c r="AO24" i="48"/>
  <c r="AO25" i="48"/>
  <c r="AO26" i="48"/>
  <c r="AO27" i="48"/>
  <c r="AO28" i="48"/>
  <c r="AO29" i="48"/>
  <c r="AO30" i="48"/>
  <c r="AR30" i="48" s="1"/>
  <c r="AO31" i="48"/>
  <c r="AR31" i="48" s="1"/>
  <c r="AO32" i="48"/>
  <c r="AO33" i="48"/>
  <c r="AO34" i="48"/>
  <c r="AO35" i="48"/>
  <c r="AO36" i="48"/>
  <c r="AO37" i="48"/>
  <c r="AO38" i="48"/>
  <c r="AO12" i="48"/>
  <c r="AO10" i="48"/>
  <c r="AO11" i="48"/>
  <c r="AO9" i="48"/>
  <c r="T6" i="57" l="1"/>
  <c r="AC6" i="57" s="1"/>
  <c r="P6" i="57"/>
  <c r="U6" i="57"/>
  <c r="V6" i="57"/>
  <c r="O6" i="46"/>
  <c r="K6" i="46" s="1"/>
  <c r="L9" i="48" s="1"/>
  <c r="AR38" i="48"/>
  <c r="AS38" i="48"/>
  <c r="K162" i="57" l="1"/>
  <c r="T162" i="57"/>
  <c r="P162" i="57"/>
  <c r="O162" i="57" s="1"/>
  <c r="U162" i="57"/>
  <c r="V162" i="57"/>
  <c r="T10" i="56" s="1"/>
  <c r="BA9" i="48"/>
  <c r="C162" i="57"/>
  <c r="AT38" i="48"/>
  <c r="P6" i="46"/>
  <c r="P162" i="46" s="1"/>
  <c r="O162" i="46" s="1"/>
  <c r="V6" i="46"/>
  <c r="V162" i="46" s="1"/>
  <c r="I10" i="56" s="1"/>
  <c r="T6" i="46"/>
  <c r="T162" i="46" s="1"/>
  <c r="U6" i="46"/>
  <c r="U162" i="46" s="1"/>
  <c r="C6" i="46"/>
  <c r="N9" i="48" s="1"/>
  <c r="K162" i="46"/>
  <c r="C46" i="30"/>
  <c r="AC162" i="57" l="1"/>
  <c r="AC163" i="57" s="1"/>
  <c r="X172" i="57" s="1"/>
  <c r="E9" i="55"/>
  <c r="E8" i="55"/>
  <c r="E20" i="55"/>
  <c r="E18" i="55"/>
  <c r="E27" i="55"/>
  <c r="E7" i="55"/>
  <c r="E5" i="55"/>
  <c r="E35" i="55"/>
  <c r="E34" i="55"/>
  <c r="E32" i="55"/>
  <c r="E23" i="55"/>
  <c r="E31" i="55"/>
  <c r="E39" i="55"/>
  <c r="E16" i="55"/>
  <c r="E33" i="55"/>
  <c r="E36" i="55"/>
  <c r="E26" i="55"/>
  <c r="E29" i="55"/>
  <c r="E11" i="55"/>
  <c r="E6" i="55"/>
  <c r="E38" i="55"/>
  <c r="E24" i="55"/>
  <c r="E10" i="55"/>
  <c r="E17" i="55"/>
  <c r="E21" i="55"/>
  <c r="E37" i="55"/>
  <c r="E30" i="55"/>
  <c r="E25" i="55"/>
  <c r="E4" i="55"/>
  <c r="E19" i="55"/>
  <c r="E28" i="55"/>
  <c r="E22" i="55"/>
  <c r="N28" i="55"/>
  <c r="N20" i="55"/>
  <c r="N23" i="55"/>
  <c r="N6" i="55"/>
  <c r="N16" i="55"/>
  <c r="N26" i="55"/>
  <c r="N10" i="55"/>
  <c r="N39" i="55"/>
  <c r="N25" i="55"/>
  <c r="N27" i="55"/>
  <c r="N22" i="55"/>
  <c r="N31" i="55"/>
  <c r="N7" i="55"/>
  <c r="N17" i="55"/>
  <c r="N11" i="55"/>
  <c r="N18" i="55"/>
  <c r="N8" i="55"/>
  <c r="N34" i="55"/>
  <c r="N37" i="55"/>
  <c r="N5" i="55"/>
  <c r="N19" i="55"/>
  <c r="N30" i="55"/>
  <c r="N33" i="55"/>
  <c r="N38" i="55"/>
  <c r="N4" i="55"/>
  <c r="N36" i="55"/>
  <c r="N29" i="55"/>
  <c r="N32" i="55"/>
  <c r="N24" i="55"/>
  <c r="N35" i="55"/>
  <c r="N9" i="55"/>
  <c r="N21" i="55"/>
  <c r="V163" i="57"/>
  <c r="AM163" i="57" s="1"/>
  <c r="I8" i="56"/>
  <c r="AH4" i="54"/>
  <c r="AH3" i="54"/>
  <c r="T8" i="56"/>
  <c r="BA41" i="48"/>
  <c r="BB9" i="48"/>
  <c r="BB10" i="48" s="1"/>
  <c r="BB11" i="48" s="1"/>
  <c r="BB12" i="48" s="1"/>
  <c r="BB13" i="48" s="1"/>
  <c r="BB14" i="48" s="1"/>
  <c r="BB15" i="48" s="1"/>
  <c r="BB16" i="48" s="1"/>
  <c r="BB17" i="48" s="1"/>
  <c r="BB18" i="48" s="1"/>
  <c r="BB19" i="48" s="1"/>
  <c r="BB20" i="48" s="1"/>
  <c r="BB21" i="48" s="1"/>
  <c r="BB22" i="48" s="1"/>
  <c r="BB23" i="48" s="1"/>
  <c r="BB24" i="48" s="1"/>
  <c r="BB25" i="48" s="1"/>
  <c r="BB26" i="48" s="1"/>
  <c r="BB27" i="48" s="1"/>
  <c r="BB28" i="48" s="1"/>
  <c r="BB29" i="48" s="1"/>
  <c r="BB30" i="48" s="1"/>
  <c r="BB31" i="48" s="1"/>
  <c r="BB32" i="48" s="1"/>
  <c r="BB33" i="48" s="1"/>
  <c r="BB34" i="48" s="1"/>
  <c r="BB35" i="48" s="1"/>
  <c r="BB36" i="48" s="1"/>
  <c r="BB37" i="48" s="1"/>
  <c r="BB38" i="48" s="1"/>
  <c r="AC6" i="46"/>
  <c r="AC162" i="46" s="1"/>
  <c r="C162" i="46"/>
  <c r="V163" i="46"/>
  <c r="AW163" i="57" l="1"/>
  <c r="X189" i="57" s="1"/>
  <c r="BA163" i="57"/>
  <c r="AJ163" i="57"/>
  <c r="X179" i="57" s="1"/>
  <c r="AG163" i="57"/>
  <c r="X176" i="57" s="1"/>
  <c r="AH163" i="57"/>
  <c r="X177" i="57" s="1"/>
  <c r="AR163" i="57"/>
  <c r="AX163" i="57"/>
  <c r="AQ163" i="57"/>
  <c r="X185" i="57" s="1"/>
  <c r="AF163" i="57"/>
  <c r="X175" i="57" s="1"/>
  <c r="AN163" i="57"/>
  <c r="X182" i="57" s="1"/>
  <c r="AV163" i="57"/>
  <c r="X190" i="57" s="1"/>
  <c r="AY163" i="57"/>
  <c r="AZ163" i="57"/>
  <c r="X192" i="57" s="1"/>
  <c r="AS163" i="57"/>
  <c r="X186" i="57" s="1"/>
  <c r="AI163" i="57"/>
  <c r="X178" i="57" s="1"/>
  <c r="AT163" i="57"/>
  <c r="X187" i="57" s="1"/>
  <c r="AO163" i="57"/>
  <c r="X183" i="57" s="1"/>
  <c r="AL163" i="57"/>
  <c r="X181" i="57" s="1"/>
  <c r="AK163" i="57"/>
  <c r="X180" i="57" s="1"/>
  <c r="AU163" i="57"/>
  <c r="X188" i="57" s="1"/>
  <c r="AP163" i="57"/>
  <c r="X184" i="57" s="1"/>
  <c r="T5" i="56"/>
  <c r="N15" i="55" s="1"/>
  <c r="T11" i="56"/>
  <c r="AJ163" i="46"/>
  <c r="X179" i="46" s="1"/>
  <c r="AX163" i="46"/>
  <c r="AI163" i="46"/>
  <c r="X178" i="46" s="1"/>
  <c r="AL163" i="46"/>
  <c r="X181" i="46" s="1"/>
  <c r="AR163" i="46"/>
  <c r="AK163" i="46"/>
  <c r="X180" i="46" s="1"/>
  <c r="AO163" i="46"/>
  <c r="X183" i="46" s="1"/>
  <c r="AG163" i="46"/>
  <c r="X176" i="46" s="1"/>
  <c r="AM163" i="46"/>
  <c r="AQ163" i="46"/>
  <c r="X185" i="46" s="1"/>
  <c r="AT163" i="46"/>
  <c r="X187" i="46" s="1"/>
  <c r="AF163" i="46"/>
  <c r="X175" i="46" s="1"/>
  <c r="AP163" i="46"/>
  <c r="X184" i="46" s="1"/>
  <c r="AZ163" i="46"/>
  <c r="X192" i="46" s="1"/>
  <c r="AW163" i="46"/>
  <c r="X189" i="46" s="1"/>
  <c r="AY163" i="46"/>
  <c r="AN163" i="46"/>
  <c r="X182" i="46" s="1"/>
  <c r="AV163" i="46"/>
  <c r="X190" i="46" s="1"/>
  <c r="AH163" i="46"/>
  <c r="X177" i="46" s="1"/>
  <c r="AU163" i="46"/>
  <c r="X188" i="46" s="1"/>
  <c r="AS163" i="46"/>
  <c r="X186" i="46" s="1"/>
  <c r="BA163" i="46"/>
  <c r="AC163" i="46"/>
  <c r="X172" i="46" s="1"/>
  <c r="I5" i="56"/>
  <c r="E15" i="55" s="1"/>
  <c r="F15" i="55" s="1"/>
  <c r="G15" i="55" s="1"/>
  <c r="X191" i="57" l="1"/>
  <c r="O11" i="55"/>
  <c r="P11" i="55" s="1"/>
  <c r="O30" i="55"/>
  <c r="O24" i="55"/>
  <c r="O8" i="55"/>
  <c r="P8" i="55" s="1"/>
  <c r="O31" i="55"/>
  <c r="O26" i="55"/>
  <c r="O28" i="55"/>
  <c r="O20" i="55"/>
  <c r="O38" i="55"/>
  <c r="O19" i="55"/>
  <c r="O17" i="55"/>
  <c r="O22" i="55"/>
  <c r="O39" i="55"/>
  <c r="O7" i="55"/>
  <c r="P7" i="55" s="1"/>
  <c r="O33" i="55"/>
  <c r="O21" i="55"/>
  <c r="O18" i="55"/>
  <c r="P18" i="55" s="1"/>
  <c r="O37" i="55"/>
  <c r="O23" i="55"/>
  <c r="O5" i="55"/>
  <c r="P5" i="55" s="1"/>
  <c r="O35" i="55"/>
  <c r="O32" i="55"/>
  <c r="O9" i="55"/>
  <c r="P9" i="55" s="1"/>
  <c r="O25" i="55"/>
  <c r="O6" i="55"/>
  <c r="P6" i="55" s="1"/>
  <c r="O10" i="55"/>
  <c r="P10" i="55" s="1"/>
  <c r="O36" i="55"/>
  <c r="O4" i="55"/>
  <c r="O27" i="55"/>
  <c r="O34" i="55"/>
  <c r="O29" i="55"/>
  <c r="O16" i="55"/>
  <c r="U5" i="56"/>
  <c r="O15" i="55" s="1"/>
  <c r="P15" i="55" s="1"/>
  <c r="X191" i="46"/>
  <c r="AC39" i="54"/>
  <c r="AB39" i="54"/>
  <c r="AA39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AG37" i="54"/>
  <c r="AG36" i="54"/>
  <c r="AG35" i="54"/>
  <c r="AG34" i="54"/>
  <c r="AG33" i="54"/>
  <c r="AG32" i="54"/>
  <c r="AG31" i="54"/>
  <c r="AG30" i="54"/>
  <c r="AG29" i="54"/>
  <c r="AG28" i="54"/>
  <c r="AG27" i="54"/>
  <c r="AG26" i="54"/>
  <c r="AG25" i="54"/>
  <c r="AG24" i="54"/>
  <c r="AG23" i="54"/>
  <c r="AG22" i="54"/>
  <c r="AG21" i="54"/>
  <c r="AG20" i="54"/>
  <c r="AG19" i="54"/>
  <c r="AG18" i="54"/>
  <c r="AG17" i="54"/>
  <c r="AG16" i="54"/>
  <c r="AG15" i="54"/>
  <c r="AG14" i="54"/>
  <c r="AG13" i="54"/>
  <c r="AG12" i="54"/>
  <c r="AG11" i="54"/>
  <c r="AG10" i="54"/>
  <c r="AG9" i="54"/>
  <c r="AG8" i="54"/>
  <c r="AG7" i="54"/>
  <c r="AG6" i="54"/>
  <c r="P36" i="55" l="1"/>
  <c r="P16" i="55"/>
  <c r="P33" i="55"/>
  <c r="P31" i="55"/>
  <c r="P4" i="55"/>
  <c r="P24" i="55"/>
  <c r="P19" i="55"/>
  <c r="P38" i="55"/>
  <c r="Q38" i="55" s="1"/>
  <c r="Y162" i="57"/>
  <c r="Y162" i="46"/>
  <c r="AI3" i="54"/>
  <c r="AG39" i="54"/>
  <c r="Q24" i="55" l="1"/>
  <c r="Q4" i="55"/>
  <c r="Y164" i="57"/>
  <c r="Y163" i="57"/>
  <c r="X170" i="57" s="1"/>
  <c r="Y164" i="46"/>
  <c r="Y163" i="46"/>
  <c r="X170" i="46" s="1"/>
  <c r="AH7" i="54"/>
  <c r="AH38" i="54"/>
  <c r="AH37" i="54"/>
  <c r="AH20" i="54"/>
  <c r="AH36" i="54"/>
  <c r="AH12" i="54"/>
  <c r="AH14" i="54"/>
  <c r="AH9" i="54"/>
  <c r="AH13" i="54"/>
  <c r="AH17" i="54"/>
  <c r="AH28" i="54"/>
  <c r="AH27" i="54"/>
  <c r="AH34" i="54"/>
  <c r="AH11" i="54"/>
  <c r="AH18" i="54"/>
  <c r="AH6" i="54"/>
  <c r="AH10" i="54"/>
  <c r="AH30" i="54"/>
  <c r="AH29" i="54"/>
  <c r="AH16" i="54"/>
  <c r="AH15" i="54"/>
  <c r="AH35" i="54"/>
  <c r="AH32" i="54"/>
  <c r="AH24" i="54"/>
  <c r="AH8" i="54"/>
  <c r="AH26" i="54"/>
  <c r="AH21" i="54"/>
  <c r="AH31" i="54"/>
  <c r="AH25" i="54"/>
  <c r="AH23" i="54"/>
  <c r="AH22" i="54"/>
  <c r="AH33" i="54"/>
  <c r="AH19" i="54"/>
  <c r="AH39" i="54" l="1"/>
  <c r="AP41" i="48"/>
  <c r="AQ38" i="48"/>
  <c r="AQ37" i="48"/>
  <c r="AR37" i="48"/>
  <c r="AQ36" i="48"/>
  <c r="AR36" i="48"/>
  <c r="AQ35" i="48"/>
  <c r="AS35" i="48"/>
  <c r="AQ34" i="48"/>
  <c r="AS34" i="48"/>
  <c r="AQ33" i="48"/>
  <c r="AR33" i="48"/>
  <c r="AQ32" i="48"/>
  <c r="AS32" i="48"/>
  <c r="AQ31" i="48"/>
  <c r="AS31" i="48"/>
  <c r="AS25" i="48"/>
  <c r="AR24" i="48"/>
  <c r="AS23" i="48"/>
  <c r="AS22" i="48"/>
  <c r="AS21" i="48"/>
  <c r="AS20" i="48"/>
  <c r="AS19" i="48"/>
  <c r="AS18" i="48"/>
  <c r="AS17" i="48"/>
  <c r="AQ16" i="48"/>
  <c r="AS15" i="48"/>
  <c r="AR13" i="48"/>
  <c r="AQ13" i="48"/>
  <c r="AS13" i="48"/>
  <c r="AS12" i="48"/>
  <c r="AR12" i="48"/>
  <c r="AQ12" i="48"/>
  <c r="AS11" i="48"/>
  <c r="AR11" i="48"/>
  <c r="AQ11" i="48"/>
  <c r="AS10" i="48"/>
  <c r="AR10" i="48"/>
  <c r="AQ10" i="48"/>
  <c r="AS9" i="48"/>
  <c r="AR9" i="48"/>
  <c r="AQ9" i="48"/>
  <c r="AV38" i="48" l="1"/>
  <c r="AY38" i="48" s="1"/>
  <c r="AU38" i="48"/>
  <c r="AX38" i="48" s="1"/>
  <c r="AW38" i="48"/>
  <c r="AZ38" i="48" s="1"/>
  <c r="AV32" i="48"/>
  <c r="AY32" i="48" s="1"/>
  <c r="AV13" i="48"/>
  <c r="AY13" i="48" s="1"/>
  <c r="AV12" i="48"/>
  <c r="AY12" i="48" s="1"/>
  <c r="AV9" i="48"/>
  <c r="AY9" i="48" s="1"/>
  <c r="AV34" i="48"/>
  <c r="AY34" i="48" s="1"/>
  <c r="AT11" i="48"/>
  <c r="AW11" i="48" s="1"/>
  <c r="AZ11" i="48" s="1"/>
  <c r="AV31" i="48"/>
  <c r="AY31" i="48" s="1"/>
  <c r="AT13" i="48"/>
  <c r="AW13" i="48" s="1"/>
  <c r="AZ13" i="48" s="1"/>
  <c r="AV35" i="48"/>
  <c r="AY35" i="48" s="1"/>
  <c r="AV10" i="48"/>
  <c r="AY10" i="48" s="1"/>
  <c r="AU10" i="48"/>
  <c r="AX10" i="48" s="1"/>
  <c r="AV11" i="48"/>
  <c r="AY11" i="48" s="1"/>
  <c r="AS14" i="48"/>
  <c r="AR14" i="48"/>
  <c r="AS28" i="48"/>
  <c r="AR28" i="48"/>
  <c r="AQ28" i="48"/>
  <c r="AU36" i="48"/>
  <c r="AT10" i="48"/>
  <c r="AW10" i="48" s="1"/>
  <c r="AZ10" i="48" s="1"/>
  <c r="AU12" i="48"/>
  <c r="AX12" i="48" s="1"/>
  <c r="AT12" i="48"/>
  <c r="AW12" i="48" s="1"/>
  <c r="AZ12" i="48" s="1"/>
  <c r="AQ14" i="48"/>
  <c r="AU37" i="48"/>
  <c r="AU9" i="48"/>
  <c r="AX9" i="48" s="1"/>
  <c r="AR18" i="48"/>
  <c r="AQ18" i="48"/>
  <c r="AV18" i="48" s="1"/>
  <c r="AY18" i="48" s="1"/>
  <c r="AR22" i="48"/>
  <c r="AQ22" i="48"/>
  <c r="AV22" i="48" s="1"/>
  <c r="AY22" i="48" s="1"/>
  <c r="AQ25" i="48"/>
  <c r="AV25" i="48" s="1"/>
  <c r="AY25" i="48" s="1"/>
  <c r="AR25" i="48"/>
  <c r="AU13" i="48"/>
  <c r="AX13" i="48" s="1"/>
  <c r="AR17" i="48"/>
  <c r="AQ17" i="48"/>
  <c r="AV17" i="48" s="1"/>
  <c r="AY17" i="48" s="1"/>
  <c r="AQ21" i="48"/>
  <c r="AV21" i="48" s="1"/>
  <c r="AY21" i="48" s="1"/>
  <c r="AR21" i="48"/>
  <c r="AS24" i="48"/>
  <c r="AT24" i="48" s="1"/>
  <c r="AQ24" i="48"/>
  <c r="AU24" i="48" s="1"/>
  <c r="AQ15" i="48"/>
  <c r="AV15" i="48" s="1"/>
  <c r="AY15" i="48" s="1"/>
  <c r="AR15" i="48"/>
  <c r="AT9" i="48"/>
  <c r="AW9" i="48" s="1"/>
  <c r="AZ9" i="48" s="1"/>
  <c r="AU11" i="48"/>
  <c r="AX11" i="48" s="1"/>
  <c r="AR16" i="48"/>
  <c r="AS16" i="48"/>
  <c r="AV16" i="48" s="1"/>
  <c r="AY16" i="48" s="1"/>
  <c r="AR19" i="48"/>
  <c r="AQ19" i="48"/>
  <c r="AV19" i="48" s="1"/>
  <c r="AY19" i="48" s="1"/>
  <c r="AR23" i="48"/>
  <c r="AQ23" i="48"/>
  <c r="AV23" i="48" s="1"/>
  <c r="AY23" i="48" s="1"/>
  <c r="AS30" i="48"/>
  <c r="AQ30" i="48"/>
  <c r="AU33" i="48"/>
  <c r="AS26" i="48"/>
  <c r="AR26" i="48"/>
  <c r="AQ26" i="48"/>
  <c r="AS27" i="48"/>
  <c r="AR27" i="48"/>
  <c r="AQ27" i="48"/>
  <c r="AS29" i="48"/>
  <c r="AR29" i="48"/>
  <c r="AQ29" i="48"/>
  <c r="AR20" i="48"/>
  <c r="AQ20" i="48"/>
  <c r="AV20" i="48" s="1"/>
  <c r="AY20" i="48" s="1"/>
  <c r="AR32" i="48"/>
  <c r="AR34" i="48"/>
  <c r="AR35" i="48"/>
  <c r="AS33" i="48"/>
  <c r="AV33" i="48" s="1"/>
  <c r="AY33" i="48" s="1"/>
  <c r="AS36" i="48"/>
  <c r="AV36" i="48" s="1"/>
  <c r="AY36" i="48" s="1"/>
  <c r="AS37" i="48"/>
  <c r="AV37" i="48" s="1"/>
  <c r="AY37" i="48" s="1"/>
  <c r="T38" i="48" l="1"/>
  <c r="AX37" i="48"/>
  <c r="AX33" i="48"/>
  <c r="AX24" i="48"/>
  <c r="AX36" i="48"/>
  <c r="T12" i="48"/>
  <c r="T10" i="48"/>
  <c r="T13" i="48"/>
  <c r="T11" i="48"/>
  <c r="T9" i="48"/>
  <c r="AW24" i="48"/>
  <c r="AZ24" i="48" s="1"/>
  <c r="AV30" i="48"/>
  <c r="AY30" i="48" s="1"/>
  <c r="AV14" i="48"/>
  <c r="AY14" i="48" s="1"/>
  <c r="AV24" i="48"/>
  <c r="AY24" i="48" s="1"/>
  <c r="AV27" i="48"/>
  <c r="AY27" i="48" s="1"/>
  <c r="AT30" i="48"/>
  <c r="AW30" i="48" s="1"/>
  <c r="AZ30" i="48" s="1"/>
  <c r="AU30" i="48"/>
  <c r="AX30" i="48" s="1"/>
  <c r="AT18" i="48"/>
  <c r="AW18" i="48" s="1"/>
  <c r="AZ18" i="48" s="1"/>
  <c r="AU18" i="48"/>
  <c r="AX18" i="48" s="1"/>
  <c r="AT36" i="48"/>
  <c r="AW36" i="48" s="1"/>
  <c r="AZ36" i="48" s="1"/>
  <c r="AU16" i="48"/>
  <c r="AX16" i="48" s="1"/>
  <c r="AT16" i="48"/>
  <c r="AW16" i="48" s="1"/>
  <c r="AZ16" i="48" s="1"/>
  <c r="AT26" i="48"/>
  <c r="AW26" i="48" s="1"/>
  <c r="AZ26" i="48" s="1"/>
  <c r="AU26" i="48"/>
  <c r="AV26" i="48"/>
  <c r="AY26" i="48" s="1"/>
  <c r="AT15" i="48"/>
  <c r="AW15" i="48" s="1"/>
  <c r="AZ15" i="48" s="1"/>
  <c r="AU15" i="48"/>
  <c r="AX15" i="48" s="1"/>
  <c r="AT37" i="48"/>
  <c r="AW37" i="48" s="1"/>
  <c r="AZ37" i="48" s="1"/>
  <c r="AU32" i="48"/>
  <c r="AT32" i="48"/>
  <c r="AW32" i="48" s="1"/>
  <c r="AZ32" i="48" s="1"/>
  <c r="AT21" i="48"/>
  <c r="AW21" i="48" s="1"/>
  <c r="AZ21" i="48" s="1"/>
  <c r="AU21" i="48"/>
  <c r="AX21" i="48" s="1"/>
  <c r="AU31" i="48"/>
  <c r="AT31" i="48"/>
  <c r="AW31" i="48" s="1"/>
  <c r="AZ31" i="48" s="1"/>
  <c r="AT20" i="48"/>
  <c r="AW20" i="48" s="1"/>
  <c r="AZ20" i="48" s="1"/>
  <c r="AU20" i="48"/>
  <c r="AX20" i="48" s="1"/>
  <c r="AT19" i="48"/>
  <c r="AW19" i="48" s="1"/>
  <c r="AZ19" i="48" s="1"/>
  <c r="AU19" i="48"/>
  <c r="AX19" i="48" s="1"/>
  <c r="AT25" i="48"/>
  <c r="AW25" i="48" s="1"/>
  <c r="AZ25" i="48" s="1"/>
  <c r="AU25" i="48"/>
  <c r="AU28" i="48"/>
  <c r="AT28" i="48"/>
  <c r="AW28" i="48" s="1"/>
  <c r="AZ28" i="48" s="1"/>
  <c r="AU35" i="48"/>
  <c r="AT35" i="48"/>
  <c r="AW35" i="48" s="1"/>
  <c r="AZ35" i="48" s="1"/>
  <c r="AV29" i="48"/>
  <c r="AY29" i="48" s="1"/>
  <c r="AV28" i="48"/>
  <c r="AY28" i="48" s="1"/>
  <c r="AT27" i="48"/>
  <c r="AW27" i="48" s="1"/>
  <c r="AZ27" i="48" s="1"/>
  <c r="AU27" i="48"/>
  <c r="AT22" i="48"/>
  <c r="AW22" i="48" s="1"/>
  <c r="AZ22" i="48" s="1"/>
  <c r="AU22" i="48"/>
  <c r="AT23" i="48"/>
  <c r="AW23" i="48" s="1"/>
  <c r="AZ23" i="48" s="1"/>
  <c r="AU23" i="48"/>
  <c r="AT17" i="48"/>
  <c r="AW17" i="48" s="1"/>
  <c r="AZ17" i="48" s="1"/>
  <c r="AU17" i="48"/>
  <c r="AX17" i="48" s="1"/>
  <c r="AT29" i="48"/>
  <c r="AW29" i="48" s="1"/>
  <c r="AZ29" i="48" s="1"/>
  <c r="AU29" i="48"/>
  <c r="AT33" i="48"/>
  <c r="AW33" i="48" s="1"/>
  <c r="AZ33" i="48" s="1"/>
  <c r="AU34" i="48"/>
  <c r="AT34" i="48"/>
  <c r="AW34" i="48" s="1"/>
  <c r="AZ34" i="48" s="1"/>
  <c r="AU14" i="48"/>
  <c r="AX14" i="48" s="1"/>
  <c r="AT14" i="48"/>
  <c r="AW14" i="48" s="1"/>
  <c r="AZ14" i="48" s="1"/>
  <c r="T36" i="48" l="1"/>
  <c r="T24" i="48"/>
  <c r="T33" i="48"/>
  <c r="T37" i="48"/>
  <c r="AX26" i="48"/>
  <c r="AX32" i="48"/>
  <c r="AX27" i="48"/>
  <c r="AX29" i="48"/>
  <c r="AX23" i="48"/>
  <c r="AX35" i="48"/>
  <c r="AX34" i="48"/>
  <c r="AX22" i="48"/>
  <c r="AX25" i="48"/>
  <c r="AX28" i="48"/>
  <c r="AX31" i="48"/>
  <c r="T21" i="48"/>
  <c r="T20" i="48"/>
  <c r="T19" i="48"/>
  <c r="T15" i="48"/>
  <c r="T16" i="48"/>
  <c r="T17" i="48"/>
  <c r="T14" i="48"/>
  <c r="T30" i="48"/>
  <c r="T29" i="48" l="1"/>
  <c r="T31" i="48"/>
  <c r="T27" i="48"/>
  <c r="T32" i="48"/>
  <c r="T25" i="48"/>
  <c r="T26" i="48"/>
  <c r="T22" i="48"/>
  <c r="T34" i="48"/>
  <c r="T28" i="48"/>
  <c r="T35" i="48"/>
  <c r="T23" i="48"/>
  <c r="T18" i="48"/>
  <c r="AZ41" i="48"/>
  <c r="AX41" i="48"/>
  <c r="AY41" i="48"/>
  <c r="AY43" i="48" l="1"/>
  <c r="I43" i="33" l="1"/>
  <c r="I43" i="31"/>
  <c r="C36" i="2"/>
  <c r="BG42" i="2" l="1"/>
  <c r="AY42" i="2"/>
  <c r="AQ42" i="2"/>
  <c r="W42" i="2"/>
  <c r="K42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AE42" i="2"/>
  <c r="BC17" i="2"/>
  <c r="BC16" i="2"/>
  <c r="BC15" i="2"/>
  <c r="BC14" i="2"/>
  <c r="BC13" i="2"/>
  <c r="BC12" i="2"/>
  <c r="BC11" i="2"/>
  <c r="BI10" i="2"/>
  <c r="BI11" i="2" s="1"/>
  <c r="BA10" i="2"/>
  <c r="BA11" i="2" s="1"/>
  <c r="BA12" i="2" s="1"/>
  <c r="AU10" i="2"/>
  <c r="AU42" i="2" s="1"/>
  <c r="AS10" i="2"/>
  <c r="AS11" i="2" s="1"/>
  <c r="AI42" i="2"/>
  <c r="AG10" i="2"/>
  <c r="AG11" i="2" s="1"/>
  <c r="Y10" i="2"/>
  <c r="Q10" i="2"/>
  <c r="Q11" i="2" s="1"/>
  <c r="M10" i="2"/>
  <c r="M11" i="2" s="1"/>
  <c r="G42" i="2"/>
  <c r="X42" i="2" l="1"/>
  <c r="BK38" i="2"/>
  <c r="AZ38" i="2" s="1"/>
  <c r="BK39" i="2"/>
  <c r="AR39" i="2" s="1"/>
  <c r="BK22" i="2"/>
  <c r="T22" i="2" s="1"/>
  <c r="BK36" i="2"/>
  <c r="BK12" i="2"/>
  <c r="BK15" i="2"/>
  <c r="AF15" i="2" s="1"/>
  <c r="BK17" i="2"/>
  <c r="M12" i="2"/>
  <c r="AS12" i="2"/>
  <c r="Q12" i="2"/>
  <c r="AG12" i="2"/>
  <c r="BI12" i="2"/>
  <c r="BA13" i="2"/>
  <c r="I10" i="2"/>
  <c r="I11" i="2" s="1"/>
  <c r="AW10" i="2"/>
  <c r="AA42" i="2"/>
  <c r="AC10" i="2"/>
  <c r="BC10" i="2"/>
  <c r="BK20" i="2"/>
  <c r="AN20" i="2" s="1"/>
  <c r="AK10" i="2"/>
  <c r="BK14" i="2"/>
  <c r="AF14" i="2" s="1"/>
  <c r="BK24" i="2"/>
  <c r="AN24" i="2" s="1"/>
  <c r="BK27" i="2"/>
  <c r="BK28" i="2"/>
  <c r="BK23" i="2"/>
  <c r="BK26" i="2"/>
  <c r="BK31" i="2"/>
  <c r="BK32" i="2"/>
  <c r="AF32" i="2" s="1"/>
  <c r="BK33" i="2"/>
  <c r="BK34" i="2"/>
  <c r="BK29" i="2"/>
  <c r="BK35" i="2"/>
  <c r="BK37" i="2"/>
  <c r="BK40" i="2"/>
  <c r="T38" i="2" l="1"/>
  <c r="P17" i="2"/>
  <c r="AF17" i="2"/>
  <c r="AJ12" i="2"/>
  <c r="AF12" i="2"/>
  <c r="AZ36" i="2"/>
  <c r="AB36" i="2"/>
  <c r="T36" i="2"/>
  <c r="BD39" i="2"/>
  <c r="L22" i="2"/>
  <c r="AR22" i="2"/>
  <c r="AF22" i="2"/>
  <c r="BD22" i="2"/>
  <c r="AV38" i="2"/>
  <c r="BH38" i="2"/>
  <c r="AF39" i="2"/>
  <c r="AV39" i="2"/>
  <c r="BD38" i="2"/>
  <c r="BH39" i="2"/>
  <c r="AR38" i="2"/>
  <c r="AN39" i="2"/>
  <c r="AJ39" i="2"/>
  <c r="H38" i="2"/>
  <c r="AN38" i="2"/>
  <c r="AJ38" i="2"/>
  <c r="L38" i="2"/>
  <c r="T39" i="2"/>
  <c r="P38" i="2"/>
  <c r="AF38" i="2"/>
  <c r="AB38" i="2"/>
  <c r="AB22" i="2"/>
  <c r="AV22" i="2"/>
  <c r="H22" i="2"/>
  <c r="AV36" i="2"/>
  <c r="AJ36" i="2"/>
  <c r="AR36" i="2"/>
  <c r="BD36" i="2"/>
  <c r="BH36" i="2"/>
  <c r="AN36" i="2"/>
  <c r="AF36" i="2"/>
  <c r="L12" i="2"/>
  <c r="AN12" i="2"/>
  <c r="AR12" i="2"/>
  <c r="AV12" i="2"/>
  <c r="AZ12" i="2"/>
  <c r="BD12" i="2"/>
  <c r="H12" i="2"/>
  <c r="P12" i="2"/>
  <c r="AN17" i="2"/>
  <c r="BH17" i="2"/>
  <c r="T17" i="2"/>
  <c r="AJ17" i="2"/>
  <c r="BH12" i="2"/>
  <c r="AZ17" i="2"/>
  <c r="T12" i="2"/>
  <c r="AB12" i="2"/>
  <c r="AN33" i="2"/>
  <c r="T28" i="2"/>
  <c r="AN34" i="2"/>
  <c r="T32" i="2"/>
  <c r="T20" i="2"/>
  <c r="L36" i="2"/>
  <c r="T37" i="2"/>
  <c r="BD31" i="2"/>
  <c r="T24" i="2"/>
  <c r="AN22" i="2"/>
  <c r="T23" i="2"/>
  <c r="T26" i="2"/>
  <c r="H15" i="2"/>
  <c r="AB15" i="2"/>
  <c r="AJ15" i="2"/>
  <c r="AN29" i="2"/>
  <c r="BD28" i="2"/>
  <c r="T33" i="2"/>
  <c r="BD26" i="2"/>
  <c r="P39" i="2"/>
  <c r="H39" i="2"/>
  <c r="L39" i="2"/>
  <c r="AB39" i="2"/>
  <c r="AZ39" i="2"/>
  <c r="BD37" i="2"/>
  <c r="BD33" i="2"/>
  <c r="AV15" i="2"/>
  <c r="BD15" i="2"/>
  <c r="P15" i="2"/>
  <c r="AZ15" i="2"/>
  <c r="AN28" i="2"/>
  <c r="BH15" i="2"/>
  <c r="AR15" i="2"/>
  <c r="T15" i="2"/>
  <c r="L15" i="2"/>
  <c r="AN15" i="2"/>
  <c r="AN31" i="2"/>
  <c r="AN26" i="2"/>
  <c r="AF20" i="2"/>
  <c r="BH22" i="2"/>
  <c r="P22" i="2"/>
  <c r="AJ22" i="2"/>
  <c r="AZ22" i="2"/>
  <c r="L17" i="2"/>
  <c r="AV17" i="2"/>
  <c r="AB17" i="2"/>
  <c r="AR17" i="2"/>
  <c r="BD17" i="2"/>
  <c r="H17" i="2"/>
  <c r="H36" i="2"/>
  <c r="P36" i="2"/>
  <c r="BD23" i="2"/>
  <c r="AF27" i="2"/>
  <c r="AN27" i="2"/>
  <c r="T27" i="2"/>
  <c r="AZ14" i="2"/>
  <c r="AR14" i="2"/>
  <c r="AJ14" i="2"/>
  <c r="P14" i="2"/>
  <c r="AV14" i="2"/>
  <c r="T14" i="2"/>
  <c r="H14" i="2"/>
  <c r="BH14" i="2"/>
  <c r="L14" i="2"/>
  <c r="BD14" i="2"/>
  <c r="AB14" i="2"/>
  <c r="I12" i="2"/>
  <c r="AZ40" i="2"/>
  <c r="AR40" i="2"/>
  <c r="AJ40" i="2"/>
  <c r="AB40" i="2"/>
  <c r="L40" i="2"/>
  <c r="BH40" i="2"/>
  <c r="AN40" i="2"/>
  <c r="AF40" i="2"/>
  <c r="P40" i="2"/>
  <c r="AV40" i="2"/>
  <c r="H40" i="2"/>
  <c r="BH35" i="2"/>
  <c r="AV35" i="2"/>
  <c r="AN35" i="2"/>
  <c r="AF35" i="2"/>
  <c r="P35" i="2"/>
  <c r="H35" i="2"/>
  <c r="AZ35" i="2"/>
  <c r="AR35" i="2"/>
  <c r="AJ35" i="2"/>
  <c r="AB35" i="2"/>
  <c r="L35" i="2"/>
  <c r="BD34" i="2"/>
  <c r="AZ34" i="2"/>
  <c r="AR34" i="2"/>
  <c r="AJ34" i="2"/>
  <c r="L34" i="2"/>
  <c r="BH34" i="2"/>
  <c r="AV34" i="2"/>
  <c r="AB34" i="2"/>
  <c r="P34" i="2"/>
  <c r="H34" i="2"/>
  <c r="BD32" i="2"/>
  <c r="AZ32" i="2"/>
  <c r="AR32" i="2"/>
  <c r="AJ32" i="2"/>
  <c r="BH32" i="2"/>
  <c r="AV32" i="2"/>
  <c r="AB32" i="2"/>
  <c r="P32" i="2"/>
  <c r="H32" i="2"/>
  <c r="L32" i="2"/>
  <c r="BD29" i="2"/>
  <c r="T40" i="2"/>
  <c r="AZ37" i="2"/>
  <c r="AR37" i="2"/>
  <c r="AJ37" i="2"/>
  <c r="AB37" i="2"/>
  <c r="L37" i="2"/>
  <c r="AV37" i="2"/>
  <c r="H37" i="2"/>
  <c r="BH37" i="2"/>
  <c r="AN37" i="2"/>
  <c r="AF37" i="2"/>
  <c r="P37" i="2"/>
  <c r="BD35" i="2"/>
  <c r="AF34" i="2"/>
  <c r="AN32" i="2"/>
  <c r="BK30" i="2"/>
  <c r="BH33" i="2"/>
  <c r="AV33" i="2"/>
  <c r="AF33" i="2"/>
  <c r="AB33" i="2"/>
  <c r="P33" i="2"/>
  <c r="H33" i="2"/>
  <c r="AZ33" i="2"/>
  <c r="AR33" i="2"/>
  <c r="AJ33" i="2"/>
  <c r="L33" i="2"/>
  <c r="BH26" i="2"/>
  <c r="AV26" i="2"/>
  <c r="AF26" i="2"/>
  <c r="AB26" i="2"/>
  <c r="AZ26" i="2"/>
  <c r="AR26" i="2"/>
  <c r="AJ26" i="2"/>
  <c r="L26" i="2"/>
  <c r="P26" i="2"/>
  <c r="H26" i="2"/>
  <c r="BK25" i="2"/>
  <c r="AZ23" i="2"/>
  <c r="AR23" i="2"/>
  <c r="AJ23" i="2"/>
  <c r="AV23" i="2"/>
  <c r="AF23" i="2"/>
  <c r="L23" i="2"/>
  <c r="BH23" i="2"/>
  <c r="AB23" i="2"/>
  <c r="P23" i="2"/>
  <c r="BH28" i="2"/>
  <c r="AV28" i="2"/>
  <c r="AF28" i="2"/>
  <c r="AB28" i="2"/>
  <c r="P28" i="2"/>
  <c r="H28" i="2"/>
  <c r="AZ28" i="2"/>
  <c r="AR28" i="2"/>
  <c r="AJ28" i="2"/>
  <c r="L28" i="2"/>
  <c r="BH24" i="2"/>
  <c r="AV24" i="2"/>
  <c r="AB24" i="2"/>
  <c r="L24" i="2"/>
  <c r="BD24" i="2"/>
  <c r="AR24" i="2"/>
  <c r="H24" i="2"/>
  <c r="AZ24" i="2"/>
  <c r="AJ24" i="2"/>
  <c r="P24" i="2"/>
  <c r="AF24" i="2"/>
  <c r="AN23" i="2"/>
  <c r="H23" i="2"/>
  <c r="BK16" i="2"/>
  <c r="AF16" i="2" s="1"/>
  <c r="BK13" i="2"/>
  <c r="AF13" i="2" s="1"/>
  <c r="BK11" i="2"/>
  <c r="AM42" i="2"/>
  <c r="AO10" i="2"/>
  <c r="S42" i="2"/>
  <c r="U10" i="2"/>
  <c r="U11" i="2" s="1"/>
  <c r="BK10" i="2"/>
  <c r="AN10" i="2" s="1"/>
  <c r="AW11" i="2"/>
  <c r="BI13" i="2"/>
  <c r="AG13" i="2"/>
  <c r="AS13" i="2"/>
  <c r="BD40" i="2"/>
  <c r="T35" i="2"/>
  <c r="AZ29" i="2"/>
  <c r="AR29" i="2"/>
  <c r="AJ29" i="2"/>
  <c r="AV29" i="2"/>
  <c r="AF29" i="2"/>
  <c r="L29" i="2"/>
  <c r="BH29" i="2"/>
  <c r="AB29" i="2"/>
  <c r="P29" i="2"/>
  <c r="H29" i="2"/>
  <c r="T34" i="2"/>
  <c r="AZ31" i="2"/>
  <c r="AR31" i="2"/>
  <c r="AJ31" i="2"/>
  <c r="L31" i="2"/>
  <c r="BH31" i="2"/>
  <c r="AB31" i="2"/>
  <c r="T31" i="2"/>
  <c r="P31" i="2"/>
  <c r="AV31" i="2"/>
  <c r="AF31" i="2"/>
  <c r="H31" i="2"/>
  <c r="T29" i="2"/>
  <c r="BD27" i="2"/>
  <c r="AZ27" i="2"/>
  <c r="AR27" i="2"/>
  <c r="AJ27" i="2"/>
  <c r="L27" i="2"/>
  <c r="BH27" i="2"/>
  <c r="AV27" i="2"/>
  <c r="AB27" i="2"/>
  <c r="P27" i="2"/>
  <c r="H27" i="2"/>
  <c r="BK21" i="2"/>
  <c r="BK19" i="2"/>
  <c r="BK18" i="2"/>
  <c r="T18" i="2" s="1"/>
  <c r="AN14" i="2"/>
  <c r="AK11" i="2"/>
  <c r="BD20" i="2"/>
  <c r="AZ20" i="2"/>
  <c r="AR20" i="2"/>
  <c r="AJ20" i="2"/>
  <c r="P20" i="2"/>
  <c r="H20" i="2"/>
  <c r="BH20" i="2"/>
  <c r="AV20" i="2"/>
  <c r="AB20" i="2"/>
  <c r="L20" i="2"/>
  <c r="BC42" i="2"/>
  <c r="BE10" i="2"/>
  <c r="BA14" i="2"/>
  <c r="Q13" i="2"/>
  <c r="AC11" i="2"/>
  <c r="M13" i="2"/>
  <c r="T11" i="2" l="1"/>
  <c r="AF11" i="2"/>
  <c r="T25" i="2"/>
  <c r="AN13" i="2"/>
  <c r="AN16" i="2"/>
  <c r="T30" i="2"/>
  <c r="T19" i="2"/>
  <c r="BD10" i="2"/>
  <c r="T13" i="2"/>
  <c r="T16" i="2"/>
  <c r="Q14" i="2"/>
  <c r="AK12" i="2"/>
  <c r="BH21" i="2"/>
  <c r="AV21" i="2"/>
  <c r="AF21" i="2"/>
  <c r="AB21" i="2"/>
  <c r="L21" i="2"/>
  <c r="AZ21" i="2"/>
  <c r="AR21" i="2"/>
  <c r="AJ21" i="2"/>
  <c r="P21" i="2"/>
  <c r="AN21" i="2"/>
  <c r="BD21" i="2"/>
  <c r="H21" i="2"/>
  <c r="M14" i="2"/>
  <c r="BE11" i="2"/>
  <c r="BD18" i="2"/>
  <c r="AZ18" i="2"/>
  <c r="AR18" i="2"/>
  <c r="AJ18" i="2"/>
  <c r="L18" i="2"/>
  <c r="BH18" i="2"/>
  <c r="AV18" i="2"/>
  <c r="P18" i="2"/>
  <c r="AN18" i="2"/>
  <c r="AF18" i="2"/>
  <c r="H18" i="2"/>
  <c r="AB18" i="2"/>
  <c r="BH19" i="2"/>
  <c r="AV19" i="2"/>
  <c r="AF19" i="2"/>
  <c r="AB19" i="2"/>
  <c r="L19" i="2"/>
  <c r="AZ19" i="2"/>
  <c r="AR19" i="2"/>
  <c r="AJ19" i="2"/>
  <c r="P19" i="2"/>
  <c r="AN19" i="2"/>
  <c r="BD19" i="2"/>
  <c r="H19" i="2"/>
  <c r="T21" i="2"/>
  <c r="T10" i="2"/>
  <c r="AZ11" i="2"/>
  <c r="AR11" i="2"/>
  <c r="AJ11" i="2"/>
  <c r="P11" i="2"/>
  <c r="BH11" i="2"/>
  <c r="AV11" i="2"/>
  <c r="L11" i="2"/>
  <c r="H11" i="2"/>
  <c r="AB11" i="2"/>
  <c r="BD11" i="2"/>
  <c r="AN11" i="2"/>
  <c r="BH13" i="2"/>
  <c r="AV13" i="2"/>
  <c r="L13" i="2"/>
  <c r="AZ13" i="2"/>
  <c r="AR13" i="2"/>
  <c r="AJ13" i="2"/>
  <c r="P13" i="2"/>
  <c r="H13" i="2"/>
  <c r="AB13" i="2"/>
  <c r="BD13" i="2"/>
  <c r="AZ16" i="2"/>
  <c r="AR16" i="2"/>
  <c r="AJ16" i="2"/>
  <c r="P16" i="2"/>
  <c r="BH16" i="2"/>
  <c r="AV16" i="2"/>
  <c r="L16" i="2"/>
  <c r="H16" i="2"/>
  <c r="AB16" i="2"/>
  <c r="BD16" i="2"/>
  <c r="AZ25" i="2"/>
  <c r="AR25" i="2"/>
  <c r="AJ25" i="2"/>
  <c r="P25" i="2"/>
  <c r="BH25" i="2"/>
  <c r="AB25" i="2"/>
  <c r="L25" i="2"/>
  <c r="AV25" i="2"/>
  <c r="AF25" i="2"/>
  <c r="H25" i="2"/>
  <c r="AN25" i="2"/>
  <c r="BD25" i="2"/>
  <c r="AC12" i="2"/>
  <c r="BA15" i="2"/>
  <c r="AS14" i="2"/>
  <c r="AG14" i="2"/>
  <c r="BI14" i="2"/>
  <c r="AW12" i="2"/>
  <c r="BK42" i="2"/>
  <c r="T42" i="2" s="1"/>
  <c r="AZ10" i="2"/>
  <c r="AB10" i="2"/>
  <c r="BL10" i="2"/>
  <c r="V10" i="2" s="1"/>
  <c r="BH10" i="2"/>
  <c r="AR10" i="2"/>
  <c r="AF10" i="2"/>
  <c r="X10" i="2"/>
  <c r="P10" i="2"/>
  <c r="L10" i="2"/>
  <c r="H10" i="2"/>
  <c r="AJ10" i="2"/>
  <c r="AV10" i="2"/>
  <c r="U12" i="2"/>
  <c r="AO11" i="2"/>
  <c r="BH30" i="2"/>
  <c r="AV30" i="2"/>
  <c r="AB30" i="2"/>
  <c r="P30" i="2"/>
  <c r="H30" i="2"/>
  <c r="AZ30" i="2"/>
  <c r="AJ30" i="2"/>
  <c r="L30" i="2"/>
  <c r="BD30" i="2"/>
  <c r="AR30" i="2"/>
  <c r="AN30" i="2"/>
  <c r="AF30" i="2"/>
  <c r="I13" i="2"/>
  <c r="AP10" i="2" l="1"/>
  <c r="AC13" i="2"/>
  <c r="I14" i="2"/>
  <c r="U13" i="2"/>
  <c r="N10" i="2"/>
  <c r="BB10" i="2"/>
  <c r="Z10" i="2"/>
  <c r="AT10" i="2"/>
  <c r="R10" i="2"/>
  <c r="AH10" i="2"/>
  <c r="BJ10" i="2"/>
  <c r="AD10" i="2"/>
  <c r="AX10" i="2"/>
  <c r="AL10" i="2"/>
  <c r="J10" i="2"/>
  <c r="BL42" i="2"/>
  <c r="AV42" i="2"/>
  <c r="AZ42" i="2"/>
  <c r="AR42" i="2"/>
  <c r="AJ42" i="2"/>
  <c r="H42" i="2"/>
  <c r="AF42" i="2"/>
  <c r="BH42" i="2"/>
  <c r="AB42" i="2"/>
  <c r="AW13" i="2"/>
  <c r="BI15" i="2"/>
  <c r="AG15" i="2"/>
  <c r="AS15" i="2"/>
  <c r="BA16" i="2"/>
  <c r="BL11" i="2"/>
  <c r="BF11" i="2" s="1"/>
  <c r="BD42" i="2"/>
  <c r="BF10" i="2"/>
  <c r="M15" i="2"/>
  <c r="AO12" i="2"/>
  <c r="BE12" i="2"/>
  <c r="AK13" i="2"/>
  <c r="Q15" i="2"/>
  <c r="AP11" i="2" l="1"/>
  <c r="Q16" i="2"/>
  <c r="AK14" i="2"/>
  <c r="M16" i="2"/>
  <c r="BI16" i="2"/>
  <c r="BE13" i="2"/>
  <c r="AO13" i="2"/>
  <c r="AT11" i="2"/>
  <c r="AH11" i="2"/>
  <c r="BJ11" i="2"/>
  <c r="BL12" i="2"/>
  <c r="BB11" i="2"/>
  <c r="N11" i="2"/>
  <c r="R11" i="2"/>
  <c r="J11" i="2"/>
  <c r="V11" i="2"/>
  <c r="AL11" i="2"/>
  <c r="AD11" i="2"/>
  <c r="AX11" i="2"/>
  <c r="BA17" i="2"/>
  <c r="AS16" i="2"/>
  <c r="AG16" i="2"/>
  <c r="AW14" i="2"/>
  <c r="U14" i="2"/>
  <c r="I15" i="2"/>
  <c r="AC14" i="2"/>
  <c r="AC15" i="2" l="1"/>
  <c r="I16" i="2"/>
  <c r="U15" i="2"/>
  <c r="AO14" i="2"/>
  <c r="BE14" i="2"/>
  <c r="Q17" i="2"/>
  <c r="AW15" i="2"/>
  <c r="AG17" i="2"/>
  <c r="AS17" i="2"/>
  <c r="BA18" i="2"/>
  <c r="BB12" i="2"/>
  <c r="N12" i="2"/>
  <c r="BJ12" i="2"/>
  <c r="AH12" i="2"/>
  <c r="AT12" i="2"/>
  <c r="R12" i="2"/>
  <c r="BL13" i="2"/>
  <c r="J12" i="2"/>
  <c r="AL12" i="2"/>
  <c r="AD12" i="2"/>
  <c r="V12" i="2"/>
  <c r="AX12" i="2"/>
  <c r="AP12" i="2"/>
  <c r="BF12" i="2"/>
  <c r="BI17" i="2"/>
  <c r="M17" i="2"/>
  <c r="AK15" i="2"/>
  <c r="AK16" i="2" l="1"/>
  <c r="BI18" i="2"/>
  <c r="M18" i="2"/>
  <c r="BL14" i="2"/>
  <c r="AP14" i="2" s="1"/>
  <c r="BB13" i="2"/>
  <c r="N13" i="2"/>
  <c r="R13" i="2"/>
  <c r="AT13" i="2"/>
  <c r="AH13" i="2"/>
  <c r="BJ13" i="2"/>
  <c r="J13" i="2"/>
  <c r="AL13" i="2"/>
  <c r="AX13" i="2"/>
  <c r="V13" i="2"/>
  <c r="AD13" i="2"/>
  <c r="BA19" i="2"/>
  <c r="BF13" i="2"/>
  <c r="AO15" i="2"/>
  <c r="AC16" i="2"/>
  <c r="AS18" i="2"/>
  <c r="AG18" i="2"/>
  <c r="AW16" i="2"/>
  <c r="Q18" i="2"/>
  <c r="BE15" i="2"/>
  <c r="AP13" i="2"/>
  <c r="U16" i="2"/>
  <c r="I17" i="2"/>
  <c r="BF14" i="2" l="1"/>
  <c r="I18" i="2"/>
  <c r="U17" i="2"/>
  <c r="Q19" i="2"/>
  <c r="AW17" i="2"/>
  <c r="AC17" i="2"/>
  <c r="AO16" i="2"/>
  <c r="BL15" i="2"/>
  <c r="AP15" i="2" s="1"/>
  <c r="BB14" i="2"/>
  <c r="BJ14" i="2"/>
  <c r="N14" i="2"/>
  <c r="R14" i="2"/>
  <c r="AH14" i="2"/>
  <c r="AT14" i="2"/>
  <c r="J14" i="2"/>
  <c r="AD14" i="2"/>
  <c r="V14" i="2"/>
  <c r="AX14" i="2"/>
  <c r="AL14" i="2"/>
  <c r="BE16" i="2"/>
  <c r="AG19" i="2"/>
  <c r="AS19" i="2"/>
  <c r="BA20" i="2"/>
  <c r="M19" i="2"/>
  <c r="BI19" i="2"/>
  <c r="AK17" i="2"/>
  <c r="BF15" i="2" l="1"/>
  <c r="AK18" i="2"/>
  <c r="AS20" i="2"/>
  <c r="M20" i="2"/>
  <c r="AG20" i="2"/>
  <c r="BE17" i="2"/>
  <c r="BL16" i="2"/>
  <c r="BF16" i="2" s="1"/>
  <c r="BB15" i="2"/>
  <c r="R15" i="2"/>
  <c r="N15" i="2"/>
  <c r="BJ15" i="2"/>
  <c r="AT15" i="2"/>
  <c r="AH15" i="2"/>
  <c r="J15" i="2"/>
  <c r="AD15" i="2"/>
  <c r="AX15" i="2"/>
  <c r="V15" i="2"/>
  <c r="AL15" i="2"/>
  <c r="AO17" i="2"/>
  <c r="AC18" i="2"/>
  <c r="U18" i="2"/>
  <c r="I19" i="2"/>
  <c r="BI20" i="2"/>
  <c r="BA21" i="2"/>
  <c r="AW18" i="2"/>
  <c r="Q20" i="2"/>
  <c r="AP16" i="2" l="1"/>
  <c r="Q21" i="2"/>
  <c r="BA22" i="2"/>
  <c r="BI21" i="2"/>
  <c r="I20" i="2"/>
  <c r="U19" i="2"/>
  <c r="AC19" i="2"/>
  <c r="AO18" i="2"/>
  <c r="BL17" i="2"/>
  <c r="AP17" i="2" s="1"/>
  <c r="BB16" i="2"/>
  <c r="R16" i="2"/>
  <c r="AH16" i="2"/>
  <c r="AT16" i="2"/>
  <c r="BJ16" i="2"/>
  <c r="N16" i="2"/>
  <c r="J16" i="2"/>
  <c r="V16" i="2"/>
  <c r="AD16" i="2"/>
  <c r="AX16" i="2"/>
  <c r="AL16" i="2"/>
  <c r="BE18" i="2"/>
  <c r="AG21" i="2"/>
  <c r="AK19" i="2"/>
  <c r="AW19" i="2"/>
  <c r="M21" i="2"/>
  <c r="AS21" i="2"/>
  <c r="BF17" i="2" l="1"/>
  <c r="AS22" i="2"/>
  <c r="AG22" i="2"/>
  <c r="BE19" i="2"/>
  <c r="BL18" i="2"/>
  <c r="BF18" i="2" s="1"/>
  <c r="BB17" i="2"/>
  <c r="BJ17" i="2"/>
  <c r="N17" i="2"/>
  <c r="AT17" i="2"/>
  <c r="AH17" i="2"/>
  <c r="R17" i="2"/>
  <c r="J17" i="2"/>
  <c r="AL17" i="2"/>
  <c r="AD17" i="2"/>
  <c r="V17" i="2"/>
  <c r="AX17" i="2"/>
  <c r="AO19" i="2"/>
  <c r="U20" i="2"/>
  <c r="I21" i="2"/>
  <c r="M22" i="2"/>
  <c r="AW20" i="2"/>
  <c r="AK20" i="2"/>
  <c r="AC20" i="2"/>
  <c r="BI22" i="2"/>
  <c r="BA23" i="2"/>
  <c r="Q22" i="2"/>
  <c r="AP18" i="2" l="1"/>
  <c r="Q23" i="2"/>
  <c r="BA24" i="2"/>
  <c r="AC21" i="2"/>
  <c r="AW21" i="2"/>
  <c r="M23" i="2"/>
  <c r="I22" i="2"/>
  <c r="U21" i="2"/>
  <c r="AO20" i="2"/>
  <c r="BL19" i="2"/>
  <c r="BF19" i="2" s="1"/>
  <c r="BB18" i="2"/>
  <c r="R18" i="2"/>
  <c r="AT18" i="2"/>
  <c r="BJ18" i="2"/>
  <c r="AH18" i="2"/>
  <c r="N18" i="2"/>
  <c r="J18" i="2"/>
  <c r="V18" i="2"/>
  <c r="AD18" i="2"/>
  <c r="AL18" i="2"/>
  <c r="AX18" i="2"/>
  <c r="BE20" i="2"/>
  <c r="AG23" i="2"/>
  <c r="BI23" i="2"/>
  <c r="AK21" i="2"/>
  <c r="AS23" i="2"/>
  <c r="AP19" i="2" l="1"/>
  <c r="AK22" i="2"/>
  <c r="AS24" i="2"/>
  <c r="AG24" i="2"/>
  <c r="BE21" i="2"/>
  <c r="BL20" i="2"/>
  <c r="BF20" i="2" s="1"/>
  <c r="BB19" i="2"/>
  <c r="AH19" i="2"/>
  <c r="AT19" i="2"/>
  <c r="N19" i="2"/>
  <c r="BJ19" i="2"/>
  <c r="R19" i="2"/>
  <c r="J19" i="2"/>
  <c r="V19" i="2"/>
  <c r="AX19" i="2"/>
  <c r="AL19" i="2"/>
  <c r="AD19" i="2"/>
  <c r="AO21" i="2"/>
  <c r="U22" i="2"/>
  <c r="I23" i="2"/>
  <c r="BI24" i="2"/>
  <c r="M24" i="2"/>
  <c r="AW22" i="2"/>
  <c r="AC22" i="2"/>
  <c r="BA25" i="2"/>
  <c r="Q24" i="2"/>
  <c r="AP20" i="2" l="1"/>
  <c r="AC23" i="2"/>
  <c r="AW23" i="2"/>
  <c r="M25" i="2"/>
  <c r="BA26" i="2"/>
  <c r="I24" i="2"/>
  <c r="U23" i="2"/>
  <c r="AO22" i="2"/>
  <c r="BL21" i="2"/>
  <c r="AP21" i="2" s="1"/>
  <c r="BB20" i="2"/>
  <c r="AH20" i="2"/>
  <c r="R20" i="2"/>
  <c r="BJ20" i="2"/>
  <c r="N20" i="2"/>
  <c r="AT20" i="2"/>
  <c r="J20" i="2"/>
  <c r="V20" i="2"/>
  <c r="AD20" i="2"/>
  <c r="AX20" i="2"/>
  <c r="AL20" i="2"/>
  <c r="BE22" i="2"/>
  <c r="Q25" i="2"/>
  <c r="BI25" i="2"/>
  <c r="AG25" i="2"/>
  <c r="AS25" i="2"/>
  <c r="AK23" i="2"/>
  <c r="BF21" i="2" l="1"/>
  <c r="BI26" i="2"/>
  <c r="AG26" i="2"/>
  <c r="BE23" i="2"/>
  <c r="BL22" i="2"/>
  <c r="AP22" i="2" s="1"/>
  <c r="BB21" i="2"/>
  <c r="AH21" i="2"/>
  <c r="AT21" i="2"/>
  <c r="N21" i="2"/>
  <c r="BJ21" i="2"/>
  <c r="R21" i="2"/>
  <c r="J21" i="2"/>
  <c r="V21" i="2"/>
  <c r="AL21" i="2"/>
  <c r="AX21" i="2"/>
  <c r="AD21" i="2"/>
  <c r="AO23" i="2"/>
  <c r="U24" i="2"/>
  <c r="I25" i="2"/>
  <c r="AK24" i="2"/>
  <c r="AS26" i="2"/>
  <c r="Q26" i="2"/>
  <c r="BA27" i="2"/>
  <c r="M26" i="2"/>
  <c r="AW24" i="2"/>
  <c r="AC24" i="2"/>
  <c r="I26" i="2" l="1"/>
  <c r="AO24" i="2"/>
  <c r="BL23" i="2"/>
  <c r="BF23" i="2" s="1"/>
  <c r="BB22" i="2"/>
  <c r="AH22" i="2"/>
  <c r="R22" i="2"/>
  <c r="N22" i="2"/>
  <c r="BJ22" i="2"/>
  <c r="AT22" i="2"/>
  <c r="J22" i="2"/>
  <c r="V22" i="2"/>
  <c r="AD22" i="2"/>
  <c r="AX22" i="2"/>
  <c r="AL22" i="2"/>
  <c r="BF22" i="2"/>
  <c r="AG27" i="2"/>
  <c r="AC25" i="2"/>
  <c r="AW25" i="2"/>
  <c r="M27" i="2"/>
  <c r="BA28" i="2"/>
  <c r="Q27" i="2"/>
  <c r="AS27" i="2"/>
  <c r="AK25" i="2"/>
  <c r="U25" i="2"/>
  <c r="BE24" i="2"/>
  <c r="BI27" i="2"/>
  <c r="BI28" i="2" l="1"/>
  <c r="AS28" i="2"/>
  <c r="Q28" i="2"/>
  <c r="BA29" i="2"/>
  <c r="M28" i="2"/>
  <c r="AW26" i="2"/>
  <c r="AC26" i="2"/>
  <c r="BL24" i="2"/>
  <c r="AP24" i="2" s="1"/>
  <c r="BB23" i="2"/>
  <c r="AT23" i="2"/>
  <c r="AH23" i="2"/>
  <c r="BJ23" i="2"/>
  <c r="N23" i="2"/>
  <c r="R23" i="2"/>
  <c r="J23" i="2"/>
  <c r="V23" i="2"/>
  <c r="AL23" i="2"/>
  <c r="AX23" i="2"/>
  <c r="AD23" i="2"/>
  <c r="AO25" i="2"/>
  <c r="I27" i="2"/>
  <c r="BE25" i="2"/>
  <c r="U26" i="2"/>
  <c r="AK26" i="2"/>
  <c r="AG28" i="2"/>
  <c r="AP23" i="2"/>
  <c r="BF24" i="2" l="1"/>
  <c r="AK27" i="2"/>
  <c r="I28" i="2"/>
  <c r="AG29" i="2"/>
  <c r="U27" i="2"/>
  <c r="BE26" i="2"/>
  <c r="AO26" i="2"/>
  <c r="BL25" i="2"/>
  <c r="BB24" i="2"/>
  <c r="N24" i="2"/>
  <c r="R24" i="2"/>
  <c r="BJ24" i="2"/>
  <c r="AT24" i="2"/>
  <c r="AH24" i="2"/>
  <c r="J24" i="2"/>
  <c r="AD24" i="2"/>
  <c r="AX24" i="2"/>
  <c r="AL24" i="2"/>
  <c r="V24" i="2"/>
  <c r="AC27" i="2"/>
  <c r="AW27" i="2"/>
  <c r="M29" i="2"/>
  <c r="BA30" i="2"/>
  <c r="Q29" i="2"/>
  <c r="AS29" i="2"/>
  <c r="BI29" i="2"/>
  <c r="BI30" i="2" l="1"/>
  <c r="BL26" i="2"/>
  <c r="AP26" i="2" s="1"/>
  <c r="BB25" i="2"/>
  <c r="AH25" i="2"/>
  <c r="BJ25" i="2"/>
  <c r="AT25" i="2"/>
  <c r="R25" i="2"/>
  <c r="N25" i="2"/>
  <c r="J25" i="2"/>
  <c r="V25" i="2"/>
  <c r="AX25" i="2"/>
  <c r="AD25" i="2"/>
  <c r="AL25" i="2"/>
  <c r="AO27" i="2"/>
  <c r="BE27" i="2"/>
  <c r="U28" i="2"/>
  <c r="AG30" i="2"/>
  <c r="AS30" i="2"/>
  <c r="Q30" i="2"/>
  <c r="BA31" i="2"/>
  <c r="M30" i="2"/>
  <c r="AW28" i="2"/>
  <c r="AC28" i="2"/>
  <c r="AP25" i="2"/>
  <c r="BF25" i="2"/>
  <c r="I29" i="2"/>
  <c r="AK28" i="2"/>
  <c r="BF26" i="2" l="1"/>
  <c r="AK29" i="2"/>
  <c r="AG31" i="2"/>
  <c r="U29" i="2"/>
  <c r="BE28" i="2"/>
  <c r="AO28" i="2"/>
  <c r="BL27" i="2"/>
  <c r="BB26" i="2"/>
  <c r="N26" i="2"/>
  <c r="R26" i="2"/>
  <c r="AT26" i="2"/>
  <c r="BJ26" i="2"/>
  <c r="AH26" i="2"/>
  <c r="J26" i="2"/>
  <c r="V26" i="2"/>
  <c r="AL26" i="2"/>
  <c r="AD26" i="2"/>
  <c r="AX26" i="2"/>
  <c r="BI31" i="2"/>
  <c r="I30" i="2"/>
  <c r="AC29" i="2"/>
  <c r="AW29" i="2"/>
  <c r="M31" i="2"/>
  <c r="BA32" i="2"/>
  <c r="Q31" i="2"/>
  <c r="AS31" i="2"/>
  <c r="BL28" i="2" l="1"/>
  <c r="AP28" i="2" s="1"/>
  <c r="BB27" i="2"/>
  <c r="BJ27" i="2"/>
  <c r="AT27" i="2"/>
  <c r="R27" i="2"/>
  <c r="N27" i="2"/>
  <c r="AH27" i="2"/>
  <c r="J27" i="2"/>
  <c r="V27" i="2"/>
  <c r="AX27" i="2"/>
  <c r="AD27" i="2"/>
  <c r="AL27" i="2"/>
  <c r="AO29" i="2"/>
  <c r="BE29" i="2"/>
  <c r="U30" i="2"/>
  <c r="AG32" i="2"/>
  <c r="AS32" i="2"/>
  <c r="Q32" i="2"/>
  <c r="BA33" i="2"/>
  <c r="M32" i="2"/>
  <c r="AW30" i="2"/>
  <c r="AC30" i="2"/>
  <c r="I31" i="2"/>
  <c r="BI32" i="2"/>
  <c r="AP27" i="2"/>
  <c r="BF27" i="2"/>
  <c r="AK30" i="2"/>
  <c r="BF28" i="2" l="1"/>
  <c r="AK31" i="2"/>
  <c r="I32" i="2"/>
  <c r="M33" i="2"/>
  <c r="AC31" i="2"/>
  <c r="AG33" i="2"/>
  <c r="U31" i="2"/>
  <c r="AO30" i="2"/>
  <c r="BL29" i="2"/>
  <c r="BF29" i="2" s="1"/>
  <c r="BB28" i="2"/>
  <c r="AH28" i="2"/>
  <c r="N28" i="2"/>
  <c r="R28" i="2"/>
  <c r="AT28" i="2"/>
  <c r="BJ28" i="2"/>
  <c r="J28" i="2"/>
  <c r="V28" i="2"/>
  <c r="AL28" i="2"/>
  <c r="AD28" i="2"/>
  <c r="AX28" i="2"/>
  <c r="BI33" i="2"/>
  <c r="AW31" i="2"/>
  <c r="BA34" i="2"/>
  <c r="Q33" i="2"/>
  <c r="AS33" i="2"/>
  <c r="BE30" i="2"/>
  <c r="BE31" i="2" l="1"/>
  <c r="BL30" i="2"/>
  <c r="AP30" i="2" s="1"/>
  <c r="BB29" i="2"/>
  <c r="BJ29" i="2"/>
  <c r="AH29" i="2"/>
  <c r="AT29" i="2"/>
  <c r="R29" i="2"/>
  <c r="N29" i="2"/>
  <c r="J29" i="2"/>
  <c r="V29" i="2"/>
  <c r="AX29" i="2"/>
  <c r="AL29" i="2"/>
  <c r="AD29" i="2"/>
  <c r="AO31" i="2"/>
  <c r="U32" i="2"/>
  <c r="AG34" i="2"/>
  <c r="AS34" i="2"/>
  <c r="Q34" i="2"/>
  <c r="BA35" i="2"/>
  <c r="AW32" i="2"/>
  <c r="BI34" i="2"/>
  <c r="AP29" i="2"/>
  <c r="AC32" i="2"/>
  <c r="M34" i="2"/>
  <c r="I33" i="2"/>
  <c r="AK32" i="2"/>
  <c r="AK33" i="2" l="1"/>
  <c r="I34" i="2"/>
  <c r="M35" i="2"/>
  <c r="AC33" i="2"/>
  <c r="AG35" i="2"/>
  <c r="U33" i="2"/>
  <c r="AO32" i="2"/>
  <c r="BL31" i="2"/>
  <c r="AP31" i="2" s="1"/>
  <c r="BB30" i="2"/>
  <c r="AH30" i="2"/>
  <c r="BJ30" i="2"/>
  <c r="N30" i="2"/>
  <c r="R30" i="2"/>
  <c r="AT30" i="2"/>
  <c r="J30" i="2"/>
  <c r="V30" i="2"/>
  <c r="AL30" i="2"/>
  <c r="AD30" i="2"/>
  <c r="AX30" i="2"/>
  <c r="BE32" i="2"/>
  <c r="BI35" i="2"/>
  <c r="AW33" i="2"/>
  <c r="BA36" i="2"/>
  <c r="Q35" i="2"/>
  <c r="AS35" i="2"/>
  <c r="BF30" i="2"/>
  <c r="BF31" i="2" l="1"/>
  <c r="BE33" i="2"/>
  <c r="BL32" i="2"/>
  <c r="AP32" i="2" s="1"/>
  <c r="BB31" i="2"/>
  <c r="AH31" i="2"/>
  <c r="AT31" i="2"/>
  <c r="R31" i="2"/>
  <c r="N31" i="2"/>
  <c r="BJ31" i="2"/>
  <c r="J31" i="2"/>
  <c r="V31" i="2"/>
  <c r="AX31" i="2"/>
  <c r="AD31" i="2"/>
  <c r="AL31" i="2"/>
  <c r="AO33" i="2"/>
  <c r="U34" i="2"/>
  <c r="AS36" i="2"/>
  <c r="Q36" i="2"/>
  <c r="BA37" i="2"/>
  <c r="AW34" i="2"/>
  <c r="BI36" i="2"/>
  <c r="AG36" i="2"/>
  <c r="AC34" i="2"/>
  <c r="M36" i="2"/>
  <c r="I35" i="2"/>
  <c r="AK34" i="2"/>
  <c r="I36" i="2" l="1"/>
  <c r="AC35" i="2"/>
  <c r="U35" i="2"/>
  <c r="AO34" i="2"/>
  <c r="BL33" i="2"/>
  <c r="BB32" i="2"/>
  <c r="AH32" i="2"/>
  <c r="N32" i="2"/>
  <c r="BJ32" i="2"/>
  <c r="R32" i="2"/>
  <c r="AT32" i="2"/>
  <c r="J32" i="2"/>
  <c r="V32" i="2"/>
  <c r="AL32" i="2"/>
  <c r="AD32" i="2"/>
  <c r="AX32" i="2"/>
  <c r="BE34" i="2"/>
  <c r="AK35" i="2"/>
  <c r="M37" i="2"/>
  <c r="AG37" i="2"/>
  <c r="BI37" i="2"/>
  <c r="AW35" i="2"/>
  <c r="BA38" i="2"/>
  <c r="Q37" i="2"/>
  <c r="AS37" i="2"/>
  <c r="BF32" i="2"/>
  <c r="AS38" i="2" l="1"/>
  <c r="BE35" i="2"/>
  <c r="BL34" i="2"/>
  <c r="BB33" i="2"/>
  <c r="AH33" i="2"/>
  <c r="AT33" i="2"/>
  <c r="R33" i="2"/>
  <c r="BJ33" i="2"/>
  <c r="N33" i="2"/>
  <c r="J33" i="2"/>
  <c r="V33" i="2"/>
  <c r="AX33" i="2"/>
  <c r="AD33" i="2"/>
  <c r="AL33" i="2"/>
  <c r="AO35" i="2"/>
  <c r="U36" i="2"/>
  <c r="Q38" i="2"/>
  <c r="BA39" i="2"/>
  <c r="AW36" i="2"/>
  <c r="BI38" i="2"/>
  <c r="AG38" i="2"/>
  <c r="M38" i="2"/>
  <c r="AK36" i="2"/>
  <c r="BF33" i="2"/>
  <c r="AP33" i="2"/>
  <c r="AC36" i="2"/>
  <c r="I37" i="2"/>
  <c r="AG39" i="2" l="1"/>
  <c r="BI39" i="2"/>
  <c r="U37" i="2"/>
  <c r="AO36" i="2"/>
  <c r="BL35" i="2"/>
  <c r="BB34" i="2"/>
  <c r="N34" i="2"/>
  <c r="AH34" i="2"/>
  <c r="BJ34" i="2"/>
  <c r="R34" i="2"/>
  <c r="AT34" i="2"/>
  <c r="J34" i="2"/>
  <c r="V34" i="2"/>
  <c r="AD34" i="2"/>
  <c r="AL34" i="2"/>
  <c r="AX34" i="2"/>
  <c r="BE36" i="2"/>
  <c r="I38" i="2"/>
  <c r="AC37" i="2"/>
  <c r="AK37" i="2"/>
  <c r="M39" i="2"/>
  <c r="AW37" i="2"/>
  <c r="BA40" i="2"/>
  <c r="Q39" i="2"/>
  <c r="AP34" i="2"/>
  <c r="BF34" i="2"/>
  <c r="AS39" i="2"/>
  <c r="AK38" i="2" l="1"/>
  <c r="BE37" i="2"/>
  <c r="BL36" i="2"/>
  <c r="BB35" i="2"/>
  <c r="AT35" i="2"/>
  <c r="R35" i="2"/>
  <c r="BJ35" i="2"/>
  <c r="AH35" i="2"/>
  <c r="N35" i="2"/>
  <c r="J35" i="2"/>
  <c r="V35" i="2"/>
  <c r="AX35" i="2"/>
  <c r="AL35" i="2"/>
  <c r="AD35" i="2"/>
  <c r="AO37" i="2"/>
  <c r="AS40" i="2"/>
  <c r="Q40" i="2"/>
  <c r="AW38" i="2"/>
  <c r="M40" i="2"/>
  <c r="AC38" i="2"/>
  <c r="I39" i="2"/>
  <c r="BF35" i="2"/>
  <c r="AP35" i="2"/>
  <c r="U38" i="2"/>
  <c r="BI40" i="2"/>
  <c r="AG40" i="2"/>
  <c r="I40" i="2" l="1"/>
  <c r="AC39" i="2"/>
  <c r="AO38" i="2"/>
  <c r="BL37" i="2"/>
  <c r="BF37" i="2" s="1"/>
  <c r="BB36" i="2"/>
  <c r="AT36" i="2"/>
  <c r="N36" i="2"/>
  <c r="AH36" i="2"/>
  <c r="BJ36" i="2"/>
  <c r="R36" i="2"/>
  <c r="J36" i="2"/>
  <c r="AL36" i="2"/>
  <c r="V36" i="2"/>
  <c r="AD36" i="2"/>
  <c r="AX36" i="2"/>
  <c r="BF36" i="2"/>
  <c r="U39" i="2"/>
  <c r="AW39" i="2"/>
  <c r="AP36" i="2"/>
  <c r="BE38" i="2"/>
  <c r="AK39" i="2"/>
  <c r="BE39" i="2" l="1"/>
  <c r="U40" i="2"/>
  <c r="AO39" i="2"/>
  <c r="AK40" i="2"/>
  <c r="AW40" i="2"/>
  <c r="BL38" i="2"/>
  <c r="BB37" i="2"/>
  <c r="BJ37" i="2"/>
  <c r="AH37" i="2"/>
  <c r="AT37" i="2"/>
  <c r="R37" i="2"/>
  <c r="N37" i="2"/>
  <c r="J37" i="2"/>
  <c r="AD37" i="2"/>
  <c r="AL37" i="2"/>
  <c r="AX37" i="2"/>
  <c r="V37" i="2"/>
  <c r="AP37" i="2"/>
  <c r="AC40" i="2"/>
  <c r="BL39" i="2" l="1"/>
  <c r="AP39" i="2" s="1"/>
  <c r="BB38" i="2"/>
  <c r="AH38" i="2"/>
  <c r="BJ38" i="2"/>
  <c r="N38" i="2"/>
  <c r="R38" i="2"/>
  <c r="AT38" i="2"/>
  <c r="J38" i="2"/>
  <c r="V38" i="2"/>
  <c r="AD38" i="2"/>
  <c r="AX38" i="2"/>
  <c r="AL38" i="2"/>
  <c r="AO40" i="2"/>
  <c r="BE40" i="2"/>
  <c r="AP38" i="2"/>
  <c r="BF38" i="2"/>
  <c r="BF39" i="2" l="1"/>
  <c r="BL40" i="2"/>
  <c r="BF40" i="2" s="1"/>
  <c r="BB39" i="2"/>
  <c r="R39" i="2"/>
  <c r="N39" i="2"/>
  <c r="BJ39" i="2"/>
  <c r="AH39" i="2"/>
  <c r="AT39" i="2"/>
  <c r="J39" i="2"/>
  <c r="AD39" i="2"/>
  <c r="V39" i="2"/>
  <c r="AL39" i="2"/>
  <c r="AX39" i="2"/>
  <c r="BB40" i="2" l="1"/>
  <c r="AH40" i="2"/>
  <c r="N40" i="2"/>
  <c r="AT40" i="2"/>
  <c r="BJ40" i="2"/>
  <c r="R40" i="2"/>
  <c r="J40" i="2"/>
  <c r="AD40" i="2"/>
  <c r="AL40" i="2"/>
  <c r="V40" i="2"/>
  <c r="AX40" i="2"/>
  <c r="AP40" i="2"/>
  <c r="G42" i="16" l="1"/>
  <c r="I37" i="16" s="1"/>
  <c r="F42" i="16"/>
  <c r="C43" i="16"/>
  <c r="C43" i="18" l="1"/>
  <c r="C43" i="19" l="1"/>
  <c r="C40" i="24" l="1"/>
  <c r="C43" i="27" l="1"/>
  <c r="C43" i="29" l="1"/>
  <c r="C43" i="30" l="1"/>
  <c r="I49" i="4" l="1"/>
  <c r="I49" i="6"/>
  <c r="I49" i="43" l="1"/>
  <c r="I49" i="37"/>
  <c r="C43" i="33" l="1"/>
  <c r="F23" i="33" l="1"/>
  <c r="C38" i="43"/>
  <c r="R24" i="43"/>
  <c r="U24" i="43" s="1"/>
  <c r="R15" i="43"/>
  <c r="U15" i="43" s="1"/>
  <c r="R24" i="4"/>
  <c r="U24" i="4" s="1"/>
  <c r="R15" i="4"/>
  <c r="U15" i="4" s="1"/>
  <c r="S8" i="4"/>
  <c r="R8" i="4"/>
  <c r="R7" i="4"/>
  <c r="U7" i="4" s="1"/>
  <c r="R24" i="37"/>
  <c r="U24" i="37" s="1"/>
  <c r="R15" i="37"/>
  <c r="U15" i="37" s="1"/>
  <c r="S8" i="37"/>
  <c r="R8" i="37"/>
  <c r="R7" i="37"/>
  <c r="U7" i="37" s="1"/>
  <c r="R24" i="6"/>
  <c r="U24" i="6" s="1"/>
  <c r="R15" i="6"/>
  <c r="U15" i="6" s="1"/>
  <c r="S8" i="6"/>
  <c r="R8" i="6"/>
  <c r="R7" i="6"/>
  <c r="U7" i="6" s="1"/>
  <c r="R24" i="13"/>
  <c r="U24" i="13" s="1"/>
  <c r="R15" i="13"/>
  <c r="U15" i="13" s="1"/>
  <c r="S8" i="13"/>
  <c r="R8" i="13"/>
  <c r="R7" i="13"/>
  <c r="U7" i="13" s="1"/>
  <c r="I43" i="30"/>
  <c r="C38" i="30"/>
  <c r="C38" i="31"/>
  <c r="C38" i="32"/>
  <c r="C38" i="33"/>
  <c r="U8" i="6" l="1"/>
  <c r="U8" i="37"/>
  <c r="U8" i="4"/>
  <c r="U8" i="13"/>
  <c r="G42" i="43" l="1"/>
  <c r="I37" i="43" s="1"/>
  <c r="D38" i="48"/>
  <c r="E35" i="48"/>
  <c r="D35" i="48"/>
  <c r="D37" i="48"/>
  <c r="G42" i="6"/>
  <c r="I37" i="6" s="1"/>
  <c r="F42" i="6"/>
  <c r="D36" i="48" s="1"/>
  <c r="D34" i="48"/>
  <c r="D33" i="48"/>
  <c r="E32" i="48"/>
  <c r="D32" i="48"/>
  <c r="D31" i="48"/>
  <c r="D30" i="48"/>
  <c r="E29" i="48"/>
  <c r="D29" i="48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G42" i="19"/>
  <c r="I37" i="19" s="1"/>
  <c r="F42" i="19"/>
  <c r="D23" i="48" s="1"/>
  <c r="D22" i="48"/>
  <c r="D21" i="48"/>
  <c r="D20" i="48"/>
  <c r="I43" i="43"/>
  <c r="I44" i="43" s="1"/>
  <c r="I43" i="4"/>
  <c r="I43" i="37"/>
  <c r="I44" i="37" s="1"/>
  <c r="I43" i="6"/>
  <c r="I44" i="6" s="1"/>
  <c r="I43" i="7"/>
  <c r="I43" i="8"/>
  <c r="I44" i="8" s="1"/>
  <c r="I43" i="9"/>
  <c r="I44" i="9" s="1"/>
  <c r="I43" i="10"/>
  <c r="I44" i="10" s="1"/>
  <c r="I43" i="11"/>
  <c r="I43" i="12"/>
  <c r="I44" i="12" s="1"/>
  <c r="I43" i="13"/>
  <c r="I44" i="13" s="1"/>
  <c r="I43" i="14"/>
  <c r="I44" i="14" s="1"/>
  <c r="I43" i="15"/>
  <c r="I44" i="15" s="1"/>
  <c r="I43" i="16"/>
  <c r="I44" i="16" s="1"/>
  <c r="I43" i="17"/>
  <c r="I44" i="17" s="1"/>
  <c r="I43" i="18"/>
  <c r="I43" i="19"/>
  <c r="I43" i="20"/>
  <c r="I44" i="20" s="1"/>
  <c r="I43" i="22"/>
  <c r="I44" i="22" s="1"/>
  <c r="I43" i="21"/>
  <c r="I44" i="21" s="1"/>
  <c r="I43" i="23"/>
  <c r="I44" i="23" s="1"/>
  <c r="I43" i="24"/>
  <c r="I44" i="24" s="1"/>
  <c r="I43" i="25"/>
  <c r="I44" i="25" s="1"/>
  <c r="I43" i="26"/>
  <c r="I44" i="26" s="1"/>
  <c r="I43" i="28"/>
  <c r="I44" i="28" s="1"/>
  <c r="I43" i="27"/>
  <c r="I44" i="27" s="1"/>
  <c r="I43" i="29"/>
  <c r="I44" i="29" s="1"/>
  <c r="I44" i="30"/>
  <c r="I43" i="32"/>
  <c r="I44" i="32" s="1"/>
  <c r="J43" i="33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7" i="2" s="1"/>
  <c r="C38" i="2" s="1"/>
  <c r="C39" i="2" s="1"/>
  <c r="C40" i="2" s="1"/>
  <c r="B11" i="2" s="1"/>
  <c r="B12" i="2" s="1"/>
  <c r="B13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6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10" i="2" s="1"/>
  <c r="B38" i="45"/>
  <c r="P38" i="48"/>
  <c r="B37" i="45" s="1"/>
  <c r="P37" i="48"/>
  <c r="B36" i="45" s="1"/>
  <c r="P36" i="48"/>
  <c r="B35" i="45" s="1"/>
  <c r="P35" i="48"/>
  <c r="B34" i="45" s="1"/>
  <c r="P34" i="48"/>
  <c r="B33" i="45" s="1"/>
  <c r="P33" i="48"/>
  <c r="B32" i="45" s="1"/>
  <c r="P32" i="48"/>
  <c r="B31" i="45" s="1"/>
  <c r="P31" i="48"/>
  <c r="B30" i="45" s="1"/>
  <c r="P30" i="48"/>
  <c r="B29" i="45" s="1"/>
  <c r="P29" i="48"/>
  <c r="B28" i="45" s="1"/>
  <c r="P28" i="48"/>
  <c r="B27" i="45" s="1"/>
  <c r="P27" i="48"/>
  <c r="B26" i="45" s="1"/>
  <c r="P26" i="48"/>
  <c r="B25" i="45" s="1"/>
  <c r="P25" i="48"/>
  <c r="B24" i="45" s="1"/>
  <c r="P24" i="48"/>
  <c r="B23" i="45" s="1"/>
  <c r="P23" i="48"/>
  <c r="B22" i="45" s="1"/>
  <c r="P22" i="48"/>
  <c r="B21" i="45" s="1"/>
  <c r="P21" i="48"/>
  <c r="B20" i="45" s="1"/>
  <c r="P20" i="48"/>
  <c r="P19" i="48"/>
  <c r="H19" i="48" s="1"/>
  <c r="P18" i="48"/>
  <c r="P17" i="48"/>
  <c r="G17" i="48" s="1"/>
  <c r="P16" i="48"/>
  <c r="P15" i="48"/>
  <c r="P14" i="48"/>
  <c r="B13" i="45" s="1"/>
  <c r="P13" i="48"/>
  <c r="B12" i="45" s="1"/>
  <c r="P12" i="48"/>
  <c r="B11" i="45" s="1"/>
  <c r="P11" i="48"/>
  <c r="B10" i="45" s="1"/>
  <c r="P10" i="48"/>
  <c r="B9" i="45" s="1"/>
  <c r="AA9" i="48"/>
  <c r="AA10" i="48" s="1"/>
  <c r="AA11" i="48" s="1"/>
  <c r="AA12" i="48" s="1"/>
  <c r="AA13" i="48" s="1"/>
  <c r="AA14" i="48" s="1"/>
  <c r="AA15" i="48" s="1"/>
  <c r="AA16" i="48" s="1"/>
  <c r="AA17" i="48" s="1"/>
  <c r="AA18" i="48" s="1"/>
  <c r="AA19" i="48" s="1"/>
  <c r="AA20" i="48" s="1"/>
  <c r="AA21" i="48" s="1"/>
  <c r="AA22" i="48" s="1"/>
  <c r="AA23" i="48" s="1"/>
  <c r="AA24" i="48" s="1"/>
  <c r="AA25" i="48" s="1"/>
  <c r="AA26" i="48" s="1"/>
  <c r="AA27" i="48" s="1"/>
  <c r="AA28" i="48" s="1"/>
  <c r="AA29" i="48" s="1"/>
  <c r="AA30" i="48" s="1"/>
  <c r="AA31" i="48" s="1"/>
  <c r="AA32" i="48" s="1"/>
  <c r="AA33" i="48" s="1"/>
  <c r="AA34" i="48" s="1"/>
  <c r="AA35" i="48" s="1"/>
  <c r="AA36" i="48" s="1"/>
  <c r="AA37" i="48" s="1"/>
  <c r="AA38" i="48" s="1"/>
  <c r="A10" i="48"/>
  <c r="A11" i="48" s="1"/>
  <c r="D19" i="48"/>
  <c r="D18" i="48"/>
  <c r="D16" i="48"/>
  <c r="D15" i="48"/>
  <c r="G42" i="27"/>
  <c r="I37" i="27" s="1"/>
  <c r="F42" i="27"/>
  <c r="D14" i="48" s="1"/>
  <c r="E13" i="48"/>
  <c r="D11" i="48"/>
  <c r="P9" i="48"/>
  <c r="D38" i="33"/>
  <c r="L34" i="26"/>
  <c r="D10" i="48"/>
  <c r="D9" i="48"/>
  <c r="I47" i="29"/>
  <c r="H4" i="43"/>
  <c r="C14" i="43"/>
  <c r="V7" i="43" s="1"/>
  <c r="W7" i="43" s="1"/>
  <c r="D14" i="43"/>
  <c r="E14" i="43"/>
  <c r="F14" i="43"/>
  <c r="C23" i="43"/>
  <c r="V15" i="43" s="1"/>
  <c r="W15" i="43" s="1"/>
  <c r="D23" i="43"/>
  <c r="E23" i="43"/>
  <c r="F23" i="43"/>
  <c r="F34" i="43" s="1"/>
  <c r="C32" i="43"/>
  <c r="V24" i="43" s="1"/>
  <c r="W24" i="43" s="1"/>
  <c r="D32" i="43"/>
  <c r="E32" i="43"/>
  <c r="F32" i="43"/>
  <c r="K34" i="43"/>
  <c r="L34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V7" i="4" s="1"/>
  <c r="W7" i="4" s="1"/>
  <c r="D14" i="4"/>
  <c r="E14" i="4"/>
  <c r="F14" i="4"/>
  <c r="C23" i="4"/>
  <c r="C24" i="4" s="1"/>
  <c r="D23" i="4"/>
  <c r="E23" i="4"/>
  <c r="F23" i="4"/>
  <c r="C32" i="4"/>
  <c r="V24" i="4" s="1"/>
  <c r="W24" i="4" s="1"/>
  <c r="D32" i="4"/>
  <c r="E32" i="4"/>
  <c r="F32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V24" i="37"/>
  <c r="W24" i="37" s="1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V7" i="6"/>
  <c r="W7" i="6" s="1"/>
  <c r="V15" i="6"/>
  <c r="W15" i="6" s="1"/>
  <c r="V24" i="6"/>
  <c r="W24" i="6" s="1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I44" i="7"/>
  <c r="C45" i="7"/>
  <c r="C46" i="7"/>
  <c r="C47" i="7"/>
  <c r="C48" i="7"/>
  <c r="C49" i="7"/>
  <c r="C50" i="7"/>
  <c r="C51" i="7"/>
  <c r="H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I40" i="10" s="1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3" i="11"/>
  <c r="C44" i="11"/>
  <c r="I44" i="11"/>
  <c r="C45" i="11"/>
  <c r="C46" i="11"/>
  <c r="C47" i="11"/>
  <c r="C48" i="11"/>
  <c r="C49" i="11"/>
  <c r="C50" i="11"/>
  <c r="C51" i="11"/>
  <c r="H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V7" i="13"/>
  <c r="W7" i="13" s="1"/>
  <c r="V15" i="13"/>
  <c r="W15" i="13" s="1"/>
  <c r="V24" i="13"/>
  <c r="W24" i="13" s="1"/>
  <c r="L34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C51" i="16"/>
  <c r="H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H4" i="18"/>
  <c r="K34" i="18"/>
  <c r="L34" i="18"/>
  <c r="C38" i="18"/>
  <c r="C39" i="18"/>
  <c r="C40" i="18"/>
  <c r="C41" i="18"/>
  <c r="C42" i="18"/>
  <c r="C44" i="18"/>
  <c r="C45" i="18"/>
  <c r="C46" i="18"/>
  <c r="C47" i="18"/>
  <c r="C48" i="18"/>
  <c r="C49" i="18"/>
  <c r="C50" i="18"/>
  <c r="C51" i="18"/>
  <c r="H4" i="19"/>
  <c r="L34" i="19"/>
  <c r="C38" i="19"/>
  <c r="C39" i="19"/>
  <c r="C40" i="19"/>
  <c r="C41" i="19"/>
  <c r="C42" i="19"/>
  <c r="C44" i="19"/>
  <c r="I44" i="19"/>
  <c r="C45" i="19"/>
  <c r="C46" i="19"/>
  <c r="C47" i="19"/>
  <c r="C48" i="19"/>
  <c r="C49" i="19"/>
  <c r="C50" i="19"/>
  <c r="C51" i="19"/>
  <c r="H4" i="20"/>
  <c r="K3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H4" i="22"/>
  <c r="K3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C41" i="24"/>
  <c r="C42" i="24"/>
  <c r="C43" i="24"/>
  <c r="C44" i="24"/>
  <c r="C45" i="24"/>
  <c r="C46" i="24"/>
  <c r="C47" i="24"/>
  <c r="C48" i="24"/>
  <c r="C49" i="24"/>
  <c r="C50" i="24"/>
  <c r="C51" i="24"/>
  <c r="H4" i="25"/>
  <c r="L34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C51" i="26"/>
  <c r="H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H4" i="27"/>
  <c r="L34" i="27"/>
  <c r="C38" i="27"/>
  <c r="C39" i="27"/>
  <c r="C40" i="27"/>
  <c r="C41" i="27"/>
  <c r="C42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4" i="29"/>
  <c r="C45" i="29"/>
  <c r="C46" i="29"/>
  <c r="C47" i="29"/>
  <c r="C48" i="29"/>
  <c r="C49" i="29"/>
  <c r="C50" i="29"/>
  <c r="C51" i="29"/>
  <c r="H4" i="30"/>
  <c r="L34" i="30"/>
  <c r="C39" i="30"/>
  <c r="C40" i="30"/>
  <c r="C41" i="30"/>
  <c r="C42" i="30"/>
  <c r="C44" i="30"/>
  <c r="C45" i="30"/>
  <c r="C47" i="30"/>
  <c r="C48" i="30"/>
  <c r="C49" i="30"/>
  <c r="C50" i="30"/>
  <c r="C51" i="30"/>
  <c r="H4" i="31"/>
  <c r="L34" i="31"/>
  <c r="C39" i="31"/>
  <c r="C40" i="31"/>
  <c r="C41" i="31"/>
  <c r="C42" i="31"/>
  <c r="C43" i="31"/>
  <c r="C44" i="31"/>
  <c r="I44" i="31"/>
  <c r="C45" i="31"/>
  <c r="C46" i="31"/>
  <c r="C47" i="31"/>
  <c r="C48" i="31"/>
  <c r="C49" i="31"/>
  <c r="C50" i="31"/>
  <c r="C51" i="31"/>
  <c r="H4" i="32"/>
  <c r="J7" i="32"/>
  <c r="J7" i="31" s="1"/>
  <c r="J8" i="32"/>
  <c r="J8" i="31" s="1"/>
  <c r="J9" i="32"/>
  <c r="J9" i="31" s="1"/>
  <c r="J10" i="32"/>
  <c r="J10" i="31" s="1"/>
  <c r="J11" i="32"/>
  <c r="J11" i="31" s="1"/>
  <c r="J12" i="32"/>
  <c r="J12" i="31" s="1"/>
  <c r="J13" i="32"/>
  <c r="J13" i="31" s="1"/>
  <c r="J14" i="32"/>
  <c r="J14" i="31" s="1"/>
  <c r="J15" i="32"/>
  <c r="J15" i="31" s="1"/>
  <c r="J16" i="32"/>
  <c r="J16" i="31" s="1"/>
  <c r="J17" i="32"/>
  <c r="J17" i="31" s="1"/>
  <c r="J18" i="32"/>
  <c r="J18" i="31" s="1"/>
  <c r="J19" i="32"/>
  <c r="J19" i="31" s="1"/>
  <c r="J20" i="32"/>
  <c r="J20" i="31" s="1"/>
  <c r="J21" i="32"/>
  <c r="J21" i="31" s="1"/>
  <c r="J22" i="32"/>
  <c r="J22" i="31" s="1"/>
  <c r="J23" i="32"/>
  <c r="J23" i="31" s="1"/>
  <c r="J24" i="32"/>
  <c r="J25" i="32"/>
  <c r="J26" i="32"/>
  <c r="J27" i="32"/>
  <c r="J28" i="32"/>
  <c r="J29" i="32"/>
  <c r="J30" i="32"/>
  <c r="J31" i="32"/>
  <c r="J32" i="32"/>
  <c r="J32" i="31" s="1"/>
  <c r="J32" i="30" s="1"/>
  <c r="J32" i="29" s="1"/>
  <c r="J32" i="27" s="1"/>
  <c r="J32" i="28" s="1"/>
  <c r="J32" i="26" s="1"/>
  <c r="L34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9" i="30" s="1"/>
  <c r="M9" i="29" s="1"/>
  <c r="M9" i="27" s="1"/>
  <c r="M9" i="28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F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Z21" i="57" s="1"/>
  <c r="AA21" i="57" s="1"/>
  <c r="AB21" i="57" s="1"/>
  <c r="C41" i="33"/>
  <c r="D41" i="33" s="1"/>
  <c r="C42" i="33"/>
  <c r="D42" i="33" s="1"/>
  <c r="E42" i="33" s="1"/>
  <c r="D43" i="33"/>
  <c r="C44" i="33"/>
  <c r="D44" i="33" s="1"/>
  <c r="C45" i="33"/>
  <c r="D45" i="33" s="1"/>
  <c r="Z26" i="57" s="1"/>
  <c r="AA26" i="57" s="1"/>
  <c r="AB26" i="57" s="1"/>
  <c r="C46" i="33"/>
  <c r="D46" i="33" s="1"/>
  <c r="C47" i="33"/>
  <c r="D47" i="33" s="1"/>
  <c r="C48" i="33"/>
  <c r="D48" i="33" s="1"/>
  <c r="E48" i="33" s="1"/>
  <c r="C49" i="33"/>
  <c r="D49" i="33" s="1"/>
  <c r="C50" i="33"/>
  <c r="D50" i="33" s="1"/>
  <c r="Z31" i="57" s="1"/>
  <c r="AA31" i="57" s="1"/>
  <c r="AB31" i="57" s="1"/>
  <c r="C51" i="33"/>
  <c r="D51" i="33" s="1"/>
  <c r="A4" i="47"/>
  <c r="A10" i="2" s="1"/>
  <c r="J46" i="33"/>
  <c r="I47" i="32"/>
  <c r="AF11" i="48"/>
  <c r="I47" i="27"/>
  <c r="AF15" i="48"/>
  <c r="AF16" i="48"/>
  <c r="AF17" i="48"/>
  <c r="AH17" i="48" s="1"/>
  <c r="AF19" i="48"/>
  <c r="I47" i="21"/>
  <c r="AF21" i="48"/>
  <c r="AH21" i="48" s="1"/>
  <c r="AF24" i="48"/>
  <c r="AH24" i="48" s="1"/>
  <c r="I47" i="17"/>
  <c r="I47" i="16"/>
  <c r="I47" i="15"/>
  <c r="AF29" i="48"/>
  <c r="AH29" i="48" s="1"/>
  <c r="AF30" i="48"/>
  <c r="AH30" i="48" s="1"/>
  <c r="AF33" i="48"/>
  <c r="AH33" i="48" s="1"/>
  <c r="I47" i="43"/>
  <c r="I50" i="37"/>
  <c r="I50" i="43"/>
  <c r="AF18" i="48"/>
  <c r="AB14" i="48"/>
  <c r="AB15" i="48"/>
  <c r="Q9" i="48"/>
  <c r="Z41" i="48"/>
  <c r="AB9" i="48"/>
  <c r="AB17" i="48"/>
  <c r="AB23" i="48"/>
  <c r="I44" i="33"/>
  <c r="AB21" i="48"/>
  <c r="H21" i="48"/>
  <c r="AB30" i="48"/>
  <c r="AB31" i="48"/>
  <c r="G15" i="48"/>
  <c r="G31" i="48"/>
  <c r="H15" i="48"/>
  <c r="H29" i="48"/>
  <c r="G33" i="48"/>
  <c r="AB37" i="48"/>
  <c r="G37" i="48"/>
  <c r="G29" i="48"/>
  <c r="G23" i="48"/>
  <c r="H37" i="48"/>
  <c r="E28" i="48"/>
  <c r="G21" i="48"/>
  <c r="E18" i="48"/>
  <c r="F18" i="48" s="1"/>
  <c r="E15" i="48"/>
  <c r="AF36" i="48"/>
  <c r="AF34" i="48"/>
  <c r="E30" i="48"/>
  <c r="F30" i="48" l="1"/>
  <c r="AB33" i="48"/>
  <c r="E36" i="48"/>
  <c r="J23" i="45"/>
  <c r="N23" i="45"/>
  <c r="F23" i="45"/>
  <c r="Q23" i="45"/>
  <c r="N31" i="45"/>
  <c r="J31" i="45"/>
  <c r="F31" i="45"/>
  <c r="Q31" i="45"/>
  <c r="J24" i="45"/>
  <c r="N24" i="45"/>
  <c r="F24" i="45"/>
  <c r="Q24" i="45"/>
  <c r="Q32" i="45"/>
  <c r="J32" i="45"/>
  <c r="N32" i="45"/>
  <c r="F32" i="45"/>
  <c r="N26" i="45"/>
  <c r="F26" i="45"/>
  <c r="Q26" i="45"/>
  <c r="J26" i="45"/>
  <c r="J34" i="45"/>
  <c r="N34" i="45"/>
  <c r="F34" i="45"/>
  <c r="Q34" i="45"/>
  <c r="J25" i="45"/>
  <c r="F25" i="45"/>
  <c r="N25" i="45"/>
  <c r="Q25" i="45"/>
  <c r="F27" i="45"/>
  <c r="J27" i="45"/>
  <c r="N27" i="45"/>
  <c r="Q27" i="45"/>
  <c r="Q35" i="45"/>
  <c r="J35" i="45"/>
  <c r="F35" i="45"/>
  <c r="N35" i="45"/>
  <c r="N33" i="45"/>
  <c r="J33" i="45"/>
  <c r="F33" i="45"/>
  <c r="Q33" i="45"/>
  <c r="J20" i="45"/>
  <c r="F20" i="45"/>
  <c r="N20" i="45"/>
  <c r="Q20" i="45"/>
  <c r="F28" i="45"/>
  <c r="J28" i="45"/>
  <c r="N28" i="45"/>
  <c r="Q28" i="45"/>
  <c r="F36" i="45"/>
  <c r="Q36" i="45"/>
  <c r="J36" i="45"/>
  <c r="N36" i="45"/>
  <c r="N21" i="45"/>
  <c r="J21" i="45"/>
  <c r="F21" i="45"/>
  <c r="Q21" i="45"/>
  <c r="J29" i="45"/>
  <c r="F29" i="45"/>
  <c r="N29" i="45"/>
  <c r="Q29" i="45"/>
  <c r="J37" i="45"/>
  <c r="N37" i="45"/>
  <c r="F37" i="45"/>
  <c r="Q37" i="45"/>
  <c r="J22" i="45"/>
  <c r="N22" i="45"/>
  <c r="F22" i="45"/>
  <c r="Q22" i="45"/>
  <c r="N30" i="45"/>
  <c r="F30" i="45"/>
  <c r="J30" i="45"/>
  <c r="Q30" i="45"/>
  <c r="F38" i="45"/>
  <c r="J38" i="45"/>
  <c r="N38" i="45"/>
  <c r="Q38" i="45"/>
  <c r="G32" i="48"/>
  <c r="C34" i="4"/>
  <c r="D38" i="1"/>
  <c r="D39" i="1"/>
  <c r="Z31" i="46"/>
  <c r="AA31" i="46" s="1"/>
  <c r="AB31" i="46" s="1"/>
  <c r="AH16" i="48"/>
  <c r="Z21" i="46"/>
  <c r="AA21" i="46" s="1"/>
  <c r="AB21" i="46" s="1"/>
  <c r="Z26" i="46"/>
  <c r="AA26" i="46" s="1"/>
  <c r="AB26" i="46" s="1"/>
  <c r="J31" i="31"/>
  <c r="J31" i="30" s="1"/>
  <c r="J31" i="29" s="1"/>
  <c r="J31" i="27" s="1"/>
  <c r="J31" i="28" s="1"/>
  <c r="J31" i="26" s="1"/>
  <c r="A12" i="48"/>
  <c r="A13" i="48" s="1"/>
  <c r="J30" i="31"/>
  <c r="J30" i="30" s="1"/>
  <c r="J30" i="29" s="1"/>
  <c r="J30" i="27" s="1"/>
  <c r="J30" i="28" s="1"/>
  <c r="J30" i="26" s="1"/>
  <c r="J29" i="31"/>
  <c r="J29" i="30" s="1"/>
  <c r="J29" i="29" s="1"/>
  <c r="J29" i="27" s="1"/>
  <c r="J29" i="28" s="1"/>
  <c r="J29" i="26" s="1"/>
  <c r="J28" i="31"/>
  <c r="J28" i="30" s="1"/>
  <c r="J28" i="29" s="1"/>
  <c r="J28" i="27" s="1"/>
  <c r="J28" i="28" s="1"/>
  <c r="J28" i="26" s="1"/>
  <c r="J27" i="31"/>
  <c r="J27" i="30" s="1"/>
  <c r="J27" i="29" s="1"/>
  <c r="J27" i="27" s="1"/>
  <c r="J27" i="28" s="1"/>
  <c r="J27" i="26" s="1"/>
  <c r="J26" i="31"/>
  <c r="J26" i="30" s="1"/>
  <c r="J26" i="29" s="1"/>
  <c r="J26" i="27" s="1"/>
  <c r="J26" i="28" s="1"/>
  <c r="J26" i="26" s="1"/>
  <c r="J25" i="31"/>
  <c r="J25" i="30" s="1"/>
  <c r="J25" i="29" s="1"/>
  <c r="J25" i="27" s="1"/>
  <c r="J25" i="28" s="1"/>
  <c r="J25" i="26" s="1"/>
  <c r="J24" i="31"/>
  <c r="J24" i="30" s="1"/>
  <c r="J24" i="29" s="1"/>
  <c r="J24" i="27" s="1"/>
  <c r="J24" i="28" s="1"/>
  <c r="J24" i="26" s="1"/>
  <c r="AB32" i="48"/>
  <c r="E33" i="43"/>
  <c r="N12" i="45"/>
  <c r="F12" i="45"/>
  <c r="J12" i="45"/>
  <c r="Q12" i="45"/>
  <c r="N13" i="45"/>
  <c r="J13" i="45"/>
  <c r="F13" i="45"/>
  <c r="Q13" i="45"/>
  <c r="E46" i="33"/>
  <c r="F10" i="45"/>
  <c r="N10" i="45"/>
  <c r="J10" i="45"/>
  <c r="Q10" i="45"/>
  <c r="F11" i="45"/>
  <c r="J11" i="45"/>
  <c r="N11" i="45"/>
  <c r="Q11" i="45"/>
  <c r="F13" i="48"/>
  <c r="F9" i="45"/>
  <c r="J9" i="45"/>
  <c r="N9" i="45"/>
  <c r="Q9" i="45"/>
  <c r="F17" i="48"/>
  <c r="D11" i="1"/>
  <c r="B18" i="45"/>
  <c r="Q18" i="45" s="1"/>
  <c r="D19" i="1"/>
  <c r="D27" i="1"/>
  <c r="D35" i="1"/>
  <c r="D12" i="1"/>
  <c r="D13" i="2" s="1"/>
  <c r="B19" i="45"/>
  <c r="Q19" i="45" s="1"/>
  <c r="D20" i="1"/>
  <c r="D28" i="1"/>
  <c r="D36" i="1"/>
  <c r="D34" i="1"/>
  <c r="D13" i="1"/>
  <c r="D21" i="1"/>
  <c r="D29" i="1"/>
  <c r="D37" i="1"/>
  <c r="D10" i="1"/>
  <c r="B8" i="45"/>
  <c r="Q8" i="45" s="1"/>
  <c r="D9" i="1"/>
  <c r="D14" i="1"/>
  <c r="D22" i="1"/>
  <c r="D30" i="1"/>
  <c r="F12" i="48"/>
  <c r="D26" i="1"/>
  <c r="D24" i="4"/>
  <c r="B14" i="45"/>
  <c r="Q14" i="45" s="1"/>
  <c r="D15" i="1"/>
  <c r="D23" i="1"/>
  <c r="D31" i="1"/>
  <c r="B15" i="45"/>
  <c r="Q15" i="45" s="1"/>
  <c r="D16" i="1"/>
  <c r="D24" i="1"/>
  <c r="D32" i="1"/>
  <c r="B17" i="45"/>
  <c r="Q17" i="45" s="1"/>
  <c r="D18" i="1"/>
  <c r="B16" i="45"/>
  <c r="Q16" i="45" s="1"/>
  <c r="D17" i="1"/>
  <c r="D25" i="1"/>
  <c r="D33" i="1"/>
  <c r="AB35" i="48"/>
  <c r="AB11" i="48"/>
  <c r="K34" i="6"/>
  <c r="I40" i="6" s="1"/>
  <c r="I48" i="6" s="1"/>
  <c r="G19" i="48"/>
  <c r="AB19" i="48"/>
  <c r="AH19" i="48"/>
  <c r="K34" i="8"/>
  <c r="H18" i="48"/>
  <c r="AH34" i="48"/>
  <c r="AB34" i="48"/>
  <c r="AB27" i="48"/>
  <c r="C52" i="37"/>
  <c r="C53" i="37" s="1"/>
  <c r="C33" i="4"/>
  <c r="D34" i="4"/>
  <c r="H27" i="48"/>
  <c r="G27" i="48"/>
  <c r="G11" i="48"/>
  <c r="G35" i="48"/>
  <c r="K34" i="17"/>
  <c r="E33" i="4"/>
  <c r="AB28" i="48"/>
  <c r="AB24" i="48"/>
  <c r="E23" i="48"/>
  <c r="F23" i="48" s="1"/>
  <c r="N18" i="45"/>
  <c r="I40" i="22"/>
  <c r="C33" i="43"/>
  <c r="M9" i="26"/>
  <c r="J22" i="30"/>
  <c r="J22" i="29" s="1"/>
  <c r="J22" i="27" s="1"/>
  <c r="J22" i="28" s="1"/>
  <c r="J22" i="26" s="1"/>
  <c r="J22" i="25" s="1"/>
  <c r="J22" i="24" s="1"/>
  <c r="J14" i="30"/>
  <c r="J14" i="29" s="1"/>
  <c r="J14" i="27" s="1"/>
  <c r="J14" i="28" s="1"/>
  <c r="J14" i="26" s="1"/>
  <c r="J14" i="25" s="1"/>
  <c r="J9" i="29"/>
  <c r="J9" i="27" s="1"/>
  <c r="J9" i="28" s="1"/>
  <c r="J9" i="26" s="1"/>
  <c r="J9" i="25" s="1"/>
  <c r="J9" i="24" s="1"/>
  <c r="J21" i="30"/>
  <c r="J21" i="29" s="1"/>
  <c r="J21" i="27" s="1"/>
  <c r="J21" i="28" s="1"/>
  <c r="J21" i="26" s="1"/>
  <c r="J21" i="25" s="1"/>
  <c r="J21" i="24" s="1"/>
  <c r="J8" i="29"/>
  <c r="J8" i="27" s="1"/>
  <c r="J8" i="28" s="1"/>
  <c r="J8" i="26" s="1"/>
  <c r="J8" i="25" s="1"/>
  <c r="J8" i="24" s="1"/>
  <c r="J20" i="30"/>
  <c r="J20" i="29" s="1"/>
  <c r="J20" i="27" s="1"/>
  <c r="J20" i="28" s="1"/>
  <c r="J20" i="26" s="1"/>
  <c r="J20" i="25" s="1"/>
  <c r="J20" i="24" s="1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23" i="30"/>
  <c r="J23" i="29" s="1"/>
  <c r="J23" i="27" s="1"/>
  <c r="J23" i="28" s="1"/>
  <c r="J23" i="26" s="1"/>
  <c r="J23" i="25" s="1"/>
  <c r="J23" i="24" s="1"/>
  <c r="J19" i="30"/>
  <c r="J19" i="29" s="1"/>
  <c r="J19" i="27" s="1"/>
  <c r="J19" i="28" s="1"/>
  <c r="J19" i="26" s="1"/>
  <c r="J19" i="25" s="1"/>
  <c r="J19" i="24" s="1"/>
  <c r="J18" i="30"/>
  <c r="J18" i="29" s="1"/>
  <c r="J18" i="27" s="1"/>
  <c r="J18" i="28" s="1"/>
  <c r="J18" i="26" s="1"/>
  <c r="J18" i="25" s="1"/>
  <c r="J18" i="24" s="1"/>
  <c r="J13" i="30"/>
  <c r="J13" i="29" s="1"/>
  <c r="J13" i="27" s="1"/>
  <c r="J13" i="28" s="1"/>
  <c r="J13" i="26" s="1"/>
  <c r="J13" i="24" s="1"/>
  <c r="J17" i="30"/>
  <c r="J17" i="29" s="1"/>
  <c r="J17" i="27" s="1"/>
  <c r="J17" i="28" s="1"/>
  <c r="J17" i="26" s="1"/>
  <c r="J17" i="25" s="1"/>
  <c r="J17" i="24" s="1"/>
  <c r="J12" i="30"/>
  <c r="J12" i="29" s="1"/>
  <c r="J12" i="27" s="1"/>
  <c r="J12" i="28" s="1"/>
  <c r="J12" i="26" s="1"/>
  <c r="J12" i="24" s="1"/>
  <c r="J16" i="30"/>
  <c r="J16" i="29" s="1"/>
  <c r="J16" i="27" s="1"/>
  <c r="J16" i="28" s="1"/>
  <c r="J16" i="26" s="1"/>
  <c r="J11" i="30"/>
  <c r="J11" i="29" s="1"/>
  <c r="J11" i="27" s="1"/>
  <c r="J11" i="26" s="1"/>
  <c r="J11" i="25" s="1"/>
  <c r="J11" i="24" s="1"/>
  <c r="J15" i="30"/>
  <c r="J15" i="29" s="1"/>
  <c r="J15" i="27" s="1"/>
  <c r="J15" i="28" s="1"/>
  <c r="J15" i="26" s="1"/>
  <c r="J10" i="30"/>
  <c r="J10" i="29" s="1"/>
  <c r="J10" i="28" s="1"/>
  <c r="J10" i="26" s="1"/>
  <c r="J10" i="25" s="1"/>
  <c r="J10" i="24" s="1"/>
  <c r="AB13" i="48"/>
  <c r="H13" i="48"/>
  <c r="G13" i="48"/>
  <c r="D15" i="33"/>
  <c r="C52" i="6"/>
  <c r="C53" i="6" s="1"/>
  <c r="F34" i="4"/>
  <c r="F29" i="48"/>
  <c r="C52" i="13"/>
  <c r="C53" i="13" s="1"/>
  <c r="C52" i="9"/>
  <c r="C53" i="9" s="1"/>
  <c r="E24" i="33"/>
  <c r="C34" i="43"/>
  <c r="H28" i="48"/>
  <c r="E15" i="43"/>
  <c r="J57" i="23"/>
  <c r="G20" i="48"/>
  <c r="D24" i="43"/>
  <c r="E24" i="43"/>
  <c r="C24" i="43"/>
  <c r="D15" i="43"/>
  <c r="I40" i="43"/>
  <c r="E34" i="4"/>
  <c r="E15" i="33"/>
  <c r="D33" i="4"/>
  <c r="E34" i="33"/>
  <c r="J57" i="33" s="1"/>
  <c r="AB25" i="48"/>
  <c r="C24" i="33"/>
  <c r="D24" i="33"/>
  <c r="B27" i="2"/>
  <c r="B29" i="2"/>
  <c r="B25" i="2"/>
  <c r="AH36" i="48"/>
  <c r="V37" i="48"/>
  <c r="B28" i="2"/>
  <c r="B14" i="2"/>
  <c r="AB10" i="48"/>
  <c r="F32" i="48"/>
  <c r="C52" i="7"/>
  <c r="C53" i="7" s="1"/>
  <c r="H31" i="48"/>
  <c r="R32" i="48"/>
  <c r="C31" i="45" s="1"/>
  <c r="E33" i="48"/>
  <c r="C52" i="10"/>
  <c r="C53" i="10" s="1"/>
  <c r="C52" i="11"/>
  <c r="C53" i="11" s="1"/>
  <c r="I47" i="18"/>
  <c r="G30" i="48"/>
  <c r="C52" i="14"/>
  <c r="C53" i="14" s="1"/>
  <c r="E27" i="48"/>
  <c r="C52" i="15"/>
  <c r="C53" i="15" s="1"/>
  <c r="AB26" i="48"/>
  <c r="I47" i="24"/>
  <c r="I40" i="18"/>
  <c r="F25" i="48"/>
  <c r="H25" i="48"/>
  <c r="G25" i="48"/>
  <c r="C52" i="17"/>
  <c r="C53" i="17" s="1"/>
  <c r="I47" i="26"/>
  <c r="C52" i="19"/>
  <c r="C53" i="19" s="1"/>
  <c r="C52" i="20"/>
  <c r="C53" i="20" s="1"/>
  <c r="H22" i="48"/>
  <c r="G22" i="48"/>
  <c r="I47" i="25"/>
  <c r="K34" i="21"/>
  <c r="W64" i="57" s="1"/>
  <c r="C52" i="21"/>
  <c r="C53" i="21" s="1"/>
  <c r="D21" i="2" s="1"/>
  <c r="C52" i="23"/>
  <c r="C53" i="23" s="1"/>
  <c r="I47" i="28"/>
  <c r="AH18" i="48"/>
  <c r="I47" i="33"/>
  <c r="G16" i="48"/>
  <c r="C52" i="26"/>
  <c r="C53" i="26" s="1"/>
  <c r="C52" i="28"/>
  <c r="C53" i="28" s="1"/>
  <c r="AF9" i="48"/>
  <c r="AG9" i="48" s="1"/>
  <c r="C52" i="27"/>
  <c r="C53" i="27" s="1"/>
  <c r="AF10" i="48"/>
  <c r="AH10" i="48" s="1"/>
  <c r="C34" i="33"/>
  <c r="W6" i="57" s="1"/>
  <c r="D12" i="2"/>
  <c r="G10" i="48"/>
  <c r="E33" i="33"/>
  <c r="C52" i="29"/>
  <c r="C53" i="29" s="1"/>
  <c r="AF13" i="48"/>
  <c r="AH13" i="48" s="1"/>
  <c r="C15" i="33"/>
  <c r="J38" i="31"/>
  <c r="J47" i="33"/>
  <c r="D51" i="32"/>
  <c r="D51" i="31" s="1"/>
  <c r="D49" i="32"/>
  <c r="D49" i="31" s="1"/>
  <c r="E49" i="31" s="1"/>
  <c r="D47" i="32"/>
  <c r="E47" i="32" s="1"/>
  <c r="D45" i="32"/>
  <c r="E49" i="33"/>
  <c r="H10" i="48"/>
  <c r="C52" i="31"/>
  <c r="C53" i="31" s="1"/>
  <c r="J46" i="32"/>
  <c r="J47" i="32" s="1"/>
  <c r="D44" i="32"/>
  <c r="E44" i="32" s="1"/>
  <c r="D40" i="32"/>
  <c r="D34" i="33"/>
  <c r="C33" i="33"/>
  <c r="C52" i="32"/>
  <c r="C53" i="32" s="1"/>
  <c r="F15" i="48"/>
  <c r="F36" i="48"/>
  <c r="C52" i="22"/>
  <c r="C53" i="22" s="1"/>
  <c r="C52" i="18"/>
  <c r="C53" i="18" s="1"/>
  <c r="C52" i="16"/>
  <c r="C53" i="16" s="1"/>
  <c r="C52" i="12"/>
  <c r="C53" i="12" s="1"/>
  <c r="C52" i="8"/>
  <c r="C53" i="8" s="1"/>
  <c r="V15" i="37"/>
  <c r="W15" i="37" s="1"/>
  <c r="V7" i="37"/>
  <c r="W7" i="37" s="1"/>
  <c r="C52" i="4"/>
  <c r="C53" i="4" s="1"/>
  <c r="E24" i="4"/>
  <c r="E15" i="4"/>
  <c r="D15" i="4"/>
  <c r="C52" i="43"/>
  <c r="C53" i="43" s="1"/>
  <c r="E16" i="48"/>
  <c r="AB12" i="48"/>
  <c r="G12" i="48"/>
  <c r="G14" i="48"/>
  <c r="H14" i="48"/>
  <c r="AB18" i="48"/>
  <c r="G18" i="48"/>
  <c r="AB20" i="48"/>
  <c r="H20" i="48"/>
  <c r="AB22" i="48"/>
  <c r="G28" i="48"/>
  <c r="H30" i="48"/>
  <c r="H34" i="48"/>
  <c r="G34" i="48"/>
  <c r="V36" i="48"/>
  <c r="AB36" i="48"/>
  <c r="V38" i="48"/>
  <c r="AB38" i="48"/>
  <c r="G38" i="48"/>
  <c r="H38" i="48"/>
  <c r="J44" i="33"/>
  <c r="J43" i="32"/>
  <c r="I44" i="18"/>
  <c r="I45" i="10"/>
  <c r="I44" i="4"/>
  <c r="C52" i="25"/>
  <c r="C53" i="25" s="1"/>
  <c r="C52" i="30"/>
  <c r="C53" i="30" s="1"/>
  <c r="C52" i="24"/>
  <c r="C53" i="24" s="1"/>
  <c r="D43" i="32"/>
  <c r="D43" i="31" s="1"/>
  <c r="D41" i="32"/>
  <c r="E41" i="32" s="1"/>
  <c r="F34" i="33"/>
  <c r="D33" i="33"/>
  <c r="I40" i="20"/>
  <c r="I48" i="20" s="1"/>
  <c r="E34" i="43"/>
  <c r="C15" i="43"/>
  <c r="E21" i="48"/>
  <c r="E22" i="48"/>
  <c r="E24" i="48"/>
  <c r="I40" i="4"/>
  <c r="I48" i="4" s="1"/>
  <c r="C15" i="4"/>
  <c r="V15" i="4"/>
  <c r="W15" i="4" s="1"/>
  <c r="D33" i="43"/>
  <c r="D34" i="43"/>
  <c r="E20" i="48"/>
  <c r="E9" i="48"/>
  <c r="J37" i="33"/>
  <c r="E38" i="33"/>
  <c r="D38" i="32"/>
  <c r="E38" i="32" s="1"/>
  <c r="P41" i="48"/>
  <c r="E41" i="33"/>
  <c r="E45" i="33"/>
  <c r="D39" i="32"/>
  <c r="E39" i="32" s="1"/>
  <c r="E43" i="33"/>
  <c r="E47" i="33"/>
  <c r="E44" i="33"/>
  <c r="C52" i="33"/>
  <c r="C53" i="33" s="1"/>
  <c r="E50" i="33"/>
  <c r="D50" i="32"/>
  <c r="E40" i="33"/>
  <c r="D48" i="32"/>
  <c r="E48" i="32" s="1"/>
  <c r="D52" i="33"/>
  <c r="D53" i="33" s="1"/>
  <c r="D42" i="32"/>
  <c r="D46" i="32"/>
  <c r="E51" i="33"/>
  <c r="A11" i="2"/>
  <c r="M20" i="11"/>
  <c r="M20" i="10" s="1"/>
  <c r="M20" i="9" s="1"/>
  <c r="M20" i="8" s="1"/>
  <c r="M20" i="7" s="1"/>
  <c r="M20" i="6" s="1"/>
  <c r="M20" i="37" s="1"/>
  <c r="M20" i="4" s="1"/>
  <c r="M20" i="43" s="1"/>
  <c r="E10" i="48"/>
  <c r="E11" i="48"/>
  <c r="E14" i="48"/>
  <c r="E19" i="48"/>
  <c r="E26" i="48"/>
  <c r="E34" i="48"/>
  <c r="E37" i="48"/>
  <c r="E38" i="48"/>
  <c r="E31" i="48"/>
  <c r="F35" i="48"/>
  <c r="G36" i="48"/>
  <c r="AH15" i="48"/>
  <c r="AB29" i="48"/>
  <c r="J32" i="25"/>
  <c r="J32" i="24"/>
  <c r="J32" i="23" s="1"/>
  <c r="F28" i="48"/>
  <c r="H35" i="48"/>
  <c r="H33" i="48"/>
  <c r="H23" i="48"/>
  <c r="G26" i="48"/>
  <c r="H11" i="48"/>
  <c r="Q10" i="48"/>
  <c r="AC9" i="48"/>
  <c r="I47" i="4"/>
  <c r="AF38" i="48"/>
  <c r="I47" i="37"/>
  <c r="AF37" i="48"/>
  <c r="I47" i="6"/>
  <c r="AF35" i="48"/>
  <c r="I47" i="8"/>
  <c r="I47" i="9"/>
  <c r="AF32" i="48"/>
  <c r="I48" i="10"/>
  <c r="AF31" i="48"/>
  <c r="I47" i="12"/>
  <c r="I47" i="13"/>
  <c r="AF28" i="48"/>
  <c r="AF27" i="48"/>
  <c r="AF26" i="48"/>
  <c r="I47" i="19"/>
  <c r="AF23" i="48"/>
  <c r="AF22" i="48"/>
  <c r="I47" i="23"/>
  <c r="I47" i="30"/>
  <c r="AF12" i="48"/>
  <c r="AH12" i="48" s="1"/>
  <c r="H36" i="48"/>
  <c r="H32" i="48"/>
  <c r="H12" i="48"/>
  <c r="H17" i="48"/>
  <c r="G24" i="48"/>
  <c r="H24" i="48"/>
  <c r="I47" i="22"/>
  <c r="AF25" i="48"/>
  <c r="AF14" i="48"/>
  <c r="AF20" i="48"/>
  <c r="I47" i="20"/>
  <c r="I47" i="14"/>
  <c r="I47" i="10"/>
  <c r="I47" i="11"/>
  <c r="I47" i="7"/>
  <c r="AH11" i="48"/>
  <c r="I47" i="31"/>
  <c r="AB16" i="48"/>
  <c r="H16" i="48"/>
  <c r="H26" i="48"/>
  <c r="AA64" i="57" l="1"/>
  <c r="AB64" i="57" s="1"/>
  <c r="X64" i="57"/>
  <c r="X6" i="57"/>
  <c r="AA6" i="57"/>
  <c r="AB6" i="57" s="1"/>
  <c r="R24" i="48"/>
  <c r="C23" i="45" s="1"/>
  <c r="G23" i="45" s="1"/>
  <c r="I47" i="47"/>
  <c r="D27" i="2"/>
  <c r="G31" i="45"/>
  <c r="O31" i="45"/>
  <c r="K31" i="45"/>
  <c r="R31" i="45"/>
  <c r="N15" i="45"/>
  <c r="J15" i="45"/>
  <c r="R21" i="48"/>
  <c r="O23" i="45"/>
  <c r="K23" i="45"/>
  <c r="F19" i="45"/>
  <c r="D20" i="2"/>
  <c r="D35" i="4"/>
  <c r="D23" i="2"/>
  <c r="D22" i="2" s="1"/>
  <c r="N14" i="45"/>
  <c r="F14" i="45"/>
  <c r="N19" i="45"/>
  <c r="D28" i="2"/>
  <c r="J19" i="45"/>
  <c r="D26" i="2"/>
  <c r="D25" i="2" s="1"/>
  <c r="D29" i="2"/>
  <c r="W64" i="46"/>
  <c r="F18" i="45"/>
  <c r="J18" i="45"/>
  <c r="N16" i="45"/>
  <c r="D11" i="2"/>
  <c r="N17" i="45"/>
  <c r="F17" i="45"/>
  <c r="J17" i="45"/>
  <c r="J14" i="45"/>
  <c r="D16" i="2"/>
  <c r="J26" i="25"/>
  <c r="J26" i="24"/>
  <c r="J26" i="23" s="1"/>
  <c r="J26" i="21" s="1"/>
  <c r="J26" i="22" s="1"/>
  <c r="J26" i="20" s="1"/>
  <c r="J27" i="25"/>
  <c r="J27" i="24"/>
  <c r="J27" i="23" s="1"/>
  <c r="J27" i="21" s="1"/>
  <c r="J27" i="22" s="1"/>
  <c r="J27" i="20" s="1"/>
  <c r="J28" i="25"/>
  <c r="J28" i="24"/>
  <c r="J28" i="23" s="1"/>
  <c r="J28" i="21" s="1"/>
  <c r="J28" i="22" s="1"/>
  <c r="J28" i="20" s="1"/>
  <c r="J29" i="25"/>
  <c r="J29" i="24"/>
  <c r="J29" i="23" s="1"/>
  <c r="J29" i="21" s="1"/>
  <c r="J29" i="22" s="1"/>
  <c r="J29" i="20" s="1"/>
  <c r="J30" i="25"/>
  <c r="J30" i="24"/>
  <c r="J30" i="23" s="1"/>
  <c r="J30" i="21" s="1"/>
  <c r="J30" i="22" s="1"/>
  <c r="J30" i="20" s="1"/>
  <c r="J24" i="25"/>
  <c r="J24" i="24"/>
  <c r="J25" i="25"/>
  <c r="J25" i="24"/>
  <c r="D14" i="2" s="1"/>
  <c r="J31" i="25"/>
  <c r="J31" i="24"/>
  <c r="J31" i="23" s="1"/>
  <c r="J31" i="21" s="1"/>
  <c r="J31" i="22" s="1"/>
  <c r="J31" i="20" s="1"/>
  <c r="A14" i="48"/>
  <c r="A15" i="48" s="1"/>
  <c r="D24" i="2"/>
  <c r="D33" i="2"/>
  <c r="D31" i="2"/>
  <c r="D32" i="2"/>
  <c r="D38" i="2"/>
  <c r="D35" i="2"/>
  <c r="E45" i="32"/>
  <c r="D19" i="2"/>
  <c r="D10" i="2"/>
  <c r="K7" i="33"/>
  <c r="M7" i="33" s="1"/>
  <c r="M34" i="33" s="1"/>
  <c r="J40" i="33" s="1"/>
  <c r="J48" i="33" s="1"/>
  <c r="W6" i="46"/>
  <c r="X6" i="46" s="1"/>
  <c r="N8" i="45"/>
  <c r="F8" i="45"/>
  <c r="J8" i="45"/>
  <c r="D39" i="2" s="1"/>
  <c r="J15" i="25"/>
  <c r="J15" i="24" s="1"/>
  <c r="J15" i="23" s="1"/>
  <c r="J15" i="21" s="1"/>
  <c r="J15" i="22" s="1"/>
  <c r="D17" i="2"/>
  <c r="D30" i="2"/>
  <c r="D36" i="2"/>
  <c r="D41" i="1"/>
  <c r="E24" i="1"/>
  <c r="D37" i="2"/>
  <c r="J16" i="25"/>
  <c r="J16" i="24" s="1"/>
  <c r="J16" i="23" s="1"/>
  <c r="J16" i="21" s="1"/>
  <c r="J16" i="22" s="1"/>
  <c r="J16" i="20" s="1"/>
  <c r="D18" i="2"/>
  <c r="F16" i="45"/>
  <c r="D15" i="2"/>
  <c r="D40" i="2"/>
  <c r="J16" i="45"/>
  <c r="D34" i="2"/>
  <c r="E32" i="1"/>
  <c r="F15" i="45"/>
  <c r="K34" i="37"/>
  <c r="I40" i="37" s="1"/>
  <c r="I48" i="37" s="1"/>
  <c r="J57" i="21"/>
  <c r="J57" i="22" s="1"/>
  <c r="J57" i="20" s="1"/>
  <c r="J57" i="19" s="1"/>
  <c r="J57" i="18" s="1"/>
  <c r="I40" i="8"/>
  <c r="K34" i="7"/>
  <c r="K34" i="9"/>
  <c r="I45" i="22"/>
  <c r="K34" i="12"/>
  <c r="K34" i="11"/>
  <c r="J57" i="32"/>
  <c r="J57" i="31" s="1"/>
  <c r="C35" i="13"/>
  <c r="I48" i="22"/>
  <c r="K34" i="16"/>
  <c r="K34" i="13"/>
  <c r="K34" i="14"/>
  <c r="I40" i="17"/>
  <c r="I48" i="17" s="1"/>
  <c r="K34" i="15"/>
  <c r="K34" i="19"/>
  <c r="C35" i="4"/>
  <c r="J21" i="23"/>
  <c r="J21" i="21" s="1"/>
  <c r="J21" i="22" s="1"/>
  <c r="J21" i="20" s="1"/>
  <c r="J9" i="23"/>
  <c r="J9" i="21" s="1"/>
  <c r="J9" i="22" s="1"/>
  <c r="J9" i="20" s="1"/>
  <c r="J11" i="23"/>
  <c r="J11" i="21" s="1"/>
  <c r="J11" i="22" s="1"/>
  <c r="J11" i="20" s="1"/>
  <c r="J19" i="23"/>
  <c r="J19" i="21" s="1"/>
  <c r="J19" i="22" s="1"/>
  <c r="J19" i="20" s="1"/>
  <c r="J20" i="23"/>
  <c r="J20" i="21" s="1"/>
  <c r="J20" i="22" s="1"/>
  <c r="J20" i="20" s="1"/>
  <c r="J14" i="23"/>
  <c r="J14" i="21" s="1"/>
  <c r="J14" i="22" s="1"/>
  <c r="J14" i="20" s="1"/>
  <c r="J23" i="23"/>
  <c r="J23" i="21" s="1"/>
  <c r="J23" i="22" s="1"/>
  <c r="J23" i="20" s="1"/>
  <c r="J22" i="23"/>
  <c r="J22" i="21" s="1"/>
  <c r="J22" i="22" s="1"/>
  <c r="J22" i="20" s="1"/>
  <c r="J24" i="23"/>
  <c r="J24" i="21" s="1"/>
  <c r="J24" i="22" s="1"/>
  <c r="J24" i="20" s="1"/>
  <c r="M9" i="25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J12" i="23"/>
  <c r="J12" i="21" s="1"/>
  <c r="J12" i="22" s="1"/>
  <c r="J12" i="20" s="1"/>
  <c r="J10" i="23"/>
  <c r="J10" i="21" s="1"/>
  <c r="J10" i="22" s="1"/>
  <c r="J10" i="20" s="1"/>
  <c r="J17" i="23"/>
  <c r="J17" i="21" s="1"/>
  <c r="J17" i="22" s="1"/>
  <c r="J17" i="20" s="1"/>
  <c r="I40" i="21"/>
  <c r="R20" i="48" s="1"/>
  <c r="E20" i="1" s="1"/>
  <c r="J13" i="23"/>
  <c r="J13" i="21" s="1"/>
  <c r="J13" i="22" s="1"/>
  <c r="J13" i="20" s="1"/>
  <c r="K34" i="23"/>
  <c r="W59" i="57" s="1"/>
  <c r="J18" i="23"/>
  <c r="J18" i="21" s="1"/>
  <c r="J18" i="22" s="1"/>
  <c r="J18" i="20" s="1"/>
  <c r="J8" i="23"/>
  <c r="J8" i="21" s="1"/>
  <c r="J8" i="22" s="1"/>
  <c r="J8" i="20" s="1"/>
  <c r="BC21" i="48"/>
  <c r="K34" i="24"/>
  <c r="E35" i="4"/>
  <c r="K34" i="25"/>
  <c r="K34" i="26"/>
  <c r="C35" i="25"/>
  <c r="K34" i="28"/>
  <c r="D40" i="31"/>
  <c r="D40" i="30" s="1"/>
  <c r="K34" i="29"/>
  <c r="K34" i="30"/>
  <c r="E35" i="37"/>
  <c r="BC24" i="48"/>
  <c r="BC32" i="48"/>
  <c r="C35" i="37"/>
  <c r="D35" i="37"/>
  <c r="I51" i="43"/>
  <c r="C38" i="45"/>
  <c r="I45" i="43"/>
  <c r="I48" i="43"/>
  <c r="I32" i="48"/>
  <c r="K7" i="32"/>
  <c r="W11" i="57" s="1"/>
  <c r="I51" i="6"/>
  <c r="I45" i="6"/>
  <c r="R36" i="48"/>
  <c r="C35" i="45" s="1"/>
  <c r="B40" i="45"/>
  <c r="J32" i="48"/>
  <c r="AD32" i="48"/>
  <c r="AG10" i="48"/>
  <c r="AG11" i="48" s="1"/>
  <c r="AG12" i="48" s="1"/>
  <c r="AG13" i="48" s="1"/>
  <c r="AG14" i="48" s="1"/>
  <c r="AG15" i="48" s="1"/>
  <c r="AG16" i="48" s="1"/>
  <c r="AG17" i="48" s="1"/>
  <c r="AG18" i="48" s="1"/>
  <c r="AG19" i="48" s="1"/>
  <c r="AG20" i="48" s="1"/>
  <c r="AG21" i="48" s="1"/>
  <c r="AG22" i="48" s="1"/>
  <c r="AG23" i="48" s="1"/>
  <c r="AG24" i="48" s="1"/>
  <c r="AG25" i="48" s="1"/>
  <c r="AG26" i="48" s="1"/>
  <c r="AG27" i="48" s="1"/>
  <c r="AG28" i="48" s="1"/>
  <c r="AG29" i="48" s="1"/>
  <c r="AG30" i="48" s="1"/>
  <c r="AG31" i="48" s="1"/>
  <c r="AG32" i="48" s="1"/>
  <c r="AG33" i="48" s="1"/>
  <c r="AG34" i="48" s="1"/>
  <c r="AG35" i="48" s="1"/>
  <c r="AG36" i="48" s="1"/>
  <c r="AG37" i="48" s="1"/>
  <c r="AG38" i="48" s="1"/>
  <c r="J56" i="33"/>
  <c r="J56" i="32" s="1"/>
  <c r="J56" i="31" s="1"/>
  <c r="E35" i="33"/>
  <c r="D35" i="13"/>
  <c r="C35" i="32"/>
  <c r="E35" i="28"/>
  <c r="M10" i="2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J24" i="48"/>
  <c r="F33" i="48"/>
  <c r="F27" i="48"/>
  <c r="AJ24" i="48"/>
  <c r="I45" i="18"/>
  <c r="I48" i="18"/>
  <c r="AD24" i="48"/>
  <c r="I24" i="48"/>
  <c r="AD21" i="48"/>
  <c r="D35" i="25"/>
  <c r="E35" i="25"/>
  <c r="J46" i="31"/>
  <c r="J47" i="31" s="1"/>
  <c r="E35" i="32"/>
  <c r="J38" i="30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D47" i="31"/>
  <c r="D47" i="30" s="1"/>
  <c r="D47" i="29" s="1"/>
  <c r="D45" i="31"/>
  <c r="D45" i="30" s="1"/>
  <c r="E45" i="30" s="1"/>
  <c r="E49" i="32"/>
  <c r="D35" i="32"/>
  <c r="M8" i="32"/>
  <c r="C35" i="33"/>
  <c r="E51" i="32"/>
  <c r="D39" i="31"/>
  <c r="D39" i="30" s="1"/>
  <c r="E39" i="30" s="1"/>
  <c r="E40" i="32"/>
  <c r="D41" i="31"/>
  <c r="E41" i="31" s="1"/>
  <c r="D44" i="31"/>
  <c r="D44" i="30" s="1"/>
  <c r="D44" i="29" s="1"/>
  <c r="D49" i="30"/>
  <c r="D49" i="29" s="1"/>
  <c r="AB41" i="48"/>
  <c r="E43" i="32"/>
  <c r="D35" i="33"/>
  <c r="Z16" i="57" s="1"/>
  <c r="AA16" i="57" s="1"/>
  <c r="AB16" i="57" s="1"/>
  <c r="E43" i="31"/>
  <c r="D43" i="30"/>
  <c r="D43" i="29" s="1"/>
  <c r="E43" i="29" s="1"/>
  <c r="F24" i="48"/>
  <c r="F22" i="48"/>
  <c r="F21" i="48"/>
  <c r="R22" i="48"/>
  <c r="C21" i="45" s="1"/>
  <c r="D35" i="28"/>
  <c r="C35" i="29"/>
  <c r="D35" i="29"/>
  <c r="I45" i="20"/>
  <c r="C35" i="28"/>
  <c r="I21" i="48"/>
  <c r="AJ21" i="48"/>
  <c r="J21" i="48"/>
  <c r="E35" i="29"/>
  <c r="F20" i="48"/>
  <c r="D35" i="43"/>
  <c r="C35" i="43"/>
  <c r="I51" i="4"/>
  <c r="R38" i="48"/>
  <c r="C37" i="45" s="1"/>
  <c r="E35" i="43"/>
  <c r="E35" i="13"/>
  <c r="I45" i="4"/>
  <c r="J44" i="32"/>
  <c r="J43" i="31"/>
  <c r="F16" i="48"/>
  <c r="D48" i="31"/>
  <c r="E48" i="31" s="1"/>
  <c r="D52" i="32"/>
  <c r="D38" i="31"/>
  <c r="D38" i="30" s="1"/>
  <c r="E50" i="32"/>
  <c r="D50" i="31"/>
  <c r="E52" i="33"/>
  <c r="E53" i="33" s="1"/>
  <c r="D42" i="31"/>
  <c r="E42" i="32"/>
  <c r="D46" i="31"/>
  <c r="E46" i="32"/>
  <c r="E51" i="31"/>
  <c r="D51" i="30"/>
  <c r="A12" i="2"/>
  <c r="F38" i="48"/>
  <c r="F34" i="48"/>
  <c r="F19" i="48"/>
  <c r="F14" i="48"/>
  <c r="F10" i="48"/>
  <c r="J39" i="33"/>
  <c r="J37" i="32"/>
  <c r="F31" i="48"/>
  <c r="F37" i="48"/>
  <c r="F26" i="48"/>
  <c r="F11" i="48"/>
  <c r="F9" i="48"/>
  <c r="AH14" i="48"/>
  <c r="AF41" i="48"/>
  <c r="AH26" i="48"/>
  <c r="AJ32" i="48"/>
  <c r="AH32" i="48"/>
  <c r="AH35" i="48"/>
  <c r="Q11" i="48"/>
  <c r="AC10" i="48"/>
  <c r="AH20" i="48"/>
  <c r="AH25" i="48"/>
  <c r="AH22" i="48"/>
  <c r="AH27" i="48"/>
  <c r="AH28" i="48"/>
  <c r="AH31" i="48"/>
  <c r="AH37" i="48"/>
  <c r="AH23" i="48"/>
  <c r="AH38" i="48"/>
  <c r="X59" i="57" l="1"/>
  <c r="AA59" i="57"/>
  <c r="AB59" i="57" s="1"/>
  <c r="AA11" i="57"/>
  <c r="AB11" i="57" s="1"/>
  <c r="X11" i="57"/>
  <c r="R23" i="45"/>
  <c r="O35" i="45"/>
  <c r="G35" i="45"/>
  <c r="R35" i="45"/>
  <c r="K35" i="45"/>
  <c r="K21" i="45"/>
  <c r="O21" i="45"/>
  <c r="G21" i="45"/>
  <c r="R21" i="45"/>
  <c r="E21" i="1"/>
  <c r="C20" i="45"/>
  <c r="K37" i="45"/>
  <c r="G37" i="45"/>
  <c r="O37" i="45"/>
  <c r="R37" i="45"/>
  <c r="O38" i="45"/>
  <c r="G38" i="45"/>
  <c r="K38" i="45"/>
  <c r="R38" i="45"/>
  <c r="E38" i="1"/>
  <c r="AW38" i="1" s="1"/>
  <c r="E36" i="1"/>
  <c r="E22" i="1"/>
  <c r="AA64" i="46"/>
  <c r="AB64" i="46" s="1"/>
  <c r="X64" i="46"/>
  <c r="W59" i="46"/>
  <c r="J25" i="23"/>
  <c r="J25" i="21" s="1"/>
  <c r="J25" i="22" s="1"/>
  <c r="J25" i="20" s="1"/>
  <c r="Z16" i="46"/>
  <c r="AA16" i="46" s="1"/>
  <c r="AB16" i="46" s="1"/>
  <c r="W11" i="46"/>
  <c r="A16" i="48"/>
  <c r="A17" i="48" s="1"/>
  <c r="K34" i="33"/>
  <c r="I40" i="33" s="1"/>
  <c r="R9" i="48" s="1"/>
  <c r="S9" i="48" s="1"/>
  <c r="BD9" i="48" s="1"/>
  <c r="D42" i="2"/>
  <c r="I45" i="37"/>
  <c r="R37" i="48"/>
  <c r="C36" i="45" s="1"/>
  <c r="HX32" i="1"/>
  <c r="DN32" i="1"/>
  <c r="CV32" i="1"/>
  <c r="CD32" i="1"/>
  <c r="ID32" i="1"/>
  <c r="HL32" i="1"/>
  <c r="GT32" i="1"/>
  <c r="AT32" i="1"/>
  <c r="AB32" i="1"/>
  <c r="J32" i="1"/>
  <c r="FJ32" i="1"/>
  <c r="ER32" i="1"/>
  <c r="DZ32" i="1"/>
  <c r="IP32" i="1"/>
  <c r="CP32" i="1"/>
  <c r="BX32" i="1"/>
  <c r="BF32" i="1"/>
  <c r="IS32" i="1"/>
  <c r="HF32" i="1"/>
  <c r="GN32" i="1"/>
  <c r="FV32" i="1"/>
  <c r="V32" i="1"/>
  <c r="JB32" i="1"/>
  <c r="IJ32" i="1"/>
  <c r="HR32" i="1"/>
  <c r="BR32" i="1"/>
  <c r="AZ32" i="1"/>
  <c r="AH32" i="1"/>
  <c r="DT32" i="1"/>
  <c r="EL32" i="1"/>
  <c r="EX32" i="1"/>
  <c r="FP32" i="1"/>
  <c r="DB32" i="1"/>
  <c r="GH32" i="1"/>
  <c r="DH32" i="1"/>
  <c r="FD32" i="1"/>
  <c r="GZ32" i="1"/>
  <c r="AW32" i="1"/>
  <c r="EO32" i="1"/>
  <c r="IG32" i="1"/>
  <c r="BC32" i="1"/>
  <c r="EU32" i="1"/>
  <c r="IM32" i="1"/>
  <c r="IV32" i="1"/>
  <c r="AN32" i="1"/>
  <c r="CJ32" i="1"/>
  <c r="P32" i="1"/>
  <c r="GB32" i="1"/>
  <c r="BU32" i="1"/>
  <c r="FY32" i="1"/>
  <c r="JE32" i="1"/>
  <c r="AQ32" i="1"/>
  <c r="FG32" i="1"/>
  <c r="CG32" i="1"/>
  <c r="GK32" i="1"/>
  <c r="BO32" i="1"/>
  <c r="FS32" i="1"/>
  <c r="CS32" i="1"/>
  <c r="GW32" i="1"/>
  <c r="CA32" i="1"/>
  <c r="GE32" i="1"/>
  <c r="DE32" i="1"/>
  <c r="HI32" i="1"/>
  <c r="CM32" i="1"/>
  <c r="GQ32" i="1"/>
  <c r="EF32" i="1"/>
  <c r="M32" i="1"/>
  <c r="DQ32" i="1"/>
  <c r="HU32" i="1"/>
  <c r="CY32" i="1"/>
  <c r="HC32" i="1"/>
  <c r="BI32" i="1"/>
  <c r="S32" i="1"/>
  <c r="EC32" i="1"/>
  <c r="AE32" i="1"/>
  <c r="FA32" i="1"/>
  <c r="DK32" i="1"/>
  <c r="FM32" i="1"/>
  <c r="DW32" i="1"/>
  <c r="EI32" i="1"/>
  <c r="BL32" i="1"/>
  <c r="Y32" i="1"/>
  <c r="JH32" i="1"/>
  <c r="IA32" i="1"/>
  <c r="AK32" i="1"/>
  <c r="G32" i="1"/>
  <c r="IY32" i="1"/>
  <c r="HO32" i="1"/>
  <c r="HU24" i="1"/>
  <c r="GT24" i="1"/>
  <c r="FS24" i="1"/>
  <c r="EC24" i="1"/>
  <c r="DB24" i="1"/>
  <c r="CA24" i="1"/>
  <c r="IG24" i="1"/>
  <c r="HF24" i="1"/>
  <c r="GE24" i="1"/>
  <c r="EO24" i="1"/>
  <c r="DN24" i="1"/>
  <c r="CM24" i="1"/>
  <c r="AW24" i="1"/>
  <c r="AK24" i="1"/>
  <c r="Y24" i="1"/>
  <c r="M24" i="1"/>
  <c r="IS24" i="1"/>
  <c r="HR24" i="1"/>
  <c r="GQ24" i="1"/>
  <c r="FA24" i="1"/>
  <c r="DZ24" i="1"/>
  <c r="CY24" i="1"/>
  <c r="BI24" i="1"/>
  <c r="JE24" i="1"/>
  <c r="ID24" i="1"/>
  <c r="HC24" i="1"/>
  <c r="FM24" i="1"/>
  <c r="EL24" i="1"/>
  <c r="DK24" i="1"/>
  <c r="BU24" i="1"/>
  <c r="AT24" i="1"/>
  <c r="AH24" i="1"/>
  <c r="V24" i="1"/>
  <c r="J24" i="1"/>
  <c r="IP24" i="1"/>
  <c r="HO24" i="1"/>
  <c r="FY24" i="1"/>
  <c r="EX24" i="1"/>
  <c r="DW24" i="1"/>
  <c r="CG24" i="1"/>
  <c r="BF24" i="1"/>
  <c r="JB24" i="1"/>
  <c r="IA24" i="1"/>
  <c r="GK24" i="1"/>
  <c r="FJ24" i="1"/>
  <c r="EI24" i="1"/>
  <c r="CS24" i="1"/>
  <c r="BR24" i="1"/>
  <c r="AQ24" i="1"/>
  <c r="AE24" i="1"/>
  <c r="S24" i="1"/>
  <c r="G24" i="1"/>
  <c r="BO24" i="1"/>
  <c r="AB24" i="1"/>
  <c r="IM24" i="1"/>
  <c r="GW24" i="1"/>
  <c r="JH24" i="1"/>
  <c r="FG24" i="1"/>
  <c r="DQ24" i="1"/>
  <c r="CD24" i="1"/>
  <c r="AN24" i="1"/>
  <c r="IY24" i="1"/>
  <c r="HI24" i="1"/>
  <c r="FV24" i="1"/>
  <c r="EU24" i="1"/>
  <c r="P24" i="1"/>
  <c r="GH24" i="1"/>
  <c r="BC24" i="1"/>
  <c r="DE24" i="1"/>
  <c r="CP24" i="1"/>
  <c r="AZ24" i="1"/>
  <c r="ER24" i="1"/>
  <c r="IJ24" i="1"/>
  <c r="BL24" i="1"/>
  <c r="FD24" i="1"/>
  <c r="IV24" i="1"/>
  <c r="CJ24" i="1"/>
  <c r="GB24" i="1"/>
  <c r="CV24" i="1"/>
  <c r="HX24" i="1"/>
  <c r="DH24" i="1"/>
  <c r="DT24" i="1"/>
  <c r="EF24" i="1"/>
  <c r="FP24" i="1"/>
  <c r="GZ24" i="1"/>
  <c r="BX24" i="1"/>
  <c r="HL24" i="1"/>
  <c r="GN24" i="1"/>
  <c r="I51" i="37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FS22" i="1"/>
  <c r="CA22" i="1"/>
  <c r="HC22" i="1"/>
  <c r="DK22" i="1"/>
  <c r="S22" i="1"/>
  <c r="IM22" i="1"/>
  <c r="EU22" i="1"/>
  <c r="BC22" i="1"/>
  <c r="GE22" i="1"/>
  <c r="CM22" i="1"/>
  <c r="HO22" i="1"/>
  <c r="DW22" i="1"/>
  <c r="AE22" i="1"/>
  <c r="GQ22" i="1"/>
  <c r="CY22" i="1"/>
  <c r="G22" i="1"/>
  <c r="IY22" i="1"/>
  <c r="IA22" i="1"/>
  <c r="FG22" i="1"/>
  <c r="BO22" i="1"/>
  <c r="EI22" i="1"/>
  <c r="AQ22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JE20" i="1"/>
  <c r="IS20" i="1"/>
  <c r="IG20" i="1"/>
  <c r="HU20" i="1"/>
  <c r="HI20" i="1"/>
  <c r="GW20" i="1"/>
  <c r="GK20" i="1"/>
  <c r="FY20" i="1"/>
  <c r="FM20" i="1"/>
  <c r="FA20" i="1"/>
  <c r="EO20" i="1"/>
  <c r="EC20" i="1"/>
  <c r="DQ20" i="1"/>
  <c r="DE20" i="1"/>
  <c r="ID20" i="1"/>
  <c r="EL20" i="1"/>
  <c r="BX20" i="1"/>
  <c r="AW20" i="1"/>
  <c r="V20" i="1"/>
  <c r="FV20" i="1"/>
  <c r="CJ20" i="1"/>
  <c r="BI20" i="1"/>
  <c r="AH20" i="1"/>
  <c r="HF20" i="1"/>
  <c r="DN20" i="1"/>
  <c r="CV20" i="1"/>
  <c r="BU20" i="1"/>
  <c r="AT20" i="1"/>
  <c r="IP20" i="1"/>
  <c r="EX20" i="1"/>
  <c r="CG20" i="1"/>
  <c r="BF20" i="1"/>
  <c r="P20" i="1"/>
  <c r="GH20" i="1"/>
  <c r="CS20" i="1"/>
  <c r="BR20" i="1"/>
  <c r="AB20" i="1"/>
  <c r="JB20" i="1"/>
  <c r="FJ20" i="1"/>
  <c r="CP20" i="1"/>
  <c r="AZ20" i="1"/>
  <c r="Y20" i="1"/>
  <c r="DZ20" i="1"/>
  <c r="DB20" i="1"/>
  <c r="BL20" i="1"/>
  <c r="CD20" i="1"/>
  <c r="AN20" i="1"/>
  <c r="AK20" i="1"/>
  <c r="HR20" i="1"/>
  <c r="GT20" i="1"/>
  <c r="M20" i="1"/>
  <c r="J20" i="1"/>
  <c r="GT36" i="1"/>
  <c r="AT36" i="1"/>
  <c r="AE36" i="1"/>
  <c r="HR36" i="1"/>
  <c r="FJ36" i="1"/>
  <c r="EL36" i="1"/>
  <c r="CD36" i="1"/>
  <c r="AQ36" i="1"/>
  <c r="JB36" i="1"/>
  <c r="Y36" i="1"/>
  <c r="J36" i="1"/>
  <c r="ID36" i="1"/>
  <c r="FV36" i="1"/>
  <c r="DN36" i="1"/>
  <c r="HF36" i="1"/>
  <c r="CP36" i="1"/>
  <c r="BR36" i="1"/>
  <c r="IY36" i="1"/>
  <c r="DZ36" i="1"/>
  <c r="V36" i="1"/>
  <c r="GH36" i="1"/>
  <c r="AK36" i="1"/>
  <c r="S36" i="1"/>
  <c r="BF36" i="1"/>
  <c r="G36" i="1"/>
  <c r="EX36" i="1"/>
  <c r="AH36" i="1"/>
  <c r="IP36" i="1"/>
  <c r="DB36" i="1"/>
  <c r="DE36" i="1"/>
  <c r="GW36" i="1"/>
  <c r="CV36" i="1"/>
  <c r="GN36" i="1"/>
  <c r="M36" i="1"/>
  <c r="DQ36" i="1"/>
  <c r="HI36" i="1"/>
  <c r="P36" i="1"/>
  <c r="DH36" i="1"/>
  <c r="GZ36" i="1"/>
  <c r="BO36" i="1"/>
  <c r="FG36" i="1"/>
  <c r="EC36" i="1"/>
  <c r="HU36" i="1"/>
  <c r="DT36" i="1"/>
  <c r="HL36" i="1"/>
  <c r="AW36" i="1"/>
  <c r="EO36" i="1"/>
  <c r="IG36" i="1"/>
  <c r="AN36" i="1"/>
  <c r="EF36" i="1"/>
  <c r="HX36" i="1"/>
  <c r="CM36" i="1"/>
  <c r="GE36" i="1"/>
  <c r="BI36" i="1"/>
  <c r="FA36" i="1"/>
  <c r="IS36" i="1"/>
  <c r="AZ36" i="1"/>
  <c r="ER36" i="1"/>
  <c r="IJ36" i="1"/>
  <c r="CY36" i="1"/>
  <c r="GQ36" i="1"/>
  <c r="BU36" i="1"/>
  <c r="IV36" i="1"/>
  <c r="FS36" i="1"/>
  <c r="CG36" i="1"/>
  <c r="AB36" i="1"/>
  <c r="JH36" i="1"/>
  <c r="HC36" i="1"/>
  <c r="CS36" i="1"/>
  <c r="BL36" i="1"/>
  <c r="BC36" i="1"/>
  <c r="HO36" i="1"/>
  <c r="FM36" i="1"/>
  <c r="BX36" i="1"/>
  <c r="CA36" i="1"/>
  <c r="IA36" i="1"/>
  <c r="FY36" i="1"/>
  <c r="CJ36" i="1"/>
  <c r="DK36" i="1"/>
  <c r="IM36" i="1"/>
  <c r="JE36" i="1"/>
  <c r="FP36" i="1"/>
  <c r="EI36" i="1"/>
  <c r="GB36" i="1"/>
  <c r="EU36" i="1"/>
  <c r="FD36" i="1"/>
  <c r="GK36" i="1"/>
  <c r="DW36" i="1"/>
  <c r="E39" i="1"/>
  <c r="I40" i="9"/>
  <c r="I48" i="9" s="1"/>
  <c r="R34" i="48"/>
  <c r="C33" i="45" s="1"/>
  <c r="I45" i="8"/>
  <c r="I48" i="8"/>
  <c r="I40" i="7"/>
  <c r="BC36" i="48"/>
  <c r="E40" i="31"/>
  <c r="I45" i="17"/>
  <c r="I48" i="21"/>
  <c r="R25" i="48"/>
  <c r="C24" i="45" s="1"/>
  <c r="I45" i="21"/>
  <c r="I40" i="13"/>
  <c r="I40" i="12"/>
  <c r="I40" i="11"/>
  <c r="I40" i="19"/>
  <c r="I40" i="16"/>
  <c r="I40" i="15"/>
  <c r="I40" i="14"/>
  <c r="J15" i="19"/>
  <c r="J15" i="18" s="1"/>
  <c r="J15" i="17" s="1"/>
  <c r="J17" i="19"/>
  <c r="J17" i="18" s="1"/>
  <c r="J17" i="17" s="1"/>
  <c r="J29" i="19"/>
  <c r="J29" i="18" s="1"/>
  <c r="J29" i="17" s="1"/>
  <c r="J30" i="19"/>
  <c r="J30" i="18" s="1"/>
  <c r="J30" i="17" s="1"/>
  <c r="J18" i="19"/>
  <c r="J18" i="18" s="1"/>
  <c r="J18" i="17" s="1"/>
  <c r="J14" i="19"/>
  <c r="J14" i="18" s="1"/>
  <c r="J14" i="17" s="1"/>
  <c r="J28" i="19"/>
  <c r="J28" i="18" s="1"/>
  <c r="J28" i="17" s="1"/>
  <c r="J27" i="19"/>
  <c r="J27" i="18" s="1"/>
  <c r="J27" i="17" s="1"/>
  <c r="J20" i="19"/>
  <c r="J20" i="18" s="1"/>
  <c r="J20" i="17" s="1"/>
  <c r="J9" i="19"/>
  <c r="J9" i="18" s="1"/>
  <c r="J9" i="17" s="1"/>
  <c r="J26" i="19"/>
  <c r="J26" i="18" s="1"/>
  <c r="J26" i="17" s="1"/>
  <c r="J19" i="19"/>
  <c r="J19" i="18" s="1"/>
  <c r="J19" i="17" s="1"/>
  <c r="J21" i="19"/>
  <c r="J21" i="18" s="1"/>
  <c r="J21" i="17" s="1"/>
  <c r="J23" i="19"/>
  <c r="J23" i="18" s="1"/>
  <c r="J23" i="17" s="1"/>
  <c r="J10" i="19"/>
  <c r="J10" i="18" s="1"/>
  <c r="J10" i="17" s="1"/>
  <c r="J11" i="19"/>
  <c r="J11" i="18" s="1"/>
  <c r="J11" i="17" s="1"/>
  <c r="J16" i="19"/>
  <c r="J16" i="18" s="1"/>
  <c r="J16" i="17" s="1"/>
  <c r="K57" i="33"/>
  <c r="J45" i="33"/>
  <c r="J13" i="19"/>
  <c r="J13" i="18" s="1"/>
  <c r="J13" i="17" s="1"/>
  <c r="J24" i="19"/>
  <c r="J24" i="18" s="1"/>
  <c r="J24" i="17" s="1"/>
  <c r="J25" i="19"/>
  <c r="J25" i="18" s="1"/>
  <c r="J25" i="17" s="1"/>
  <c r="J8" i="19"/>
  <c r="J8" i="18" s="1"/>
  <c r="J8" i="17" s="1"/>
  <c r="J31" i="19"/>
  <c r="J31" i="18" s="1"/>
  <c r="J31" i="17" s="1"/>
  <c r="J12" i="19"/>
  <c r="J12" i="18" s="1"/>
  <c r="J12" i="17" s="1"/>
  <c r="J41" i="33"/>
  <c r="J22" i="19"/>
  <c r="J22" i="18" s="1"/>
  <c r="J22" i="17" s="1"/>
  <c r="I40" i="24"/>
  <c r="R18" i="48" s="1"/>
  <c r="C17" i="45" s="1"/>
  <c r="I40" i="23"/>
  <c r="I40" i="25"/>
  <c r="K56" i="33"/>
  <c r="BC20" i="48"/>
  <c r="C19" i="45"/>
  <c r="BC22" i="48"/>
  <c r="AD20" i="48"/>
  <c r="I40" i="26"/>
  <c r="K34" i="27"/>
  <c r="I40" i="28"/>
  <c r="I40" i="29"/>
  <c r="I40" i="30"/>
  <c r="W162" i="57"/>
  <c r="K34" i="31"/>
  <c r="AA6" i="46"/>
  <c r="AB6" i="46" s="1"/>
  <c r="E25" i="2"/>
  <c r="BM25" i="2" s="1"/>
  <c r="E33" i="2"/>
  <c r="BM33" i="2" s="1"/>
  <c r="AJ38" i="48"/>
  <c r="BC38" i="48"/>
  <c r="M7" i="32"/>
  <c r="M7" i="31" s="1"/>
  <c r="M7" i="30" s="1"/>
  <c r="M7" i="29" s="1"/>
  <c r="M7" i="27" s="1"/>
  <c r="D53" i="32"/>
  <c r="J46" i="30"/>
  <c r="J46" i="29" s="1"/>
  <c r="K34" i="32"/>
  <c r="J40" i="45"/>
  <c r="N40" i="45"/>
  <c r="F40" i="45"/>
  <c r="Q40" i="45"/>
  <c r="AJ20" i="48"/>
  <c r="I36" i="48"/>
  <c r="AD36" i="48"/>
  <c r="AJ36" i="48"/>
  <c r="J36" i="48"/>
  <c r="X36" i="48"/>
  <c r="E22" i="2"/>
  <c r="BM22" i="2" s="1"/>
  <c r="AJ22" i="48"/>
  <c r="I49" i="33"/>
  <c r="J20" i="48"/>
  <c r="I20" i="48"/>
  <c r="E45" i="31"/>
  <c r="D45" i="29"/>
  <c r="D45" i="27" s="1"/>
  <c r="E45" i="27" s="1"/>
  <c r="E47" i="31"/>
  <c r="E47" i="30"/>
  <c r="D39" i="29"/>
  <c r="D39" i="27" s="1"/>
  <c r="E39" i="27" s="1"/>
  <c r="M8" i="31"/>
  <c r="E39" i="31"/>
  <c r="E44" i="31"/>
  <c r="D43" i="27"/>
  <c r="E43" i="27" s="1"/>
  <c r="E43" i="30"/>
  <c r="D41" i="30"/>
  <c r="E41" i="30" s="1"/>
  <c r="E44" i="30"/>
  <c r="E49" i="30"/>
  <c r="D48" i="30"/>
  <c r="E48" i="30" s="1"/>
  <c r="J56" i="30"/>
  <c r="I38" i="48"/>
  <c r="J38" i="48"/>
  <c r="X38" i="48"/>
  <c r="AD38" i="48"/>
  <c r="J43" i="30"/>
  <c r="J44" i="31"/>
  <c r="I22" i="48"/>
  <c r="J22" i="48"/>
  <c r="AD22" i="48"/>
  <c r="L41" i="48"/>
  <c r="H41" i="48" s="1"/>
  <c r="E38" i="31"/>
  <c r="E38" i="30"/>
  <c r="D38" i="29"/>
  <c r="E50" i="31"/>
  <c r="D50" i="30"/>
  <c r="D47" i="27"/>
  <c r="E47" i="29"/>
  <c r="D42" i="30"/>
  <c r="E42" i="31"/>
  <c r="D52" i="31"/>
  <c r="D53" i="31" s="1"/>
  <c r="E46" i="31"/>
  <c r="D46" i="30"/>
  <c r="E52" i="32"/>
  <c r="E53" i="32" s="1"/>
  <c r="D44" i="27"/>
  <c r="E44" i="29"/>
  <c r="D40" i="29"/>
  <c r="E40" i="30"/>
  <c r="D51" i="29"/>
  <c r="E51" i="30"/>
  <c r="A13" i="2" s="1"/>
  <c r="J57" i="30"/>
  <c r="J37" i="31"/>
  <c r="J39" i="32"/>
  <c r="D49" i="27"/>
  <c r="E49" i="29"/>
  <c r="AH41" i="48"/>
  <c r="J57" i="17"/>
  <c r="AC11" i="48"/>
  <c r="Q12" i="48"/>
  <c r="BR38" i="1" l="1"/>
  <c r="BX38" i="1"/>
  <c r="GN38" i="1"/>
  <c r="JB38" i="1"/>
  <c r="FD38" i="1"/>
  <c r="EU38" i="1"/>
  <c r="AE38" i="1"/>
  <c r="IA38" i="1"/>
  <c r="AT38" i="1"/>
  <c r="EC38" i="1"/>
  <c r="DT38" i="1"/>
  <c r="IP38" i="1"/>
  <c r="GK38" i="1"/>
  <c r="BL38" i="1"/>
  <c r="AN38" i="1"/>
  <c r="ER38" i="1"/>
  <c r="IV38" i="1"/>
  <c r="DW38" i="1"/>
  <c r="HO38" i="1"/>
  <c r="AB38" i="1"/>
  <c r="GE38" i="1"/>
  <c r="G38" i="1"/>
  <c r="DN38" i="1"/>
  <c r="HR38" i="1"/>
  <c r="Y38" i="1"/>
  <c r="FA38" i="1"/>
  <c r="DQ38" i="1"/>
  <c r="P38" i="1"/>
  <c r="EF38" i="1"/>
  <c r="S38" i="1"/>
  <c r="DK38" i="1"/>
  <c r="FY38" i="1"/>
  <c r="CM38" i="1"/>
  <c r="EL38" i="1"/>
  <c r="FS38" i="1"/>
  <c r="ID38" i="1"/>
  <c r="M38" i="1"/>
  <c r="IY38" i="1"/>
  <c r="IS38" i="1"/>
  <c r="HU38" i="1"/>
  <c r="IJ38" i="1"/>
  <c r="HX38" i="1"/>
  <c r="CG38" i="1"/>
  <c r="GB38" i="1"/>
  <c r="AH38" i="1"/>
  <c r="FP38" i="1"/>
  <c r="DZ38" i="1"/>
  <c r="HF38" i="1"/>
  <c r="AQ38" i="1"/>
  <c r="DE38" i="1"/>
  <c r="CS38" i="1"/>
  <c r="DH38" i="1"/>
  <c r="CV38" i="1"/>
  <c r="JE38" i="1"/>
  <c r="CJ38" i="1"/>
  <c r="J38" i="1"/>
  <c r="HC38" i="1"/>
  <c r="V38" i="1"/>
  <c r="DB38" i="1"/>
  <c r="JH38" i="1"/>
  <c r="CD38" i="1"/>
  <c r="GH38" i="1"/>
  <c r="HI38" i="1"/>
  <c r="GW38" i="1"/>
  <c r="FM38" i="1"/>
  <c r="IG38" i="1"/>
  <c r="AZ38" i="1"/>
  <c r="CY38" i="1"/>
  <c r="GQ38" i="1"/>
  <c r="FG38" i="1"/>
  <c r="GT38" i="1"/>
  <c r="IM38" i="1"/>
  <c r="FV38" i="1"/>
  <c r="BI38" i="1"/>
  <c r="AK38" i="1"/>
  <c r="BU38" i="1"/>
  <c r="EO38" i="1"/>
  <c r="BO38" i="1"/>
  <c r="GZ38" i="1"/>
  <c r="CA38" i="1"/>
  <c r="BC38" i="1"/>
  <c r="CP38" i="1"/>
  <c r="EI38" i="1"/>
  <c r="BF38" i="1"/>
  <c r="EX38" i="1"/>
  <c r="HL38" i="1"/>
  <c r="FJ38" i="1"/>
  <c r="O33" i="45"/>
  <c r="G33" i="45"/>
  <c r="K33" i="45"/>
  <c r="R33" i="45"/>
  <c r="I9" i="48"/>
  <c r="O24" i="45"/>
  <c r="G24" i="45"/>
  <c r="K24" i="45"/>
  <c r="R24" i="45"/>
  <c r="O36" i="45"/>
  <c r="K36" i="45"/>
  <c r="G36" i="45"/>
  <c r="R36" i="45"/>
  <c r="K20" i="45"/>
  <c r="O20" i="45"/>
  <c r="G20" i="45"/>
  <c r="R20" i="45"/>
  <c r="IG21" i="1"/>
  <c r="EO21" i="1"/>
  <c r="AW21" i="1"/>
  <c r="EI21" i="1"/>
  <c r="EU21" i="1"/>
  <c r="FG21" i="1"/>
  <c r="ER21" i="1"/>
  <c r="FD21" i="1"/>
  <c r="EL21" i="1"/>
  <c r="IP21" i="1"/>
  <c r="AH21" i="1"/>
  <c r="AN21" i="1"/>
  <c r="IV21" i="1"/>
  <c r="HU21" i="1"/>
  <c r="EC21" i="1"/>
  <c r="AK21" i="1"/>
  <c r="DH21" i="1"/>
  <c r="DT21" i="1"/>
  <c r="EF21" i="1"/>
  <c r="DB21" i="1"/>
  <c r="DN21" i="1"/>
  <c r="DK21" i="1"/>
  <c r="G21" i="1"/>
  <c r="GQ21" i="1"/>
  <c r="CS21" i="1"/>
  <c r="J21" i="1"/>
  <c r="HI21" i="1"/>
  <c r="DQ21" i="1"/>
  <c r="Y21" i="1"/>
  <c r="BR21" i="1"/>
  <c r="CD21" i="1"/>
  <c r="CP21" i="1"/>
  <c r="CA21" i="1"/>
  <c r="CM21" i="1"/>
  <c r="CJ21" i="1"/>
  <c r="JH21" i="1"/>
  <c r="EX21" i="1"/>
  <c r="IA21" i="1"/>
  <c r="IY21" i="1"/>
  <c r="FP21" i="1"/>
  <c r="GW21" i="1"/>
  <c r="DE21" i="1"/>
  <c r="M21" i="1"/>
  <c r="AQ21" i="1"/>
  <c r="BC21" i="1"/>
  <c r="BO21" i="1"/>
  <c r="AZ21" i="1"/>
  <c r="BL21" i="1"/>
  <c r="AT21" i="1"/>
  <c r="HR21" i="1"/>
  <c r="GN21" i="1"/>
  <c r="P21" i="1"/>
  <c r="V21" i="1"/>
  <c r="BF21" i="1"/>
  <c r="JE21" i="1"/>
  <c r="FM21" i="1"/>
  <c r="BU21" i="1"/>
  <c r="GZ21" i="1"/>
  <c r="HL21" i="1"/>
  <c r="HX21" i="1"/>
  <c r="GT21" i="1"/>
  <c r="HF21" i="1"/>
  <c r="HC21" i="1"/>
  <c r="DZ21" i="1"/>
  <c r="HO21" i="1"/>
  <c r="GK21" i="1"/>
  <c r="AB21" i="1"/>
  <c r="DW21" i="1"/>
  <c r="CG21" i="1"/>
  <c r="IJ21" i="1"/>
  <c r="CV21" i="1"/>
  <c r="IS21" i="1"/>
  <c r="FA21" i="1"/>
  <c r="BI21" i="1"/>
  <c r="FJ21" i="1"/>
  <c r="FV21" i="1"/>
  <c r="GH21" i="1"/>
  <c r="FS21" i="1"/>
  <c r="GE21" i="1"/>
  <c r="GB21" i="1"/>
  <c r="AE21" i="1"/>
  <c r="BX21" i="1"/>
  <c r="JB21" i="1"/>
  <c r="S21" i="1"/>
  <c r="FY21" i="1"/>
  <c r="IM21" i="1"/>
  <c r="ID21" i="1"/>
  <c r="CY21" i="1"/>
  <c r="E37" i="1"/>
  <c r="DB37" i="1" s="1"/>
  <c r="AD25" i="48"/>
  <c r="E34" i="1"/>
  <c r="GE34" i="1" s="1"/>
  <c r="AA59" i="46"/>
  <c r="AB59" i="46" s="1"/>
  <c r="X59" i="46"/>
  <c r="BC37" i="48"/>
  <c r="J37" i="48"/>
  <c r="AJ37" i="48"/>
  <c r="C8" i="45"/>
  <c r="O8" i="45" s="1"/>
  <c r="AD9" i="48"/>
  <c r="AJ9" i="48"/>
  <c r="E9" i="1"/>
  <c r="JB9" i="1" s="1"/>
  <c r="I48" i="33"/>
  <c r="BC9" i="48"/>
  <c r="I45" i="33"/>
  <c r="A18" i="48"/>
  <c r="A19" i="48" s="1"/>
  <c r="AA11" i="46"/>
  <c r="AB11" i="46" s="1"/>
  <c r="X11" i="46"/>
  <c r="X37" i="48"/>
  <c r="AD37" i="48"/>
  <c r="I37" i="48"/>
  <c r="I45" i="9"/>
  <c r="AJ25" i="48"/>
  <c r="J25" i="48"/>
  <c r="I25" i="48"/>
  <c r="R33" i="48"/>
  <c r="C32" i="45" s="1"/>
  <c r="E25" i="1"/>
  <c r="E26" i="2" s="1"/>
  <c r="BM26" i="2" s="1"/>
  <c r="CV9" i="1"/>
  <c r="AZ9" i="1"/>
  <c r="IS9" i="1"/>
  <c r="BC18" i="48"/>
  <c r="E18" i="1"/>
  <c r="JB39" i="1"/>
  <c r="BU39" i="1"/>
  <c r="FM39" i="1"/>
  <c r="JE39" i="1"/>
  <c r="P39" i="1"/>
  <c r="DH39" i="1"/>
  <c r="GZ39" i="1"/>
  <c r="S39" i="1"/>
  <c r="DK39" i="1"/>
  <c r="HC39" i="1"/>
  <c r="J39" i="1"/>
  <c r="DB39" i="1"/>
  <c r="GT39" i="1"/>
  <c r="CS39" i="1"/>
  <c r="GK39" i="1"/>
  <c r="M39" i="1"/>
  <c r="DE39" i="1"/>
  <c r="GW39" i="1"/>
  <c r="AZ39" i="1"/>
  <c r="ER39" i="1"/>
  <c r="CG39" i="1"/>
  <c r="IG39" i="1"/>
  <c r="CJ39" i="1"/>
  <c r="HL39" i="1"/>
  <c r="BO39" i="1"/>
  <c r="FS39" i="1"/>
  <c r="V39" i="1"/>
  <c r="DZ39" i="1"/>
  <c r="ID39" i="1"/>
  <c r="DQ39" i="1"/>
  <c r="IS39" i="1"/>
  <c r="CV39" i="1"/>
  <c r="HX39" i="1"/>
  <c r="CA39" i="1"/>
  <c r="GE39" i="1"/>
  <c r="AH39" i="1"/>
  <c r="EL39" i="1"/>
  <c r="IP39" i="1"/>
  <c r="CY39" i="1"/>
  <c r="EC39" i="1"/>
  <c r="DT39" i="1"/>
  <c r="IJ39" i="1"/>
  <c r="CM39" i="1"/>
  <c r="GQ39" i="1"/>
  <c r="AT39" i="1"/>
  <c r="EX39" i="1"/>
  <c r="EF39" i="1"/>
  <c r="IV39" i="1"/>
  <c r="HO39" i="1"/>
  <c r="FJ39" i="1"/>
  <c r="EO39" i="1"/>
  <c r="BF39" i="1"/>
  <c r="Y39" i="1"/>
  <c r="FA39" i="1"/>
  <c r="AB39" i="1"/>
  <c r="FD39" i="1"/>
  <c r="JH39" i="1"/>
  <c r="G39" i="1"/>
  <c r="DW39" i="1"/>
  <c r="IA39" i="1"/>
  <c r="BR39" i="1"/>
  <c r="FV39" i="1"/>
  <c r="AW39" i="1"/>
  <c r="HI39" i="1"/>
  <c r="BL39" i="1"/>
  <c r="GB39" i="1"/>
  <c r="AQ39" i="1"/>
  <c r="EU39" i="1"/>
  <c r="IY39" i="1"/>
  <c r="CP39" i="1"/>
  <c r="HF39" i="1"/>
  <c r="BI39" i="1"/>
  <c r="HU39" i="1"/>
  <c r="BX39" i="1"/>
  <c r="GN39" i="1"/>
  <c r="AN39" i="1"/>
  <c r="AE39" i="1"/>
  <c r="BC39" i="1"/>
  <c r="CD39" i="1"/>
  <c r="IM39" i="1"/>
  <c r="FP39" i="1"/>
  <c r="EI39" i="1"/>
  <c r="DN39" i="1"/>
  <c r="FY39" i="1"/>
  <c r="HR39" i="1"/>
  <c r="AK39" i="1"/>
  <c r="FG39" i="1"/>
  <c r="GH39" i="1"/>
  <c r="IP34" i="1"/>
  <c r="HR34" i="1"/>
  <c r="DK34" i="1"/>
  <c r="FD34" i="1"/>
  <c r="IV34" i="1"/>
  <c r="HI34" i="1"/>
  <c r="AN34" i="1"/>
  <c r="HC34" i="1"/>
  <c r="DT34" i="1"/>
  <c r="HX34" i="1"/>
  <c r="V37" i="1"/>
  <c r="EI37" i="1"/>
  <c r="GB37" i="1"/>
  <c r="CJ37" i="1"/>
  <c r="FP37" i="1"/>
  <c r="JE37" i="1"/>
  <c r="IA37" i="1"/>
  <c r="IV37" i="1"/>
  <c r="IJ37" i="1"/>
  <c r="ER37" i="1"/>
  <c r="HX37" i="1"/>
  <c r="EF37" i="1"/>
  <c r="GW37" i="1"/>
  <c r="IP37" i="1"/>
  <c r="DE37" i="1"/>
  <c r="ID37" i="1"/>
  <c r="DZ37" i="1"/>
  <c r="GH37" i="1"/>
  <c r="DH37" i="1"/>
  <c r="EL37" i="1"/>
  <c r="BC25" i="48"/>
  <c r="I34" i="48"/>
  <c r="J34" i="48"/>
  <c r="BC34" i="48"/>
  <c r="AD34" i="48"/>
  <c r="AJ34" i="48"/>
  <c r="R35" i="48"/>
  <c r="C34" i="45" s="1"/>
  <c r="I48" i="7"/>
  <c r="I45" i="7"/>
  <c r="I48" i="24"/>
  <c r="J33" i="48"/>
  <c r="I48" i="11"/>
  <c r="I45" i="11"/>
  <c r="R31" i="48"/>
  <c r="C30" i="45" s="1"/>
  <c r="I45" i="13"/>
  <c r="R29" i="48"/>
  <c r="C28" i="45" s="1"/>
  <c r="I48" i="13"/>
  <c r="I48" i="12"/>
  <c r="I45" i="12"/>
  <c r="R30" i="48"/>
  <c r="C29" i="45" s="1"/>
  <c r="W162" i="46"/>
  <c r="W166" i="46" s="1"/>
  <c r="J10" i="16"/>
  <c r="J10" i="15" s="1"/>
  <c r="J10" i="14" s="1"/>
  <c r="J10" i="13" s="1"/>
  <c r="J10" i="12" s="1"/>
  <c r="J25" i="16"/>
  <c r="J25" i="15" s="1"/>
  <c r="J25" i="14" s="1"/>
  <c r="J25" i="13" s="1"/>
  <c r="J25" i="12" s="1"/>
  <c r="J25" i="11" s="1"/>
  <c r="J25" i="10" s="1"/>
  <c r="J23" i="16"/>
  <c r="J23" i="15" s="1"/>
  <c r="J23" i="14" s="1"/>
  <c r="J23" i="13" s="1"/>
  <c r="J23" i="12" s="1"/>
  <c r="J23" i="11" s="1"/>
  <c r="J23" i="10" s="1"/>
  <c r="J14" i="16"/>
  <c r="J14" i="15" s="1"/>
  <c r="J14" i="14" s="1"/>
  <c r="J14" i="13" s="1"/>
  <c r="J14" i="12" s="1"/>
  <c r="J28" i="16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4" i="16"/>
  <c r="J24" i="15" s="1"/>
  <c r="J24" i="14" s="1"/>
  <c r="J24" i="13" s="1"/>
  <c r="J24" i="12" s="1"/>
  <c r="J24" i="11" s="1"/>
  <c r="J24" i="10" s="1"/>
  <c r="J21" i="16"/>
  <c r="J21" i="15" s="1"/>
  <c r="J21" i="14" s="1"/>
  <c r="J21" i="13" s="1"/>
  <c r="J21" i="12" s="1"/>
  <c r="J21" i="11" s="1"/>
  <c r="J21" i="10" s="1"/>
  <c r="J18" i="16"/>
  <c r="J18" i="15" s="1"/>
  <c r="J18" i="13" s="1"/>
  <c r="J18" i="12" s="1"/>
  <c r="I45" i="16"/>
  <c r="I48" i="16"/>
  <c r="R26" i="48"/>
  <c r="C25" i="45" s="1"/>
  <c r="J31" i="16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J13" i="16"/>
  <c r="J13" i="15" s="1"/>
  <c r="J13" i="14" s="1"/>
  <c r="J13" i="13" s="1"/>
  <c r="J13" i="12" s="1"/>
  <c r="J19" i="16"/>
  <c r="J19" i="15" s="1"/>
  <c r="J19" i="14" s="1"/>
  <c r="J19" i="13" s="1"/>
  <c r="J19" i="12" s="1"/>
  <c r="J30" i="16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22" i="16"/>
  <c r="J22" i="15" s="1"/>
  <c r="J22" i="14" s="1"/>
  <c r="J22" i="13" s="1"/>
  <c r="J22" i="12" s="1"/>
  <c r="J22" i="11" s="1"/>
  <c r="J22" i="10" s="1"/>
  <c r="J26" i="16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J29" i="16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8" i="16"/>
  <c r="J8" i="15" s="1"/>
  <c r="J8" i="14" s="1"/>
  <c r="J8" i="13" s="1"/>
  <c r="J8" i="12" s="1"/>
  <c r="J8" i="11" s="1"/>
  <c r="J8" i="10" s="1"/>
  <c r="J9" i="16"/>
  <c r="J9" i="15" s="1"/>
  <c r="J9" i="14" s="1"/>
  <c r="J9" i="13" s="1"/>
  <c r="J9" i="12" s="1"/>
  <c r="J9" i="11" s="1"/>
  <c r="J9" i="10" s="1"/>
  <c r="J17" i="16"/>
  <c r="J17" i="14" s="1"/>
  <c r="J17" i="13" s="1"/>
  <c r="J17" i="12" s="1"/>
  <c r="I48" i="19"/>
  <c r="R23" i="48"/>
  <c r="C22" i="45" s="1"/>
  <c r="I45" i="19"/>
  <c r="J16" i="15"/>
  <c r="J16" i="14" s="1"/>
  <c r="J16" i="13" s="1"/>
  <c r="J16" i="12" s="1"/>
  <c r="J20" i="16"/>
  <c r="J20" i="15" s="1"/>
  <c r="J20" i="14" s="1"/>
  <c r="J20" i="13" s="1"/>
  <c r="J20" i="12" s="1"/>
  <c r="J20" i="11" s="1"/>
  <c r="J20" i="10" s="1"/>
  <c r="J15" i="16"/>
  <c r="J15" i="15" s="1"/>
  <c r="J15" i="14" s="1"/>
  <c r="J15" i="13" s="1"/>
  <c r="J15" i="12" s="1"/>
  <c r="I45" i="15"/>
  <c r="R27" i="48"/>
  <c r="C26" i="45" s="1"/>
  <c r="I48" i="15"/>
  <c r="J12" i="16"/>
  <c r="J12" i="15" s="1"/>
  <c r="J12" i="14" s="1"/>
  <c r="J12" i="13" s="1"/>
  <c r="J12" i="12" s="1"/>
  <c r="J11" i="16"/>
  <c r="J11" i="15" s="1"/>
  <c r="J11" i="14" s="1"/>
  <c r="J11" i="13" s="1"/>
  <c r="J11" i="12" s="1"/>
  <c r="J27" i="16"/>
  <c r="J27" i="15" s="1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I48" i="14"/>
  <c r="R28" i="48"/>
  <c r="C27" i="45" s="1"/>
  <c r="I45" i="14"/>
  <c r="I45" i="24"/>
  <c r="R17" i="48"/>
  <c r="E17" i="1" s="1"/>
  <c r="I45" i="25"/>
  <c r="I48" i="25"/>
  <c r="G19" i="45"/>
  <c r="O19" i="45"/>
  <c r="K19" i="45"/>
  <c r="R19" i="45"/>
  <c r="AD18" i="48"/>
  <c r="J18" i="48"/>
  <c r="I18" i="48"/>
  <c r="AJ18" i="48"/>
  <c r="R19" i="48"/>
  <c r="E19" i="1" s="1"/>
  <c r="I45" i="23"/>
  <c r="I48" i="23"/>
  <c r="E21" i="2"/>
  <c r="BM21" i="2" s="1"/>
  <c r="O17" i="45"/>
  <c r="K17" i="45"/>
  <c r="G17" i="45"/>
  <c r="R17" i="45"/>
  <c r="I48" i="26"/>
  <c r="R16" i="48"/>
  <c r="E16" i="1" s="1"/>
  <c r="I45" i="26"/>
  <c r="R15" i="48"/>
  <c r="I45" i="28"/>
  <c r="I48" i="28"/>
  <c r="I40" i="27"/>
  <c r="I40" i="32"/>
  <c r="I45" i="32" s="1"/>
  <c r="I40" i="31"/>
  <c r="R11" i="48" s="1"/>
  <c r="I45" i="29"/>
  <c r="R13" i="48"/>
  <c r="I48" i="29"/>
  <c r="I48" i="30"/>
  <c r="R12" i="48"/>
  <c r="I45" i="30"/>
  <c r="M34" i="32"/>
  <c r="AK9" i="48"/>
  <c r="X167" i="57"/>
  <c r="X165" i="57"/>
  <c r="X162" i="57"/>
  <c r="O41" i="55" s="1"/>
  <c r="P41" i="55" s="1"/>
  <c r="Q41" i="55" s="1"/>
  <c r="AE9" i="48"/>
  <c r="J47" i="30"/>
  <c r="E23" i="2"/>
  <c r="BM23" i="2" s="1"/>
  <c r="E40" i="2"/>
  <c r="BM40" i="2" s="1"/>
  <c r="E39" i="2"/>
  <c r="BM39" i="2" s="1"/>
  <c r="G8" i="45"/>
  <c r="R8" i="45"/>
  <c r="K8" i="45"/>
  <c r="E37" i="2"/>
  <c r="BM37" i="2" s="1"/>
  <c r="H9" i="48"/>
  <c r="I50" i="33"/>
  <c r="J49" i="33"/>
  <c r="I51" i="33"/>
  <c r="U9" i="48"/>
  <c r="V9" i="48"/>
  <c r="X9" i="48"/>
  <c r="I49" i="31"/>
  <c r="E45" i="29"/>
  <c r="M9" i="48"/>
  <c r="K9" i="48" s="1"/>
  <c r="J9" i="48"/>
  <c r="AH9" i="48"/>
  <c r="J5" i="56"/>
  <c r="I49" i="8"/>
  <c r="I49" i="17"/>
  <c r="I49" i="18"/>
  <c r="I49" i="28"/>
  <c r="I49" i="29"/>
  <c r="D45" i="28"/>
  <c r="D45" i="26" s="1"/>
  <c r="I49" i="30"/>
  <c r="E39" i="29"/>
  <c r="D39" i="28"/>
  <c r="E39" i="28" s="1"/>
  <c r="D43" i="28"/>
  <c r="E43" i="28" s="1"/>
  <c r="M8" i="30"/>
  <c r="M34" i="31"/>
  <c r="D48" i="29"/>
  <c r="E48" i="29" s="1"/>
  <c r="D41" i="29"/>
  <c r="J43" i="29"/>
  <c r="J44" i="30"/>
  <c r="J56" i="29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G9" i="48"/>
  <c r="N41" i="48"/>
  <c r="G41" i="48" s="1"/>
  <c r="E52" i="31"/>
  <c r="E53" i="31" s="1"/>
  <c r="D38" i="27"/>
  <c r="E38" i="29"/>
  <c r="D50" i="29"/>
  <c r="E50" i="30"/>
  <c r="D42" i="29"/>
  <c r="E42" i="30"/>
  <c r="D47" i="28"/>
  <c r="E47" i="27"/>
  <c r="D52" i="30"/>
  <c r="D53" i="30" s="1"/>
  <c r="D46" i="29"/>
  <c r="E46" i="30"/>
  <c r="D51" i="27"/>
  <c r="E51" i="29"/>
  <c r="D40" i="27"/>
  <c r="E40" i="29"/>
  <c r="E44" i="27"/>
  <c r="D44" i="28"/>
  <c r="A14" i="2" s="1"/>
  <c r="J39" i="31"/>
  <c r="J37" i="30"/>
  <c r="J57" i="29"/>
  <c r="D49" i="28"/>
  <c r="E49" i="27"/>
  <c r="J57" i="16"/>
  <c r="M7" i="28"/>
  <c r="AC12" i="48"/>
  <c r="Q13" i="48"/>
  <c r="J47" i="29"/>
  <c r="J46" i="27"/>
  <c r="I33" i="48" l="1"/>
  <c r="X162" i="46"/>
  <c r="F41" i="55" s="1"/>
  <c r="G41" i="55" s="1"/>
  <c r="H41" i="55" s="1"/>
  <c r="AH37" i="1"/>
  <c r="J37" i="1"/>
  <c r="HI37" i="1"/>
  <c r="CS37" i="1"/>
  <c r="GK37" i="1"/>
  <c r="EC37" i="1"/>
  <c r="EO37" i="1"/>
  <c r="IS37" i="1"/>
  <c r="BU37" i="1"/>
  <c r="CG37" i="1"/>
  <c r="AW37" i="1"/>
  <c r="EX37" i="1"/>
  <c r="FJ37" i="1"/>
  <c r="DK37" i="1"/>
  <c r="GE37" i="1"/>
  <c r="DT37" i="1"/>
  <c r="HL37" i="1"/>
  <c r="HU37" i="1"/>
  <c r="IG37" i="1"/>
  <c r="FD37" i="1"/>
  <c r="FM37" i="1"/>
  <c r="FY37" i="1"/>
  <c r="Y37" i="1"/>
  <c r="BX37" i="1"/>
  <c r="HR37" i="1"/>
  <c r="BC37" i="1"/>
  <c r="GN37" i="1"/>
  <c r="FS37" i="1"/>
  <c r="HC37" i="1"/>
  <c r="HO37" i="1"/>
  <c r="AZ37" i="1"/>
  <c r="JH37" i="1"/>
  <c r="FG37" i="1"/>
  <c r="BR37" i="1"/>
  <c r="BI37" i="1"/>
  <c r="E38" i="2"/>
  <c r="BM38" i="2" s="1"/>
  <c r="S37" i="1"/>
  <c r="FV37" i="1"/>
  <c r="DQ37" i="1"/>
  <c r="CD37" i="1"/>
  <c r="JB37" i="1"/>
  <c r="BL37" i="1"/>
  <c r="EU37" i="1"/>
  <c r="IM37" i="1"/>
  <c r="IY37" i="1"/>
  <c r="M37" i="1"/>
  <c r="HF37" i="1"/>
  <c r="GT37" i="1"/>
  <c r="CV37" i="1"/>
  <c r="GZ37" i="1"/>
  <c r="AQ37" i="1"/>
  <c r="AE37" i="1"/>
  <c r="CA37" i="1"/>
  <c r="BF37" i="1"/>
  <c r="AN37" i="1"/>
  <c r="AB37" i="1"/>
  <c r="AK37" i="1"/>
  <c r="AT37" i="1"/>
  <c r="BO37" i="1"/>
  <c r="GQ37" i="1"/>
  <c r="P37" i="1"/>
  <c r="DW37" i="1"/>
  <c r="CP37" i="1"/>
  <c r="FA37" i="1"/>
  <c r="G37" i="1"/>
  <c r="DN37" i="1"/>
  <c r="CY37" i="1"/>
  <c r="CM37" i="1"/>
  <c r="GW9" i="1"/>
  <c r="JE9" i="1"/>
  <c r="FM9" i="1"/>
  <c r="DE34" i="1"/>
  <c r="JE34" i="1"/>
  <c r="GH34" i="1"/>
  <c r="IG34" i="1"/>
  <c r="EL34" i="1"/>
  <c r="JH34" i="1"/>
  <c r="HF34" i="1"/>
  <c r="FG34" i="1"/>
  <c r="EO34" i="1"/>
  <c r="AZ34" i="1"/>
  <c r="V34" i="1"/>
  <c r="FY34" i="1"/>
  <c r="GB34" i="1"/>
  <c r="GK34" i="1"/>
  <c r="BC34" i="1"/>
  <c r="EF34" i="1"/>
  <c r="AK34" i="1"/>
  <c r="AH34" i="1"/>
  <c r="DN34" i="1"/>
  <c r="J34" i="1"/>
  <c r="CD34" i="1"/>
  <c r="AQ34" i="1"/>
  <c r="DB34" i="1"/>
  <c r="GZ34" i="1"/>
  <c r="FA34" i="1"/>
  <c r="BI34" i="1"/>
  <c r="AW34" i="1"/>
  <c r="FP34" i="1"/>
  <c r="BL34" i="1"/>
  <c r="CS34" i="1"/>
  <c r="CA34" i="1"/>
  <c r="AE34" i="1"/>
  <c r="BR34" i="1"/>
  <c r="BF34" i="1"/>
  <c r="FM34" i="1"/>
  <c r="CG34" i="1"/>
  <c r="AB34" i="1"/>
  <c r="HO34" i="1"/>
  <c r="BX34" i="1"/>
  <c r="GW34" i="1"/>
  <c r="GT34" i="1"/>
  <c r="FS34" i="1"/>
  <c r="DW34" i="1"/>
  <c r="CY34" i="1"/>
  <c r="CM34" i="1"/>
  <c r="P34" i="1"/>
  <c r="IM34" i="1"/>
  <c r="IA34" i="1"/>
  <c r="CJ34" i="1"/>
  <c r="DQ34" i="1"/>
  <c r="M34" i="1"/>
  <c r="DZ34" i="1"/>
  <c r="FV34" i="1"/>
  <c r="IY34" i="1"/>
  <c r="EU34" i="1"/>
  <c r="EI34" i="1"/>
  <c r="IS34" i="1"/>
  <c r="DH34" i="1"/>
  <c r="GN34" i="1"/>
  <c r="HU34" i="1"/>
  <c r="Y34" i="1"/>
  <c r="IJ34" i="1"/>
  <c r="S34" i="1"/>
  <c r="AT34" i="1"/>
  <c r="ID34" i="1"/>
  <c r="FJ34" i="1"/>
  <c r="EX34" i="1"/>
  <c r="HL34" i="1"/>
  <c r="BU34" i="1"/>
  <c r="CV34" i="1"/>
  <c r="EC34" i="1"/>
  <c r="GQ34" i="1"/>
  <c r="ER34" i="1"/>
  <c r="CP34" i="1"/>
  <c r="BO34" i="1"/>
  <c r="G34" i="1"/>
  <c r="JB34" i="1"/>
  <c r="AD33" i="48"/>
  <c r="AJ33" i="48"/>
  <c r="BC33" i="48"/>
  <c r="O22" i="45"/>
  <c r="R22" i="45"/>
  <c r="K22" i="45"/>
  <c r="G22" i="45"/>
  <c r="K29" i="45"/>
  <c r="O29" i="45"/>
  <c r="G29" i="45"/>
  <c r="R29" i="45"/>
  <c r="O34" i="45"/>
  <c r="G34" i="45"/>
  <c r="K34" i="45"/>
  <c r="R34" i="45"/>
  <c r="AT9" i="1"/>
  <c r="R32" i="45"/>
  <c r="K32" i="45"/>
  <c r="O32" i="45"/>
  <c r="G32" i="45"/>
  <c r="G26" i="45"/>
  <c r="K26" i="45"/>
  <c r="R26" i="45"/>
  <c r="O26" i="45"/>
  <c r="JH9" i="1"/>
  <c r="DK9" i="1"/>
  <c r="BX9" i="1"/>
  <c r="O30" i="45"/>
  <c r="G30" i="45"/>
  <c r="K30" i="45"/>
  <c r="R30" i="45"/>
  <c r="K27" i="45"/>
  <c r="O27" i="45"/>
  <c r="G27" i="45"/>
  <c r="R27" i="45"/>
  <c r="K25" i="45"/>
  <c r="G25" i="45"/>
  <c r="O25" i="45"/>
  <c r="R25" i="45"/>
  <c r="O28" i="45"/>
  <c r="K28" i="45"/>
  <c r="G28" i="45"/>
  <c r="R28" i="45"/>
  <c r="AW9" i="1"/>
  <c r="DB9" i="1"/>
  <c r="FS9" i="1"/>
  <c r="EL9" i="1"/>
  <c r="E28" i="1"/>
  <c r="CM28" i="1" s="1"/>
  <c r="E29" i="1"/>
  <c r="JH29" i="1" s="1"/>
  <c r="E31" i="1"/>
  <c r="E23" i="1"/>
  <c r="GK23" i="1" s="1"/>
  <c r="E30" i="1"/>
  <c r="E26" i="1"/>
  <c r="E35" i="1"/>
  <c r="BC35" i="1" s="1"/>
  <c r="DE9" i="1"/>
  <c r="DZ9" i="1"/>
  <c r="E33" i="1"/>
  <c r="E34" i="2" s="1"/>
  <c r="BM34" i="2" s="1"/>
  <c r="E27" i="1"/>
  <c r="GQ27" i="1" s="1"/>
  <c r="FA9" i="1"/>
  <c r="IA9" i="1"/>
  <c r="DT9" i="1"/>
  <c r="BI9" i="1"/>
  <c r="EI9" i="1"/>
  <c r="GH9" i="1"/>
  <c r="CM9" i="1"/>
  <c r="HU9" i="1"/>
  <c r="CA9" i="1"/>
  <c r="M9" i="1"/>
  <c r="AQ9" i="1"/>
  <c r="BU9" i="1"/>
  <c r="P9" i="1"/>
  <c r="BL9" i="1"/>
  <c r="IV9" i="1"/>
  <c r="GZ9" i="1"/>
  <c r="DN9" i="1"/>
  <c r="S9" i="1"/>
  <c r="GQ9" i="1"/>
  <c r="HI9" i="1"/>
  <c r="IM9" i="1"/>
  <c r="FY9" i="1"/>
  <c r="AB9" i="1"/>
  <c r="CD9" i="1"/>
  <c r="AH9" i="1"/>
  <c r="GN9" i="1"/>
  <c r="HR9" i="1"/>
  <c r="FJ9" i="1"/>
  <c r="EC9" i="1"/>
  <c r="CY9" i="1"/>
  <c r="DQ9" i="1"/>
  <c r="EU9" i="1"/>
  <c r="CG9" i="1"/>
  <c r="CP9" i="1"/>
  <c r="EF9" i="1"/>
  <c r="EX9" i="1"/>
  <c r="GB9" i="1"/>
  <c r="AN9" i="1"/>
  <c r="HF9" i="1"/>
  <c r="E10" i="2"/>
  <c r="F10" i="2" s="1"/>
  <c r="BN10" i="2" s="1"/>
  <c r="AK9" i="1"/>
  <c r="G9" i="1"/>
  <c r="Y9" i="1"/>
  <c r="BC9" i="1"/>
  <c r="HO9" i="1"/>
  <c r="DH9" i="1"/>
  <c r="GT9" i="1"/>
  <c r="FP9" i="1"/>
  <c r="IP9" i="1"/>
  <c r="BF9" i="1"/>
  <c r="HC9" i="1"/>
  <c r="IG9" i="1"/>
  <c r="FG9" i="1"/>
  <c r="GK9" i="1"/>
  <c r="DW9" i="1"/>
  <c r="ER9" i="1"/>
  <c r="HL9" i="1"/>
  <c r="ID9" i="1"/>
  <c r="IY9" i="1"/>
  <c r="FV9" i="1"/>
  <c r="GE9" i="1"/>
  <c r="EO9" i="1"/>
  <c r="BO9" i="1"/>
  <c r="CS9" i="1"/>
  <c r="AE9" i="1"/>
  <c r="HX9" i="1"/>
  <c r="J9" i="1"/>
  <c r="BR9" i="1"/>
  <c r="CJ9" i="1"/>
  <c r="IJ9" i="1"/>
  <c r="V9" i="1"/>
  <c r="FD9" i="1"/>
  <c r="A20" i="48"/>
  <c r="A21" i="48" s="1"/>
  <c r="E13" i="1"/>
  <c r="C12" i="45"/>
  <c r="E12" i="1"/>
  <c r="CP12" i="1" s="1"/>
  <c r="C11" i="45"/>
  <c r="E11" i="1"/>
  <c r="CY11" i="1" s="1"/>
  <c r="C10" i="45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GN16" i="1"/>
  <c r="CV16" i="1"/>
  <c r="HX16" i="1"/>
  <c r="EF16" i="1"/>
  <c r="AN16" i="1"/>
  <c r="JH16" i="1"/>
  <c r="FP16" i="1"/>
  <c r="BX16" i="1"/>
  <c r="GZ16" i="1"/>
  <c r="DH16" i="1"/>
  <c r="P16" i="1"/>
  <c r="IJ16" i="1"/>
  <c r="ER16" i="1"/>
  <c r="AZ16" i="1"/>
  <c r="HL16" i="1"/>
  <c r="DT16" i="1"/>
  <c r="AB16" i="1"/>
  <c r="GB16" i="1"/>
  <c r="FD16" i="1"/>
  <c r="CJ16" i="1"/>
  <c r="BL16" i="1"/>
  <c r="IV16" i="1"/>
  <c r="IA23" i="1"/>
  <c r="DW23" i="1"/>
  <c r="AT23" i="1"/>
  <c r="EX23" i="1"/>
  <c r="JB30" i="1"/>
  <c r="DN30" i="1"/>
  <c r="HL30" i="1"/>
  <c r="AB30" i="1"/>
  <c r="BR30" i="1"/>
  <c r="GN30" i="1"/>
  <c r="HF30" i="1"/>
  <c r="V30" i="1"/>
  <c r="FJ30" i="1"/>
  <c r="DT30" i="1"/>
  <c r="CV30" i="1"/>
  <c r="GW30" i="1"/>
  <c r="DE30" i="1"/>
  <c r="M30" i="1"/>
  <c r="FS30" i="1"/>
  <c r="CA30" i="1"/>
  <c r="GB30" i="1"/>
  <c r="AH30" i="1"/>
  <c r="GT30" i="1"/>
  <c r="GK30" i="1"/>
  <c r="CS30" i="1"/>
  <c r="IY30" i="1"/>
  <c r="FG30" i="1"/>
  <c r="BO30" i="1"/>
  <c r="EF30" i="1"/>
  <c r="IV30" i="1"/>
  <c r="EX30" i="1"/>
  <c r="FY30" i="1"/>
  <c r="CG30" i="1"/>
  <c r="IM30" i="1"/>
  <c r="EU30" i="1"/>
  <c r="BC30" i="1"/>
  <c r="CJ30" i="1"/>
  <c r="GZ30" i="1"/>
  <c r="DB30" i="1"/>
  <c r="FP30" i="1"/>
  <c r="IS30" i="1"/>
  <c r="FA30" i="1"/>
  <c r="BI30" i="1"/>
  <c r="HO30" i="1"/>
  <c r="DW30" i="1"/>
  <c r="AE30" i="1"/>
  <c r="HR30" i="1"/>
  <c r="DH30" i="1"/>
  <c r="J30" i="1"/>
  <c r="AZ30" i="1"/>
  <c r="HU30" i="1"/>
  <c r="EC30" i="1"/>
  <c r="AK30" i="1"/>
  <c r="GQ30" i="1"/>
  <c r="CY30" i="1"/>
  <c r="G30" i="1"/>
  <c r="DZ30" i="1"/>
  <c r="P30" i="1"/>
  <c r="EL30" i="1"/>
  <c r="IG30" i="1"/>
  <c r="IA30" i="1"/>
  <c r="HX30" i="1"/>
  <c r="AT30" i="1"/>
  <c r="ER30" i="1"/>
  <c r="HI30" i="1"/>
  <c r="HC30" i="1"/>
  <c r="AN30" i="1"/>
  <c r="ID30" i="1"/>
  <c r="IJ30" i="1"/>
  <c r="FM30" i="1"/>
  <c r="GE30" i="1"/>
  <c r="FV30" i="1"/>
  <c r="BX30" i="1"/>
  <c r="EO30" i="1"/>
  <c r="EI30" i="1"/>
  <c r="CD30" i="1"/>
  <c r="JH30" i="1"/>
  <c r="DQ30" i="1"/>
  <c r="DK30" i="1"/>
  <c r="FD30" i="1"/>
  <c r="AW30" i="1"/>
  <c r="AQ30" i="1"/>
  <c r="IP30" i="1"/>
  <c r="GH30" i="1"/>
  <c r="JE30" i="1"/>
  <c r="BU30" i="1"/>
  <c r="Y30" i="1"/>
  <c r="CM30" i="1"/>
  <c r="S30" i="1"/>
  <c r="BF30" i="1"/>
  <c r="CP30" i="1"/>
  <c r="BL30" i="1"/>
  <c r="J11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IY17" i="1"/>
  <c r="HI17" i="1"/>
  <c r="GH17" i="1"/>
  <c r="FG17" i="1"/>
  <c r="DQ17" i="1"/>
  <c r="CP17" i="1"/>
  <c r="BO17" i="1"/>
  <c r="Y17" i="1"/>
  <c r="HU17" i="1"/>
  <c r="GT17" i="1"/>
  <c r="FS17" i="1"/>
  <c r="EC17" i="1"/>
  <c r="DB17" i="1"/>
  <c r="CA17" i="1"/>
  <c r="AK17" i="1"/>
  <c r="J17" i="1"/>
  <c r="IG17" i="1"/>
  <c r="HF17" i="1"/>
  <c r="GE17" i="1"/>
  <c r="EO17" i="1"/>
  <c r="DN17" i="1"/>
  <c r="CM17" i="1"/>
  <c r="AW17" i="1"/>
  <c r="V17" i="1"/>
  <c r="IS17" i="1"/>
  <c r="HR17" i="1"/>
  <c r="GQ17" i="1"/>
  <c r="FA17" i="1"/>
  <c r="DZ17" i="1"/>
  <c r="CY17" i="1"/>
  <c r="BI17" i="1"/>
  <c r="AH17" i="1"/>
  <c r="G17" i="1"/>
  <c r="JE17" i="1"/>
  <c r="ID17" i="1"/>
  <c r="HC17" i="1"/>
  <c r="FM17" i="1"/>
  <c r="EL17" i="1"/>
  <c r="DK17" i="1"/>
  <c r="BU17" i="1"/>
  <c r="AT17" i="1"/>
  <c r="S17" i="1"/>
  <c r="JB17" i="1"/>
  <c r="IA17" i="1"/>
  <c r="GK17" i="1"/>
  <c r="FJ17" i="1"/>
  <c r="EI17" i="1"/>
  <c r="CS17" i="1"/>
  <c r="BR17" i="1"/>
  <c r="AQ17" i="1"/>
  <c r="BF17" i="1"/>
  <c r="FV17" i="1"/>
  <c r="EX17" i="1"/>
  <c r="BC17" i="1"/>
  <c r="M17" i="1"/>
  <c r="DW17" i="1"/>
  <c r="AE17" i="1"/>
  <c r="IP17" i="1"/>
  <c r="EU17" i="1"/>
  <c r="DE17" i="1"/>
  <c r="CG17" i="1"/>
  <c r="IM17" i="1"/>
  <c r="GW17" i="1"/>
  <c r="HO17" i="1"/>
  <c r="FY17" i="1"/>
  <c r="CD17" i="1"/>
  <c r="C14" i="45"/>
  <c r="K14" i="45" s="1"/>
  <c r="E15" i="1"/>
  <c r="CM27" i="1"/>
  <c r="HO27" i="1"/>
  <c r="BR27" i="1"/>
  <c r="FY27" i="1"/>
  <c r="CY27" i="1"/>
  <c r="CG27" i="1"/>
  <c r="EU27" i="1"/>
  <c r="AQ27" i="1"/>
  <c r="G27" i="1"/>
  <c r="FS27" i="1"/>
  <c r="BF27" i="1"/>
  <c r="IV27" i="1"/>
  <c r="FD27" i="1"/>
  <c r="HR27" i="1"/>
  <c r="J27" i="1"/>
  <c r="ER27" i="1"/>
  <c r="AZ27" i="1"/>
  <c r="DN27" i="1"/>
  <c r="EF27" i="1"/>
  <c r="GT27" i="1"/>
  <c r="S27" i="1"/>
  <c r="EI27" i="1"/>
  <c r="DH27" i="1"/>
  <c r="FV27" i="1"/>
  <c r="BU27" i="1"/>
  <c r="GB27" i="1"/>
  <c r="EX27" i="1"/>
  <c r="IM27" i="1"/>
  <c r="HI27" i="1"/>
  <c r="EL27" i="1"/>
  <c r="IS27" i="1"/>
  <c r="AT27" i="1"/>
  <c r="FM27" i="1"/>
  <c r="BX27" i="1"/>
  <c r="CP27" i="1"/>
  <c r="AB27" i="1"/>
  <c r="HC27" i="1"/>
  <c r="BC27" i="1"/>
  <c r="IA27" i="1"/>
  <c r="GN27" i="1"/>
  <c r="GH27" i="1"/>
  <c r="HL27" i="1"/>
  <c r="FA27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HR12" i="1"/>
  <c r="CV12" i="1"/>
  <c r="HU12" i="1"/>
  <c r="JH13" i="1"/>
  <c r="IV13" i="1"/>
  <c r="IJ13" i="1"/>
  <c r="HX13" i="1"/>
  <c r="HL13" i="1"/>
  <c r="GZ13" i="1"/>
  <c r="GN13" i="1"/>
  <c r="GB13" i="1"/>
  <c r="FP13" i="1"/>
  <c r="FD13" i="1"/>
  <c r="ER13" i="1"/>
  <c r="EF13" i="1"/>
  <c r="DT13" i="1"/>
  <c r="DE13" i="1"/>
  <c r="CS13" i="1"/>
  <c r="CG13" i="1"/>
  <c r="BU13" i="1"/>
  <c r="BI13" i="1"/>
  <c r="AW13" i="1"/>
  <c r="AK13" i="1"/>
  <c r="Y13" i="1"/>
  <c r="M13" i="1"/>
  <c r="JE13" i="1"/>
  <c r="IS13" i="1"/>
  <c r="IG13" i="1"/>
  <c r="HU13" i="1"/>
  <c r="HI13" i="1"/>
  <c r="GW13" i="1"/>
  <c r="GK13" i="1"/>
  <c r="FY13" i="1"/>
  <c r="FM13" i="1"/>
  <c r="FA13" i="1"/>
  <c r="EO13" i="1"/>
  <c r="EC13" i="1"/>
  <c r="DQ13" i="1"/>
  <c r="DB13" i="1"/>
  <c r="CP13" i="1"/>
  <c r="CD13" i="1"/>
  <c r="BR13" i="1"/>
  <c r="BF13" i="1"/>
  <c r="AT13" i="1"/>
  <c r="AH13" i="1"/>
  <c r="V13" i="1"/>
  <c r="J13" i="1"/>
  <c r="JB13" i="1"/>
  <c r="IP13" i="1"/>
  <c r="ID13" i="1"/>
  <c r="HR13" i="1"/>
  <c r="HF13" i="1"/>
  <c r="GT13" i="1"/>
  <c r="GH13" i="1"/>
  <c r="FV13" i="1"/>
  <c r="FJ13" i="1"/>
  <c r="EX13" i="1"/>
  <c r="EL13" i="1"/>
  <c r="DZ13" i="1"/>
  <c r="DN13" i="1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CY13" i="1"/>
  <c r="CJ13" i="1"/>
  <c r="BC13" i="1"/>
  <c r="AN13" i="1"/>
  <c r="G13" i="1"/>
  <c r="CV13" i="1"/>
  <c r="BO13" i="1"/>
  <c r="AZ13" i="1"/>
  <c r="S13" i="1"/>
  <c r="DH13" i="1"/>
  <c r="CA13" i="1"/>
  <c r="BL13" i="1"/>
  <c r="AE13" i="1"/>
  <c r="P13" i="1"/>
  <c r="CM13" i="1"/>
  <c r="BX13" i="1"/>
  <c r="AQ13" i="1"/>
  <c r="AB13" i="1"/>
  <c r="JH31" i="1"/>
  <c r="GT31" i="1"/>
  <c r="GB31" i="1"/>
  <c r="FJ31" i="1"/>
  <c r="J31" i="1"/>
  <c r="DZ31" i="1"/>
  <c r="DH31" i="1"/>
  <c r="CP31" i="1"/>
  <c r="IP31" i="1"/>
  <c r="HX31" i="1"/>
  <c r="HF31" i="1"/>
  <c r="BF31" i="1"/>
  <c r="AN31" i="1"/>
  <c r="V31" i="1"/>
  <c r="JE31" i="1"/>
  <c r="FV31" i="1"/>
  <c r="FD31" i="1"/>
  <c r="EL31" i="1"/>
  <c r="JB31" i="1"/>
  <c r="DB31" i="1"/>
  <c r="CJ31" i="1"/>
  <c r="BR31" i="1"/>
  <c r="EX31" i="1"/>
  <c r="EF31" i="1"/>
  <c r="DN31" i="1"/>
  <c r="AT31" i="1"/>
  <c r="BL31" i="1"/>
  <c r="ID31" i="1"/>
  <c r="CD31" i="1"/>
  <c r="IV31" i="1"/>
  <c r="P31" i="1"/>
  <c r="GH31" i="1"/>
  <c r="AH31" i="1"/>
  <c r="GZ31" i="1"/>
  <c r="HR31" i="1"/>
  <c r="DT31" i="1"/>
  <c r="AZ31" i="1"/>
  <c r="FP31" i="1"/>
  <c r="CV31" i="1"/>
  <c r="HL31" i="1"/>
  <c r="S31" i="1"/>
  <c r="DK31" i="1"/>
  <c r="HC31" i="1"/>
  <c r="Y31" i="1"/>
  <c r="DQ31" i="1"/>
  <c r="HI31" i="1"/>
  <c r="ER31" i="1"/>
  <c r="GN31" i="1"/>
  <c r="AB31" i="1"/>
  <c r="CY31" i="1"/>
  <c r="HO31" i="1"/>
  <c r="CG31" i="1"/>
  <c r="GK31" i="1"/>
  <c r="G31" i="1"/>
  <c r="DW31" i="1"/>
  <c r="IA31" i="1"/>
  <c r="CS31" i="1"/>
  <c r="GW31" i="1"/>
  <c r="AE31" i="1"/>
  <c r="EI31" i="1"/>
  <c r="IM31" i="1"/>
  <c r="DE31" i="1"/>
  <c r="HU31" i="1"/>
  <c r="BX31" i="1"/>
  <c r="AQ31" i="1"/>
  <c r="EU31" i="1"/>
  <c r="IY31" i="1"/>
  <c r="M31" i="1"/>
  <c r="EC31" i="1"/>
  <c r="IG31" i="1"/>
  <c r="BC31" i="1"/>
  <c r="FG31" i="1"/>
  <c r="AK31" i="1"/>
  <c r="EO31" i="1"/>
  <c r="IS31" i="1"/>
  <c r="IJ31" i="1"/>
  <c r="BO31" i="1"/>
  <c r="BU31" i="1"/>
  <c r="CA31" i="1"/>
  <c r="AW31" i="1"/>
  <c r="CM31" i="1"/>
  <c r="BI31" i="1"/>
  <c r="FS31" i="1"/>
  <c r="GE31" i="1"/>
  <c r="FA31" i="1"/>
  <c r="FY31" i="1"/>
  <c r="FM31" i="1"/>
  <c r="GQ31" i="1"/>
  <c r="GQ28" i="1"/>
  <c r="BL28" i="1"/>
  <c r="ER28" i="1"/>
  <c r="CA28" i="1"/>
  <c r="FA28" i="1"/>
  <c r="AK28" i="1"/>
  <c r="IS28" i="1"/>
  <c r="JE28" i="1"/>
  <c r="BX28" i="1"/>
  <c r="M28" i="1"/>
  <c r="BR28" i="1"/>
  <c r="IY26" i="1"/>
  <c r="IG26" i="1"/>
  <c r="DN26" i="1"/>
  <c r="AK26" i="1"/>
  <c r="V26" i="1"/>
  <c r="G26" i="1"/>
  <c r="GE26" i="1"/>
  <c r="FJ26" i="1"/>
  <c r="BO26" i="1"/>
  <c r="IP26" i="1"/>
  <c r="HI26" i="1"/>
  <c r="GQ26" i="1"/>
  <c r="DZ26" i="1"/>
  <c r="CS26" i="1"/>
  <c r="CD26" i="1"/>
  <c r="AW26" i="1"/>
  <c r="AH26" i="1"/>
  <c r="DQ26" i="1"/>
  <c r="CY26" i="1"/>
  <c r="J26" i="1"/>
  <c r="FA26" i="1"/>
  <c r="EI26" i="1"/>
  <c r="Y26" i="1"/>
  <c r="HF26" i="1"/>
  <c r="GK26" i="1"/>
  <c r="BI26" i="1"/>
  <c r="AQ26" i="1"/>
  <c r="IS26" i="1"/>
  <c r="GH26" i="1"/>
  <c r="CP26" i="1"/>
  <c r="BC26" i="1"/>
  <c r="HR26" i="1"/>
  <c r="CM26" i="1"/>
  <c r="BR26" i="1"/>
  <c r="DE26" i="1"/>
  <c r="EO26" i="1"/>
  <c r="FG26" i="1"/>
  <c r="M26" i="1"/>
  <c r="CA26" i="1"/>
  <c r="DB26" i="1"/>
  <c r="EC26" i="1"/>
  <c r="EU26" i="1"/>
  <c r="CG26" i="1"/>
  <c r="IJ26" i="1"/>
  <c r="ER26" i="1"/>
  <c r="AZ26" i="1"/>
  <c r="EL26" i="1"/>
  <c r="FS26" i="1"/>
  <c r="GW26" i="1"/>
  <c r="HU26" i="1"/>
  <c r="IA26" i="1"/>
  <c r="IV26" i="1"/>
  <c r="EF26" i="1"/>
  <c r="AB26" i="1"/>
  <c r="ID26" i="1"/>
  <c r="HX26" i="1"/>
  <c r="DT26" i="1"/>
  <c r="P26" i="1"/>
  <c r="JE26" i="1"/>
  <c r="FV26" i="1"/>
  <c r="AE26" i="1"/>
  <c r="HL26" i="1"/>
  <c r="DH26" i="1"/>
  <c r="S26" i="1"/>
  <c r="GT26" i="1"/>
  <c r="IM26" i="1"/>
  <c r="BF26" i="1"/>
  <c r="GZ26" i="1"/>
  <c r="CV26" i="1"/>
  <c r="AT26" i="1"/>
  <c r="DW26" i="1"/>
  <c r="GN26" i="1"/>
  <c r="CJ26" i="1"/>
  <c r="BU26" i="1"/>
  <c r="FY26" i="1"/>
  <c r="FP26" i="1"/>
  <c r="BL26" i="1"/>
  <c r="FM26" i="1"/>
  <c r="JH26" i="1"/>
  <c r="JB26" i="1"/>
  <c r="GB26" i="1"/>
  <c r="FD26" i="1"/>
  <c r="EX26" i="1"/>
  <c r="BX26" i="1"/>
  <c r="HO26" i="1"/>
  <c r="AN26" i="1"/>
  <c r="HC26" i="1"/>
  <c r="DK26" i="1"/>
  <c r="FV29" i="1"/>
  <c r="EC29" i="1"/>
  <c r="HI29" i="1"/>
  <c r="IP29" i="1"/>
  <c r="DT29" i="1"/>
  <c r="AT29" i="1"/>
  <c r="ER29" i="1"/>
  <c r="BC29" i="1"/>
  <c r="AH29" i="1"/>
  <c r="HL29" i="1"/>
  <c r="ID29" i="1"/>
  <c r="IS25" i="1"/>
  <c r="HR25" i="1"/>
  <c r="GQ25" i="1"/>
  <c r="FA25" i="1"/>
  <c r="DZ25" i="1"/>
  <c r="CY25" i="1"/>
  <c r="JE25" i="1"/>
  <c r="ID25" i="1"/>
  <c r="HC25" i="1"/>
  <c r="FM25" i="1"/>
  <c r="EL25" i="1"/>
  <c r="DK25" i="1"/>
  <c r="BU25" i="1"/>
  <c r="AT25" i="1"/>
  <c r="S25" i="1"/>
  <c r="GW25" i="1"/>
  <c r="GH25" i="1"/>
  <c r="EO25" i="1"/>
  <c r="CS25" i="1"/>
  <c r="BC25" i="1"/>
  <c r="Y25" i="1"/>
  <c r="J25" i="1"/>
  <c r="IP25" i="1"/>
  <c r="IA25" i="1"/>
  <c r="FS25" i="1"/>
  <c r="DW25" i="1"/>
  <c r="CD25" i="1"/>
  <c r="BO25" i="1"/>
  <c r="AK25" i="1"/>
  <c r="HI25" i="1"/>
  <c r="GT25" i="1"/>
  <c r="GE25" i="1"/>
  <c r="DE25" i="1"/>
  <c r="CP25" i="1"/>
  <c r="V25" i="1"/>
  <c r="G25" i="1"/>
  <c r="JB25" i="1"/>
  <c r="IM25" i="1"/>
  <c r="EX25" i="1"/>
  <c r="EI25" i="1"/>
  <c r="CA25" i="1"/>
  <c r="AW25" i="1"/>
  <c r="AH25" i="1"/>
  <c r="JH25" i="1"/>
  <c r="HU25" i="1"/>
  <c r="HF25" i="1"/>
  <c r="DQ25" i="1"/>
  <c r="DB25" i="1"/>
  <c r="CM25" i="1"/>
  <c r="BI25" i="1"/>
  <c r="IY25" i="1"/>
  <c r="FY25" i="1"/>
  <c r="FJ25" i="1"/>
  <c r="EU25" i="1"/>
  <c r="AE25" i="1"/>
  <c r="HO25" i="1"/>
  <c r="DN25" i="1"/>
  <c r="M25" i="1"/>
  <c r="IG25" i="1"/>
  <c r="FV25" i="1"/>
  <c r="EC25" i="1"/>
  <c r="BR25" i="1"/>
  <c r="GK25" i="1"/>
  <c r="CG25" i="1"/>
  <c r="FG25" i="1"/>
  <c r="AQ25" i="1"/>
  <c r="BF25" i="1"/>
  <c r="CJ25" i="1"/>
  <c r="CV25" i="1"/>
  <c r="GN25" i="1"/>
  <c r="AB25" i="1"/>
  <c r="EF25" i="1"/>
  <c r="IJ25" i="1"/>
  <c r="P25" i="1"/>
  <c r="ER25" i="1"/>
  <c r="IV25" i="1"/>
  <c r="AN25" i="1"/>
  <c r="FD25" i="1"/>
  <c r="AZ25" i="1"/>
  <c r="FP25" i="1"/>
  <c r="BL25" i="1"/>
  <c r="GB25" i="1"/>
  <c r="DH25" i="1"/>
  <c r="HL25" i="1"/>
  <c r="DT25" i="1"/>
  <c r="GZ25" i="1"/>
  <c r="HX25" i="1"/>
  <c r="BX25" i="1"/>
  <c r="JE19" i="1"/>
  <c r="IS19" i="1"/>
  <c r="IG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D19" i="1"/>
  <c r="HC19" i="1"/>
  <c r="GB19" i="1"/>
  <c r="EL19" i="1"/>
  <c r="DK19" i="1"/>
  <c r="CJ19" i="1"/>
  <c r="AT19" i="1"/>
  <c r="S19" i="1"/>
  <c r="IP19" i="1"/>
  <c r="HO19" i="1"/>
  <c r="GN19" i="1"/>
  <c r="EX19" i="1"/>
  <c r="DW19" i="1"/>
  <c r="CV19" i="1"/>
  <c r="BF19" i="1"/>
  <c r="AE19" i="1"/>
  <c r="JB19" i="1"/>
  <c r="IA19" i="1"/>
  <c r="GZ19" i="1"/>
  <c r="FJ19" i="1"/>
  <c r="EI19" i="1"/>
  <c r="DH19" i="1"/>
  <c r="BR19" i="1"/>
  <c r="AQ19" i="1"/>
  <c r="P19" i="1"/>
  <c r="IM19" i="1"/>
  <c r="HL19" i="1"/>
  <c r="FV19" i="1"/>
  <c r="EU19" i="1"/>
  <c r="DT19" i="1"/>
  <c r="CD19" i="1"/>
  <c r="BC19" i="1"/>
  <c r="AB19" i="1"/>
  <c r="IY19" i="1"/>
  <c r="HX19" i="1"/>
  <c r="GH19" i="1"/>
  <c r="FG19" i="1"/>
  <c r="EF19" i="1"/>
  <c r="CP19" i="1"/>
  <c r="BO19" i="1"/>
  <c r="AN19" i="1"/>
  <c r="IV19" i="1"/>
  <c r="HF19" i="1"/>
  <c r="GE19" i="1"/>
  <c r="FD19" i="1"/>
  <c r="DN19" i="1"/>
  <c r="CM19" i="1"/>
  <c r="BL19" i="1"/>
  <c r="V19" i="1"/>
  <c r="AZ19" i="1"/>
  <c r="J19" i="1"/>
  <c r="FP19" i="1"/>
  <c r="DZ19" i="1"/>
  <c r="ER19" i="1"/>
  <c r="DB19" i="1"/>
  <c r="G19" i="1"/>
  <c r="JH19" i="1"/>
  <c r="HR19" i="1"/>
  <c r="IJ19" i="1"/>
  <c r="GT19" i="1"/>
  <c r="CY19" i="1"/>
  <c r="CA19" i="1"/>
  <c r="GQ19" i="1"/>
  <c r="FS19" i="1"/>
  <c r="BX19" i="1"/>
  <c r="AH19" i="1"/>
  <c r="BR35" i="1"/>
  <c r="BO35" i="1"/>
  <c r="CP35" i="1"/>
  <c r="BF35" i="1"/>
  <c r="EO35" i="1"/>
  <c r="CJ35" i="1"/>
  <c r="CG35" i="1"/>
  <c r="AB35" i="1"/>
  <c r="AK35" i="1"/>
  <c r="ER35" i="1"/>
  <c r="HO35" i="1"/>
  <c r="BC35" i="48"/>
  <c r="I35" i="48"/>
  <c r="AJ35" i="48"/>
  <c r="AD35" i="48"/>
  <c r="J35" i="48"/>
  <c r="E35" i="2"/>
  <c r="BM35" i="2" s="1"/>
  <c r="X167" i="46"/>
  <c r="J20" i="9"/>
  <c r="J20" i="8" s="1"/>
  <c r="J9" i="9"/>
  <c r="J9" i="8" s="1"/>
  <c r="J23" i="9"/>
  <c r="J23" i="8" s="1"/>
  <c r="J23" i="7" s="1"/>
  <c r="J23" i="6" s="1"/>
  <c r="J23" i="37" s="1"/>
  <c r="J23" i="4" s="1"/>
  <c r="J23" i="43" s="1"/>
  <c r="R10" i="48"/>
  <c r="C9" i="45" s="1"/>
  <c r="J8" i="9"/>
  <c r="J8" i="8" s="1"/>
  <c r="J22" i="9"/>
  <c r="J22" i="8" s="1"/>
  <c r="J22" i="7" s="1"/>
  <c r="J22" i="6" s="1"/>
  <c r="J22" i="37" s="1"/>
  <c r="J22" i="4" s="1"/>
  <c r="J22" i="43" s="1"/>
  <c r="J25" i="9"/>
  <c r="J25" i="8" s="1"/>
  <c r="J25" i="7" s="1"/>
  <c r="J25" i="6" s="1"/>
  <c r="J25" i="37" s="1"/>
  <c r="J25" i="4" s="1"/>
  <c r="J25" i="43" s="1"/>
  <c r="J40" i="32"/>
  <c r="K57" i="32" s="1"/>
  <c r="I48" i="32"/>
  <c r="J21" i="9"/>
  <c r="J21" i="8" s="1"/>
  <c r="J24" i="9"/>
  <c r="J24" i="8" s="1"/>
  <c r="J24" i="7" s="1"/>
  <c r="J24" i="6" s="1"/>
  <c r="J24" i="37" s="1"/>
  <c r="J24" i="4" s="1"/>
  <c r="J24" i="43" s="1"/>
  <c r="X165" i="46"/>
  <c r="AJ29" i="48"/>
  <c r="I29" i="48"/>
  <c r="BC29" i="48"/>
  <c r="AD29" i="48"/>
  <c r="J29" i="48"/>
  <c r="AJ30" i="48"/>
  <c r="J30" i="48"/>
  <c r="I30" i="48"/>
  <c r="AD30" i="48"/>
  <c r="BC30" i="48"/>
  <c r="AJ31" i="48"/>
  <c r="I31" i="48"/>
  <c r="AD31" i="48"/>
  <c r="J31" i="48"/>
  <c r="BC31" i="48"/>
  <c r="J19" i="11"/>
  <c r="J19" i="10" s="1"/>
  <c r="J18" i="11"/>
  <c r="J18" i="10" s="1"/>
  <c r="J15" i="11"/>
  <c r="J15" i="10" s="1"/>
  <c r="J17" i="11"/>
  <c r="J17" i="10" s="1"/>
  <c r="J14" i="11"/>
  <c r="J14" i="10" s="1"/>
  <c r="J11" i="11"/>
  <c r="J11" i="10" s="1"/>
  <c r="J12" i="11"/>
  <c r="J12" i="10" s="1"/>
  <c r="J16" i="11"/>
  <c r="J16" i="10" s="1"/>
  <c r="J10" i="11"/>
  <c r="J10" i="10" s="1"/>
  <c r="AJ27" i="48"/>
  <c r="I27" i="48"/>
  <c r="BC27" i="48"/>
  <c r="J27" i="48"/>
  <c r="AD27" i="48"/>
  <c r="AD23" i="48"/>
  <c r="BC23" i="48"/>
  <c r="AJ23" i="48"/>
  <c r="I23" i="48"/>
  <c r="J23" i="48"/>
  <c r="J26" i="48"/>
  <c r="I26" i="48"/>
  <c r="AJ26" i="48"/>
  <c r="BC26" i="48"/>
  <c r="AD26" i="48"/>
  <c r="J13" i="11"/>
  <c r="J13" i="10" s="1"/>
  <c r="BC28" i="48"/>
  <c r="J28" i="48"/>
  <c r="AJ28" i="48"/>
  <c r="I28" i="48"/>
  <c r="AD28" i="48"/>
  <c r="E19" i="2"/>
  <c r="BM19" i="2" s="1"/>
  <c r="C18" i="45"/>
  <c r="I19" i="48"/>
  <c r="AD19" i="48"/>
  <c r="AJ19" i="48"/>
  <c r="J19" i="48"/>
  <c r="BC19" i="48"/>
  <c r="C16" i="45"/>
  <c r="BC17" i="48"/>
  <c r="AD17" i="48"/>
  <c r="J17" i="48"/>
  <c r="I17" i="48"/>
  <c r="AJ17" i="48"/>
  <c r="BC16" i="48"/>
  <c r="C15" i="45"/>
  <c r="AJ16" i="48"/>
  <c r="I16" i="48"/>
  <c r="AD16" i="48"/>
  <c r="J16" i="48"/>
  <c r="I45" i="31"/>
  <c r="I48" i="31"/>
  <c r="Z162" i="46"/>
  <c r="Z166" i="46" s="1"/>
  <c r="Z162" i="57"/>
  <c r="AB162" i="57"/>
  <c r="I48" i="27"/>
  <c r="I45" i="27"/>
  <c r="R14" i="48"/>
  <c r="C13" i="45" s="1"/>
  <c r="BC15" i="48"/>
  <c r="AJ15" i="48"/>
  <c r="I15" i="48"/>
  <c r="J15" i="48"/>
  <c r="AD15" i="48"/>
  <c r="BC13" i="48"/>
  <c r="J13" i="48"/>
  <c r="I13" i="48"/>
  <c r="AD13" i="48"/>
  <c r="AJ13" i="48"/>
  <c r="I12" i="48"/>
  <c r="AJ12" i="48"/>
  <c r="J12" i="48"/>
  <c r="BC12" i="48"/>
  <c r="AD12" i="48"/>
  <c r="BC11" i="48"/>
  <c r="AD11" i="48"/>
  <c r="I11" i="48"/>
  <c r="AJ11" i="48"/>
  <c r="J11" i="48"/>
  <c r="AA162" i="57"/>
  <c r="T3" i="56" s="1"/>
  <c r="N13" i="55" s="1"/>
  <c r="BM10" i="2"/>
  <c r="AI9" i="48"/>
  <c r="M10" i="48"/>
  <c r="I50" i="18"/>
  <c r="I51" i="18"/>
  <c r="I50" i="28"/>
  <c r="I51" i="28"/>
  <c r="I50" i="17"/>
  <c r="I51" i="17"/>
  <c r="I50" i="8"/>
  <c r="I51" i="8"/>
  <c r="I50" i="29"/>
  <c r="I51" i="29"/>
  <c r="I50" i="30"/>
  <c r="I51" i="30"/>
  <c r="J50" i="33"/>
  <c r="J51" i="33"/>
  <c r="I50" i="31"/>
  <c r="I51" i="31"/>
  <c r="W9" i="48"/>
  <c r="Y9" i="48"/>
  <c r="I49" i="32"/>
  <c r="I51" i="32" s="1"/>
  <c r="V11" i="48"/>
  <c r="X11" i="48"/>
  <c r="I49" i="7"/>
  <c r="I11" i="56"/>
  <c r="V34" i="48"/>
  <c r="X34" i="48"/>
  <c r="V25" i="48"/>
  <c r="X25" i="48"/>
  <c r="X24" i="48"/>
  <c r="V24" i="48"/>
  <c r="I49" i="22"/>
  <c r="X15" i="48"/>
  <c r="V15" i="48"/>
  <c r="V13" i="48"/>
  <c r="X13" i="48"/>
  <c r="D43" i="26"/>
  <c r="D43" i="25" s="1"/>
  <c r="E45" i="28"/>
  <c r="V12" i="48"/>
  <c r="X12" i="48"/>
  <c r="D39" i="26"/>
  <c r="D39" i="25" s="1"/>
  <c r="D48" i="27"/>
  <c r="E48" i="27" s="1"/>
  <c r="M8" i="29"/>
  <c r="M34" i="30"/>
  <c r="E41" i="29"/>
  <c r="D41" i="27"/>
  <c r="J43" i="27"/>
  <c r="J44" i="29"/>
  <c r="J56" i="27"/>
  <c r="D38" i="28"/>
  <c r="E38" i="27"/>
  <c r="D52" i="29"/>
  <c r="D53" i="29" s="1"/>
  <c r="E50" i="29"/>
  <c r="D50" i="27"/>
  <c r="E52" i="30"/>
  <c r="E53" i="30" s="1"/>
  <c r="E46" i="29"/>
  <c r="D46" i="27"/>
  <c r="D47" i="26"/>
  <c r="E47" i="28"/>
  <c r="E42" i="29"/>
  <c r="D42" i="27"/>
  <c r="E45" i="26"/>
  <c r="D45" i="25"/>
  <c r="D51" i="28"/>
  <c r="E51" i="27"/>
  <c r="E44" i="28"/>
  <c r="D44" i="26"/>
  <c r="E40" i="27"/>
  <c r="D40" i="28"/>
  <c r="A15" i="2" s="1"/>
  <c r="E49" i="28"/>
  <c r="D49" i="26"/>
  <c r="J57" i="27"/>
  <c r="J37" i="29"/>
  <c r="J39" i="30"/>
  <c r="J47" i="27"/>
  <c r="J46" i="28"/>
  <c r="AC13" i="48"/>
  <c r="Q14" i="48"/>
  <c r="M7" i="26"/>
  <c r="J57" i="15"/>
  <c r="FJ29" i="1" l="1"/>
  <c r="V29" i="1"/>
  <c r="AZ29" i="1"/>
  <c r="FD29" i="1"/>
  <c r="IV29" i="1"/>
  <c r="DN29" i="1"/>
  <c r="BR29" i="1"/>
  <c r="CG29" i="1"/>
  <c r="EX29" i="1"/>
  <c r="HU29" i="1"/>
  <c r="FP29" i="1"/>
  <c r="AN29" i="1"/>
  <c r="J29" i="1"/>
  <c r="FS29" i="1"/>
  <c r="HX29" i="1"/>
  <c r="EL29" i="1"/>
  <c r="BL29" i="1"/>
  <c r="HF29" i="1"/>
  <c r="CD29" i="1"/>
  <c r="AK29" i="1"/>
  <c r="CA29" i="1"/>
  <c r="DZ29" i="1"/>
  <c r="EU29" i="1"/>
  <c r="AB29" i="1"/>
  <c r="JE29" i="1"/>
  <c r="IM29" i="1"/>
  <c r="EO29" i="1"/>
  <c r="GH29" i="1"/>
  <c r="CJ29" i="1"/>
  <c r="JB29" i="1"/>
  <c r="DH29" i="1"/>
  <c r="CV29" i="1"/>
  <c r="GN29" i="1"/>
  <c r="BU29" i="1"/>
  <c r="DW29" i="1"/>
  <c r="DB29" i="1"/>
  <c r="IJ29" i="1"/>
  <c r="EI29" i="1"/>
  <c r="FG29" i="1"/>
  <c r="CM29" i="1"/>
  <c r="EF29" i="1"/>
  <c r="P29" i="1"/>
  <c r="HR29" i="1"/>
  <c r="AW29" i="1"/>
  <c r="FM29" i="1"/>
  <c r="GK29" i="1"/>
  <c r="BF29" i="1"/>
  <c r="GZ29" i="1"/>
  <c r="IA29" i="1"/>
  <c r="IY29" i="1"/>
  <c r="GE29" i="1"/>
  <c r="CY29" i="1"/>
  <c r="GB29" i="1"/>
  <c r="S29" i="1"/>
  <c r="BO29" i="1"/>
  <c r="Y29" i="1"/>
  <c r="AE29" i="1"/>
  <c r="BX29" i="1"/>
  <c r="CP29" i="1"/>
  <c r="FA29" i="1"/>
  <c r="FY29" i="1"/>
  <c r="DE29" i="1"/>
  <c r="GQ29" i="1"/>
  <c r="DK29" i="1"/>
  <c r="AQ29" i="1"/>
  <c r="M29" i="1"/>
  <c r="IG29" i="1"/>
  <c r="GT29" i="1"/>
  <c r="HO29" i="1"/>
  <c r="CS29" i="1"/>
  <c r="IS29" i="1"/>
  <c r="G29" i="1"/>
  <c r="GW29" i="1"/>
  <c r="DQ29" i="1"/>
  <c r="HC29" i="1"/>
  <c r="BI29" i="1"/>
  <c r="IJ35" i="1"/>
  <c r="EC35" i="1"/>
  <c r="EI35" i="1"/>
  <c r="GK35" i="1"/>
  <c r="GN35" i="1"/>
  <c r="IS35" i="1"/>
  <c r="AW35" i="1"/>
  <c r="CM35" i="1"/>
  <c r="DW35" i="1"/>
  <c r="CD35" i="1"/>
  <c r="CY35" i="1"/>
  <c r="IJ12" i="1"/>
  <c r="FG12" i="1"/>
  <c r="V12" i="1"/>
  <c r="HU35" i="1"/>
  <c r="EF35" i="1"/>
  <c r="IA35" i="1"/>
  <c r="CS35" i="1"/>
  <c r="CV35" i="1"/>
  <c r="FA35" i="1"/>
  <c r="ID35" i="1"/>
  <c r="DB35" i="1"/>
  <c r="FJ35" i="1"/>
  <c r="DK35" i="1"/>
  <c r="DN35" i="1"/>
  <c r="HI12" i="1"/>
  <c r="GE12" i="1"/>
  <c r="DB12" i="1"/>
  <c r="V35" i="1"/>
  <c r="DQ35" i="1"/>
  <c r="IV35" i="1"/>
  <c r="GQ35" i="1"/>
  <c r="JE35" i="1"/>
  <c r="BI35" i="1"/>
  <c r="Y35" i="1"/>
  <c r="GT35" i="1"/>
  <c r="HR35" i="1"/>
  <c r="DZ35" i="1"/>
  <c r="GH35" i="1"/>
  <c r="HL12" i="1"/>
  <c r="IM12" i="1"/>
  <c r="GE35" i="1"/>
  <c r="BL35" i="1"/>
  <c r="AN35" i="1"/>
  <c r="GZ35" i="1"/>
  <c r="FM35" i="1"/>
  <c r="JH35" i="1"/>
  <c r="J35" i="1"/>
  <c r="JB35" i="1"/>
  <c r="IP35" i="1"/>
  <c r="G35" i="1"/>
  <c r="IS12" i="1"/>
  <c r="AQ12" i="1"/>
  <c r="FD35" i="1"/>
  <c r="HX35" i="1"/>
  <c r="DE35" i="1"/>
  <c r="HC35" i="1"/>
  <c r="DH35" i="1"/>
  <c r="BU35" i="1"/>
  <c r="FP35" i="1"/>
  <c r="M35" i="1"/>
  <c r="AE35" i="1"/>
  <c r="IY35" i="1"/>
  <c r="EX35" i="1"/>
  <c r="AK12" i="1"/>
  <c r="CA12" i="1"/>
  <c r="GW35" i="1"/>
  <c r="HI35" i="1"/>
  <c r="IM35" i="1"/>
  <c r="HL35" i="1"/>
  <c r="P35" i="1"/>
  <c r="FS35" i="1"/>
  <c r="BX35" i="1"/>
  <c r="FV35" i="1"/>
  <c r="AT35" i="1"/>
  <c r="S35" i="1"/>
  <c r="HF35" i="1"/>
  <c r="P12" i="1"/>
  <c r="DZ12" i="1"/>
  <c r="FG35" i="1"/>
  <c r="EU35" i="1"/>
  <c r="AZ35" i="1"/>
  <c r="DT35" i="1"/>
  <c r="FY35" i="1"/>
  <c r="GB35" i="1"/>
  <c r="IG35" i="1"/>
  <c r="AQ35" i="1"/>
  <c r="CA35" i="1"/>
  <c r="AH35" i="1"/>
  <c r="GZ12" i="1"/>
  <c r="AB12" i="1"/>
  <c r="HF12" i="1"/>
  <c r="BU28" i="1"/>
  <c r="FJ28" i="1"/>
  <c r="ID28" i="1"/>
  <c r="IG28" i="1"/>
  <c r="BF28" i="1"/>
  <c r="CG28" i="1"/>
  <c r="GH28" i="1"/>
  <c r="J28" i="1"/>
  <c r="IA28" i="1"/>
  <c r="AE28" i="1"/>
  <c r="IV28" i="1"/>
  <c r="IM28" i="1"/>
  <c r="FS11" i="1"/>
  <c r="S28" i="1"/>
  <c r="CP28" i="1"/>
  <c r="G28" i="1"/>
  <c r="GN28" i="1"/>
  <c r="DK28" i="1"/>
  <c r="EC28" i="1"/>
  <c r="EX28" i="1"/>
  <c r="CD28" i="1"/>
  <c r="AB28" i="1"/>
  <c r="DB28" i="1"/>
  <c r="Y28" i="1"/>
  <c r="BI28" i="1"/>
  <c r="BC28" i="1"/>
  <c r="EI28" i="1"/>
  <c r="FY28" i="1"/>
  <c r="FD28" i="1"/>
  <c r="AB11" i="1"/>
  <c r="AW28" i="1"/>
  <c r="CS28" i="1"/>
  <c r="FS28" i="1"/>
  <c r="CV28" i="1"/>
  <c r="IP28" i="1"/>
  <c r="FV28" i="1"/>
  <c r="DT28" i="1"/>
  <c r="GT28" i="1"/>
  <c r="V28" i="1"/>
  <c r="GE28" i="1"/>
  <c r="CY28" i="1"/>
  <c r="GW28" i="1"/>
  <c r="EL28" i="1"/>
  <c r="JB28" i="1"/>
  <c r="GK28" i="1"/>
  <c r="CJ28" i="1"/>
  <c r="P28" i="1"/>
  <c r="HL28" i="1"/>
  <c r="AN28" i="1"/>
  <c r="DN28" i="1"/>
  <c r="AH28" i="1"/>
  <c r="AQ28" i="1"/>
  <c r="BR11" i="1"/>
  <c r="IY28" i="1"/>
  <c r="FM28" i="1"/>
  <c r="IJ28" i="1"/>
  <c r="HI28" i="1"/>
  <c r="JH28" i="1"/>
  <c r="BO28" i="1"/>
  <c r="AT28" i="1"/>
  <c r="GB28" i="1"/>
  <c r="DH28" i="1"/>
  <c r="FG28" i="1"/>
  <c r="EF28" i="1"/>
  <c r="HF28" i="1"/>
  <c r="DZ28" i="1"/>
  <c r="EU28" i="1"/>
  <c r="DZ11" i="1"/>
  <c r="DQ28" i="1"/>
  <c r="DE28" i="1"/>
  <c r="EO28" i="1"/>
  <c r="HC28" i="1"/>
  <c r="HU28" i="1"/>
  <c r="FP28" i="1"/>
  <c r="HO28" i="1"/>
  <c r="GZ28" i="1"/>
  <c r="DW28" i="1"/>
  <c r="HX28" i="1"/>
  <c r="AZ28" i="1"/>
  <c r="HR28" i="1"/>
  <c r="HU11" i="1"/>
  <c r="M23" i="1"/>
  <c r="DE23" i="1"/>
  <c r="GE23" i="1"/>
  <c r="BX23" i="1"/>
  <c r="GT23" i="1"/>
  <c r="FP23" i="1"/>
  <c r="AE23" i="1"/>
  <c r="O14" i="45"/>
  <c r="IV23" i="1"/>
  <c r="IP23" i="1"/>
  <c r="EL23" i="1"/>
  <c r="Y23" i="1"/>
  <c r="DQ23" i="1"/>
  <c r="HF23" i="1"/>
  <c r="CJ23" i="1"/>
  <c r="HU23" i="1"/>
  <c r="AQ23" i="1"/>
  <c r="EI23" i="1"/>
  <c r="JB23" i="1"/>
  <c r="HX23" i="1"/>
  <c r="FD23" i="1"/>
  <c r="CP23" i="1"/>
  <c r="FY23" i="1"/>
  <c r="AK23" i="1"/>
  <c r="EC23" i="1"/>
  <c r="IG23" i="1"/>
  <c r="CV23" i="1"/>
  <c r="FG23" i="1"/>
  <c r="BC23" i="1"/>
  <c r="EU23" i="1"/>
  <c r="IJ23" i="1"/>
  <c r="HC23" i="1"/>
  <c r="V23" i="1"/>
  <c r="HO23" i="1"/>
  <c r="AW23" i="1"/>
  <c r="EO23" i="1"/>
  <c r="P23" i="1"/>
  <c r="DH23" i="1"/>
  <c r="GH23" i="1"/>
  <c r="BO23" i="1"/>
  <c r="FV23" i="1"/>
  <c r="CD11" i="1"/>
  <c r="HL23" i="1"/>
  <c r="AH23" i="1"/>
  <c r="DN23" i="1"/>
  <c r="J23" i="1"/>
  <c r="BI23" i="1"/>
  <c r="FA23" i="1"/>
  <c r="AB23" i="1"/>
  <c r="DT23" i="1"/>
  <c r="HI23" i="1"/>
  <c r="CA23" i="1"/>
  <c r="GW23" i="1"/>
  <c r="GN23" i="1"/>
  <c r="DZ23" i="1"/>
  <c r="ID23" i="1"/>
  <c r="DB23" i="1"/>
  <c r="BU23" i="1"/>
  <c r="GQ23" i="1"/>
  <c r="AN23" i="1"/>
  <c r="EF23" i="1"/>
  <c r="IY23" i="1"/>
  <c r="CM23" i="1"/>
  <c r="IM23" i="1"/>
  <c r="CG11" i="1"/>
  <c r="GZ23" i="1"/>
  <c r="BF23" i="1"/>
  <c r="JH23" i="1"/>
  <c r="JE23" i="1"/>
  <c r="CG23" i="1"/>
  <c r="HR23" i="1"/>
  <c r="AZ23" i="1"/>
  <c r="ER23" i="1"/>
  <c r="G23" i="1"/>
  <c r="CY23" i="1"/>
  <c r="FJ23" i="1"/>
  <c r="GB11" i="1"/>
  <c r="GB23" i="1"/>
  <c r="FM23" i="1"/>
  <c r="CD23" i="1"/>
  <c r="BR23" i="1"/>
  <c r="CS23" i="1"/>
  <c r="IS23" i="1"/>
  <c r="BL23" i="1"/>
  <c r="FS23" i="1"/>
  <c r="S23" i="1"/>
  <c r="DK23" i="1"/>
  <c r="FJ11" i="1"/>
  <c r="HI11" i="1"/>
  <c r="ER11" i="1"/>
  <c r="EI11" i="1"/>
  <c r="R14" i="45"/>
  <c r="FJ27" i="1"/>
  <c r="JB27" i="1"/>
  <c r="JE27" i="1"/>
  <c r="Y27" i="1"/>
  <c r="IP27" i="1"/>
  <c r="GZ27" i="1"/>
  <c r="HX27" i="1"/>
  <c r="IY27" i="1"/>
  <c r="GK27" i="1"/>
  <c r="HU27" i="1"/>
  <c r="DW27" i="1"/>
  <c r="DB11" i="1"/>
  <c r="IS11" i="1"/>
  <c r="FY11" i="1"/>
  <c r="V11" i="1"/>
  <c r="IP11" i="1"/>
  <c r="BI11" i="1"/>
  <c r="FD11" i="1"/>
  <c r="IV11" i="1"/>
  <c r="EU11" i="1"/>
  <c r="CA11" i="1"/>
  <c r="GW11" i="1"/>
  <c r="IG11" i="1"/>
  <c r="AW11" i="1"/>
  <c r="IJ11" i="1"/>
  <c r="BO11" i="1"/>
  <c r="G14" i="45"/>
  <c r="FP27" i="1"/>
  <c r="JH27" i="1"/>
  <c r="DK27" i="1"/>
  <c r="DB27" i="1"/>
  <c r="CJ27" i="1"/>
  <c r="DE27" i="1"/>
  <c r="AK27" i="1"/>
  <c r="DZ27" i="1"/>
  <c r="BI27" i="1"/>
  <c r="AW27" i="1"/>
  <c r="EO27" i="1"/>
  <c r="GH11" i="1"/>
  <c r="AH11" i="1"/>
  <c r="HF11" i="1"/>
  <c r="FV11" i="1"/>
  <c r="JE11" i="1"/>
  <c r="BU11" i="1"/>
  <c r="FP11" i="1"/>
  <c r="JH11" i="1"/>
  <c r="FG11" i="1"/>
  <c r="GW27" i="1"/>
  <c r="GE27" i="1"/>
  <c r="BO27" i="1"/>
  <c r="DT27" i="1"/>
  <c r="DQ27" i="1"/>
  <c r="CA27" i="1"/>
  <c r="HF27" i="1"/>
  <c r="BL27" i="1"/>
  <c r="AE27" i="1"/>
  <c r="AH27" i="1"/>
  <c r="IG27" i="1"/>
  <c r="EL11" i="1"/>
  <c r="HR11" i="1"/>
  <c r="JB11" i="1"/>
  <c r="DQ11" i="1"/>
  <c r="AT11" i="1"/>
  <c r="CS11" i="1"/>
  <c r="GN11" i="1"/>
  <c r="AZ11" i="1"/>
  <c r="IA11" i="1"/>
  <c r="V27" i="1"/>
  <c r="GK11" i="1"/>
  <c r="BF11" i="1"/>
  <c r="ID11" i="1"/>
  <c r="EX11" i="1"/>
  <c r="M11" i="1"/>
  <c r="DE11" i="1"/>
  <c r="GZ11" i="1"/>
  <c r="BL11" i="1"/>
  <c r="IM11" i="1"/>
  <c r="CP11" i="1"/>
  <c r="DN11" i="1"/>
  <c r="P11" i="1"/>
  <c r="FM11" i="1"/>
  <c r="Y11" i="1"/>
  <c r="DT11" i="1"/>
  <c r="HL11" i="1"/>
  <c r="BX11" i="1"/>
  <c r="IY11" i="1"/>
  <c r="ID27" i="1"/>
  <c r="CD27" i="1"/>
  <c r="M27" i="1"/>
  <c r="CV27" i="1"/>
  <c r="FG27" i="1"/>
  <c r="P27" i="1"/>
  <c r="AN27" i="1"/>
  <c r="IJ27" i="1"/>
  <c r="CS27" i="1"/>
  <c r="EC27" i="1"/>
  <c r="FA11" i="1"/>
  <c r="EC11" i="1"/>
  <c r="EO11" i="1"/>
  <c r="GT11" i="1"/>
  <c r="AK11" i="1"/>
  <c r="EF11" i="1"/>
  <c r="HX11" i="1"/>
  <c r="CJ11" i="1"/>
  <c r="G11" i="1"/>
  <c r="FS33" i="1"/>
  <c r="IA33" i="1"/>
  <c r="AQ33" i="1"/>
  <c r="DZ33" i="1"/>
  <c r="BO33" i="1"/>
  <c r="DN33" i="1"/>
  <c r="CG33" i="1"/>
  <c r="EF33" i="1"/>
  <c r="DQ33" i="1"/>
  <c r="AW33" i="1"/>
  <c r="GN33" i="1"/>
  <c r="AN33" i="1"/>
  <c r="EL33" i="1"/>
  <c r="GT33" i="1"/>
  <c r="J33" i="1"/>
  <c r="BC33" i="1"/>
  <c r="GQ33" i="1"/>
  <c r="AK33" i="1"/>
  <c r="FY33" i="1"/>
  <c r="HX33" i="1"/>
  <c r="HI33" i="1"/>
  <c r="BX33" i="1"/>
  <c r="IG33" i="1"/>
  <c r="DW33" i="1"/>
  <c r="GE33" i="1"/>
  <c r="HC33" i="1"/>
  <c r="AH33" i="1"/>
  <c r="FV33" i="1"/>
  <c r="BU33" i="1"/>
  <c r="AB33" i="1"/>
  <c r="DE33" i="1"/>
  <c r="BL33" i="1"/>
  <c r="BI33" i="1"/>
  <c r="FA33" i="1"/>
  <c r="IP33" i="1"/>
  <c r="HF33" i="1"/>
  <c r="CV33" i="1"/>
  <c r="CP33" i="1"/>
  <c r="EX33" i="1"/>
  <c r="DK33" i="1"/>
  <c r="JB33" i="1"/>
  <c r="CY33" i="1"/>
  <c r="FM33" i="1"/>
  <c r="DT33" i="1"/>
  <c r="GW33" i="1"/>
  <c r="FD33" i="1"/>
  <c r="CJ33" i="1"/>
  <c r="GB33" i="1"/>
  <c r="GZ33" i="1"/>
  <c r="JH33" i="1"/>
  <c r="CA33" i="1"/>
  <c r="EI33" i="1"/>
  <c r="S33" i="1"/>
  <c r="FJ33" i="1"/>
  <c r="CD33" i="1"/>
  <c r="JE33" i="1"/>
  <c r="HL33" i="1"/>
  <c r="AZ33" i="1"/>
  <c r="IV33" i="1"/>
  <c r="EC33" i="1"/>
  <c r="BF33" i="1"/>
  <c r="HU33" i="1"/>
  <c r="ID33" i="1"/>
  <c r="AT33" i="1"/>
  <c r="DB33" i="1"/>
  <c r="IM33" i="1"/>
  <c r="BR33" i="1"/>
  <c r="G33" i="1"/>
  <c r="P33" i="1"/>
  <c r="CS33" i="1"/>
  <c r="ER33" i="1"/>
  <c r="Y33" i="1"/>
  <c r="EO33" i="1"/>
  <c r="FG33" i="1"/>
  <c r="HO33" i="1"/>
  <c r="AE33" i="1"/>
  <c r="CM33" i="1"/>
  <c r="HR33" i="1"/>
  <c r="IY33" i="1"/>
  <c r="V33" i="1"/>
  <c r="DH33" i="1"/>
  <c r="GK33" i="1"/>
  <c r="IJ33" i="1"/>
  <c r="IS33" i="1"/>
  <c r="FP33" i="1"/>
  <c r="GH33" i="1"/>
  <c r="EU33" i="1"/>
  <c r="M33" i="1"/>
  <c r="A22" i="48"/>
  <c r="A23" i="48" s="1"/>
  <c r="CV11" i="1"/>
  <c r="GE11" i="1"/>
  <c r="S11" i="1"/>
  <c r="DH11" i="1"/>
  <c r="GQ11" i="1"/>
  <c r="AE11" i="1"/>
  <c r="DK11" i="1"/>
  <c r="HC11" i="1"/>
  <c r="AQ11" i="1"/>
  <c r="AN11" i="1"/>
  <c r="DW11" i="1"/>
  <c r="HO11" i="1"/>
  <c r="BC11" i="1"/>
  <c r="CM11" i="1"/>
  <c r="O13" i="45"/>
  <c r="R13" i="45"/>
  <c r="K13" i="45"/>
  <c r="G13" i="45"/>
  <c r="O12" i="45"/>
  <c r="G12" i="45"/>
  <c r="K12" i="45"/>
  <c r="R12" i="45"/>
  <c r="EO12" i="1"/>
  <c r="DQ12" i="1"/>
  <c r="M12" i="1"/>
  <c r="BL12" i="1"/>
  <c r="GQ12" i="1"/>
  <c r="CM12" i="1"/>
  <c r="ID12" i="1"/>
  <c r="GK12" i="1"/>
  <c r="GB12" i="1"/>
  <c r="Y12" i="1"/>
  <c r="BX12" i="1"/>
  <c r="HC12" i="1"/>
  <c r="DN12" i="1"/>
  <c r="J12" i="1"/>
  <c r="IG12" i="1"/>
  <c r="JE12" i="1"/>
  <c r="BU12" i="1"/>
  <c r="DH12" i="1"/>
  <c r="IY12" i="1"/>
  <c r="EL12" i="1"/>
  <c r="AT12" i="1"/>
  <c r="ER12" i="1"/>
  <c r="DT12" i="1"/>
  <c r="CG12" i="1"/>
  <c r="DK12" i="1"/>
  <c r="S12" i="1"/>
  <c r="FV12" i="1"/>
  <c r="BF12" i="1"/>
  <c r="FY12" i="1"/>
  <c r="FA12" i="1"/>
  <c r="DE12" i="1"/>
  <c r="EU12" i="1"/>
  <c r="AE12" i="1"/>
  <c r="GH12" i="1"/>
  <c r="BR12" i="1"/>
  <c r="FD12" i="1"/>
  <c r="GN12" i="1"/>
  <c r="HX12" i="1"/>
  <c r="JH12" i="1"/>
  <c r="CS12" i="1"/>
  <c r="CJ12" i="1"/>
  <c r="FS12" i="1"/>
  <c r="G12" i="1"/>
  <c r="CY12" i="1"/>
  <c r="GT12" i="1"/>
  <c r="AH12" i="1"/>
  <c r="IV12" i="1"/>
  <c r="EF12" i="1"/>
  <c r="FP12" i="1"/>
  <c r="AW12" i="1"/>
  <c r="AN12" i="1"/>
  <c r="DW12" i="1"/>
  <c r="HO12" i="1"/>
  <c r="BC12" i="1"/>
  <c r="EX12" i="1"/>
  <c r="IP12" i="1"/>
  <c r="CD12" i="1"/>
  <c r="EC12" i="1"/>
  <c r="FM12" i="1"/>
  <c r="GW12" i="1"/>
  <c r="BI12" i="1"/>
  <c r="AZ12" i="1"/>
  <c r="EI12" i="1"/>
  <c r="IA12" i="1"/>
  <c r="BO12" i="1"/>
  <c r="FJ12" i="1"/>
  <c r="JB12" i="1"/>
  <c r="O11" i="45"/>
  <c r="G11" i="45"/>
  <c r="K11" i="45"/>
  <c r="R11" i="45"/>
  <c r="O10" i="45"/>
  <c r="G10" i="45"/>
  <c r="K10" i="45"/>
  <c r="R10" i="45"/>
  <c r="K9" i="45"/>
  <c r="O9" i="45"/>
  <c r="G9" i="45"/>
  <c r="R9" i="45"/>
  <c r="R41" i="48"/>
  <c r="BC41" i="48" s="1"/>
  <c r="E14" i="1"/>
  <c r="F5" i="55"/>
  <c r="G5" i="55" s="1"/>
  <c r="F4" i="55"/>
  <c r="F32" i="55"/>
  <c r="F18" i="55"/>
  <c r="G18" i="55" s="1"/>
  <c r="F27" i="55"/>
  <c r="F29" i="55"/>
  <c r="F7" i="55"/>
  <c r="G7" i="55" s="1"/>
  <c r="F23" i="55"/>
  <c r="F16" i="55"/>
  <c r="F39" i="55"/>
  <c r="F24" i="55"/>
  <c r="F36" i="55"/>
  <c r="F20" i="55"/>
  <c r="F38" i="55"/>
  <c r="F9" i="55"/>
  <c r="G9" i="55" s="1"/>
  <c r="F28" i="55"/>
  <c r="F21" i="55"/>
  <c r="F10" i="55"/>
  <c r="G10" i="55" s="1"/>
  <c r="F17" i="55"/>
  <c r="F6" i="55"/>
  <c r="G6" i="55" s="1"/>
  <c r="F25" i="55"/>
  <c r="F19" i="55"/>
  <c r="F31" i="55"/>
  <c r="F30" i="55"/>
  <c r="F35" i="55"/>
  <c r="F34" i="55"/>
  <c r="F37" i="55"/>
  <c r="F8" i="55"/>
  <c r="G8" i="55" s="1"/>
  <c r="F11" i="55"/>
  <c r="G11" i="55" s="1"/>
  <c r="F26" i="55"/>
  <c r="F33" i="55"/>
  <c r="F22" i="55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IP15" i="1"/>
  <c r="GZ15" i="1"/>
  <c r="FY15" i="1"/>
  <c r="EX15" i="1"/>
  <c r="DH15" i="1"/>
  <c r="JB15" i="1"/>
  <c r="HL15" i="1"/>
  <c r="GK15" i="1"/>
  <c r="FJ15" i="1"/>
  <c r="DT15" i="1"/>
  <c r="CS15" i="1"/>
  <c r="CG15" i="1"/>
  <c r="BU15" i="1"/>
  <c r="BI15" i="1"/>
  <c r="AW15" i="1"/>
  <c r="AK15" i="1"/>
  <c r="Y15" i="1"/>
  <c r="M15" i="1"/>
  <c r="HX15" i="1"/>
  <c r="GW15" i="1"/>
  <c r="FV15" i="1"/>
  <c r="EF15" i="1"/>
  <c r="DE15" i="1"/>
  <c r="IJ15" i="1"/>
  <c r="HI15" i="1"/>
  <c r="GH15" i="1"/>
  <c r="ER15" i="1"/>
  <c r="DQ15" i="1"/>
  <c r="CP15" i="1"/>
  <c r="CD15" i="1"/>
  <c r="BR15" i="1"/>
  <c r="BF15" i="1"/>
  <c r="AT15" i="1"/>
  <c r="AH15" i="1"/>
  <c r="V15" i="1"/>
  <c r="J15" i="1"/>
  <c r="IV15" i="1"/>
  <c r="HU15" i="1"/>
  <c r="GT15" i="1"/>
  <c r="FD15" i="1"/>
  <c r="EC15" i="1"/>
  <c r="DB15" i="1"/>
  <c r="IS15" i="1"/>
  <c r="HR15" i="1"/>
  <c r="GB15" i="1"/>
  <c r="FA15" i="1"/>
  <c r="DZ15" i="1"/>
  <c r="IG15" i="1"/>
  <c r="EL15" i="1"/>
  <c r="CV15" i="1"/>
  <c r="BO15" i="1"/>
  <c r="AZ15" i="1"/>
  <c r="S15" i="1"/>
  <c r="DN15" i="1"/>
  <c r="FM15" i="1"/>
  <c r="JE15" i="1"/>
  <c r="ID15" i="1"/>
  <c r="GN15" i="1"/>
  <c r="CA15" i="1"/>
  <c r="BL15" i="1"/>
  <c r="AE15" i="1"/>
  <c r="P15" i="1"/>
  <c r="JH15" i="1"/>
  <c r="HF15" i="1"/>
  <c r="FP15" i="1"/>
  <c r="CM15" i="1"/>
  <c r="BX15" i="1"/>
  <c r="AQ15" i="1"/>
  <c r="AB15" i="1"/>
  <c r="EO15" i="1"/>
  <c r="CJ15" i="1"/>
  <c r="BC15" i="1"/>
  <c r="AN15" i="1"/>
  <c r="G15" i="1"/>
  <c r="I10" i="48"/>
  <c r="E10" i="1"/>
  <c r="E11" i="2" s="1"/>
  <c r="BM11" i="2" s="1"/>
  <c r="E36" i="2"/>
  <c r="BM36" i="2" s="1"/>
  <c r="J20" i="7"/>
  <c r="J20" i="6" s="1"/>
  <c r="J20" i="37" s="1"/>
  <c r="J20" i="4" s="1"/>
  <c r="J20" i="43" s="1"/>
  <c r="K56" i="32"/>
  <c r="J8" i="7"/>
  <c r="J8" i="6" s="1"/>
  <c r="J8" i="37" s="1"/>
  <c r="J8" i="4" s="1"/>
  <c r="J8" i="43" s="1"/>
  <c r="J41" i="32"/>
  <c r="J21" i="7"/>
  <c r="J21" i="6" s="1"/>
  <c r="J21" i="37" s="1"/>
  <c r="J21" i="4" s="1"/>
  <c r="J21" i="43" s="1"/>
  <c r="J9" i="7"/>
  <c r="J9" i="6" s="1"/>
  <c r="J9" i="37" s="1"/>
  <c r="J9" i="4" s="1"/>
  <c r="J9" i="43" s="1"/>
  <c r="J18" i="9"/>
  <c r="J18" i="8" s="1"/>
  <c r="J18" i="7" s="1"/>
  <c r="J18" i="6" s="1"/>
  <c r="J18" i="37" s="1"/>
  <c r="J18" i="4" s="1"/>
  <c r="J18" i="43" s="1"/>
  <c r="J16" i="9"/>
  <c r="J16" i="8" s="1"/>
  <c r="J16" i="7" s="1"/>
  <c r="J16" i="6" s="1"/>
  <c r="J16" i="37" s="1"/>
  <c r="J16" i="4" s="1"/>
  <c r="J16" i="43" s="1"/>
  <c r="J12" i="9"/>
  <c r="J12" i="8" s="1"/>
  <c r="J12" i="7" s="1"/>
  <c r="J12" i="6" s="1"/>
  <c r="J12" i="37" s="1"/>
  <c r="J12" i="4" s="1"/>
  <c r="J12" i="43" s="1"/>
  <c r="J40" i="31"/>
  <c r="J40" i="30" s="1"/>
  <c r="J45" i="30" s="1"/>
  <c r="AJ10" i="48"/>
  <c r="BC10" i="48"/>
  <c r="J11" i="9"/>
  <c r="J11" i="8" s="1"/>
  <c r="J11" i="7" s="1"/>
  <c r="J11" i="6" s="1"/>
  <c r="J11" i="37" s="1"/>
  <c r="J11" i="4" s="1"/>
  <c r="J11" i="43" s="1"/>
  <c r="J19" i="9"/>
  <c r="J19" i="7" s="1"/>
  <c r="J19" i="6" s="1"/>
  <c r="J19" i="37" s="1"/>
  <c r="J19" i="4" s="1"/>
  <c r="J19" i="43" s="1"/>
  <c r="AD10" i="48"/>
  <c r="J48" i="32"/>
  <c r="J14" i="9"/>
  <c r="J14" i="8" s="1"/>
  <c r="J14" i="7" s="1"/>
  <c r="J14" i="6" s="1"/>
  <c r="J14" i="37" s="1"/>
  <c r="J14" i="4" s="1"/>
  <c r="J14" i="43" s="1"/>
  <c r="J17" i="9"/>
  <c r="J17" i="8" s="1"/>
  <c r="J17" i="7" s="1"/>
  <c r="J17" i="6" s="1"/>
  <c r="J17" i="37" s="1"/>
  <c r="J17" i="4" s="1"/>
  <c r="J17" i="43" s="1"/>
  <c r="S10" i="48"/>
  <c r="BD10" i="48" s="1"/>
  <c r="J15" i="9"/>
  <c r="J15" i="8" s="1"/>
  <c r="J15" i="7" s="1"/>
  <c r="J15" i="6" s="1"/>
  <c r="J15" i="37" s="1"/>
  <c r="J15" i="4" s="1"/>
  <c r="J15" i="43" s="1"/>
  <c r="J45" i="32"/>
  <c r="J10" i="48"/>
  <c r="J13" i="9"/>
  <c r="J13" i="8" s="1"/>
  <c r="J13" i="7" s="1"/>
  <c r="J13" i="6" s="1"/>
  <c r="J13" i="37" s="1"/>
  <c r="J13" i="4" s="1"/>
  <c r="J13" i="43" s="1"/>
  <c r="J10" i="9"/>
  <c r="J10" i="8" s="1"/>
  <c r="J10" i="7" s="1"/>
  <c r="J10" i="6" s="1"/>
  <c r="J10" i="37" s="1"/>
  <c r="J10" i="4" s="1"/>
  <c r="J10" i="43" s="1"/>
  <c r="E30" i="2"/>
  <c r="BM30" i="2" s="1"/>
  <c r="E32" i="2"/>
  <c r="BM32" i="2" s="1"/>
  <c r="E31" i="2"/>
  <c r="BM31" i="2" s="1"/>
  <c r="E24" i="2"/>
  <c r="BM24" i="2" s="1"/>
  <c r="E28" i="2"/>
  <c r="BM28" i="2" s="1"/>
  <c r="E27" i="2"/>
  <c r="BM27" i="2" s="1"/>
  <c r="E29" i="2"/>
  <c r="BM29" i="2" s="1"/>
  <c r="G16" i="45"/>
  <c r="K16" i="45"/>
  <c r="O16" i="45"/>
  <c r="R16" i="45"/>
  <c r="K18" i="45"/>
  <c r="G18" i="45"/>
  <c r="O18" i="45"/>
  <c r="R18" i="45"/>
  <c r="E20" i="2"/>
  <c r="BM20" i="2" s="1"/>
  <c r="E18" i="2"/>
  <c r="BM18" i="2" s="1"/>
  <c r="E17" i="2"/>
  <c r="BM17" i="2" s="1"/>
  <c r="K15" i="45"/>
  <c r="G15" i="45"/>
  <c r="O15" i="45"/>
  <c r="R15" i="45"/>
  <c r="AA162" i="46"/>
  <c r="AA163" i="46" s="1"/>
  <c r="X173" i="46" s="1"/>
  <c r="AB162" i="46"/>
  <c r="I4" i="56" s="1"/>
  <c r="E14" i="55" s="1"/>
  <c r="F14" i="55" s="1"/>
  <c r="G14" i="55" s="1"/>
  <c r="T4" i="56"/>
  <c r="N14" i="55" s="1"/>
  <c r="AB163" i="57"/>
  <c r="X174" i="57" s="1"/>
  <c r="T2" i="56"/>
  <c r="N12" i="55" s="1"/>
  <c r="Z163" i="57"/>
  <c r="X171" i="57" s="1"/>
  <c r="E16" i="2"/>
  <c r="BM16" i="2" s="1"/>
  <c r="C40" i="45"/>
  <c r="G40" i="45" s="1"/>
  <c r="BC14" i="48"/>
  <c r="J14" i="48"/>
  <c r="AJ14" i="48"/>
  <c r="AD14" i="48"/>
  <c r="I14" i="48"/>
  <c r="Z163" i="46"/>
  <c r="X171" i="46" s="1"/>
  <c r="I2" i="56"/>
  <c r="E12" i="55" s="1"/>
  <c r="E14" i="2"/>
  <c r="BM14" i="2" s="1"/>
  <c r="E13" i="2"/>
  <c r="BM13" i="2" s="1"/>
  <c r="E12" i="2"/>
  <c r="BM12" i="2" s="1"/>
  <c r="AA163" i="57"/>
  <c r="X173" i="57" s="1"/>
  <c r="U3" i="56"/>
  <c r="O13" i="55" s="1"/>
  <c r="P13" i="55" s="1"/>
  <c r="AI10" i="48"/>
  <c r="M11" i="48"/>
  <c r="M12" i="48" s="1"/>
  <c r="J49" i="32"/>
  <c r="J50" i="32" s="1"/>
  <c r="I50" i="22"/>
  <c r="I51" i="22"/>
  <c r="I50" i="7"/>
  <c r="I51" i="7"/>
  <c r="U10" i="48"/>
  <c r="W10" i="48" s="1"/>
  <c r="V10" i="48"/>
  <c r="X10" i="48"/>
  <c r="V35" i="48"/>
  <c r="X35" i="48"/>
  <c r="V21" i="48"/>
  <c r="X21" i="48"/>
  <c r="E43" i="26"/>
  <c r="E39" i="26"/>
  <c r="D48" i="28"/>
  <c r="E48" i="28" s="1"/>
  <c r="M8" i="27"/>
  <c r="M8" i="28" s="1"/>
  <c r="M34" i="29"/>
  <c r="D41" i="28"/>
  <c r="E41" i="28" s="1"/>
  <c r="E41" i="27"/>
  <c r="J56" i="28"/>
  <c r="J56" i="26" s="1"/>
  <c r="J43" i="28"/>
  <c r="J44" i="28" s="1"/>
  <c r="J44" i="27"/>
  <c r="D38" i="26"/>
  <c r="D38" i="25" s="1"/>
  <c r="E38" i="28"/>
  <c r="E52" i="29"/>
  <c r="E53" i="29" s="1"/>
  <c r="E50" i="27"/>
  <c r="D50" i="28"/>
  <c r="E50" i="28" s="1"/>
  <c r="D43" i="24"/>
  <c r="E43" i="24" s="1"/>
  <c r="E43" i="25"/>
  <c r="E42" i="27"/>
  <c r="D42" i="28"/>
  <c r="D42" i="26" s="1"/>
  <c r="D52" i="27"/>
  <c r="D53" i="27" s="1"/>
  <c r="D47" i="25"/>
  <c r="D47" i="24" s="1"/>
  <c r="E47" i="26"/>
  <c r="E46" i="27"/>
  <c r="D46" i="28"/>
  <c r="E46" i="28" s="1"/>
  <c r="D51" i="26"/>
  <c r="E51" i="26" s="1"/>
  <c r="E51" i="28"/>
  <c r="D40" i="26"/>
  <c r="D40" i="25" s="1"/>
  <c r="E40" i="28"/>
  <c r="D44" i="25"/>
  <c r="E44" i="25" s="1"/>
  <c r="E44" i="26"/>
  <c r="D45" i="24"/>
  <c r="D45" i="23" s="1"/>
  <c r="E45" i="25"/>
  <c r="A16" i="2" s="1"/>
  <c r="J37" i="27"/>
  <c r="J39" i="27" s="1"/>
  <c r="J39" i="29"/>
  <c r="J57" i="28"/>
  <c r="J57" i="26" s="1"/>
  <c r="D49" i="25"/>
  <c r="E49" i="25" s="1"/>
  <c r="E49" i="26"/>
  <c r="D39" i="24"/>
  <c r="E39" i="24" s="1"/>
  <c r="E39" i="25"/>
  <c r="M7" i="25"/>
  <c r="M7" i="24" s="1"/>
  <c r="J47" i="28"/>
  <c r="J46" i="26"/>
  <c r="J47" i="26" s="1"/>
  <c r="J57" i="14"/>
  <c r="J57" i="13" s="1"/>
  <c r="AC14" i="48"/>
  <c r="Q15" i="48"/>
  <c r="AC15" i="48" s="1"/>
  <c r="E15" i="2"/>
  <c r="BM15" i="2" s="1"/>
  <c r="A24" i="48" l="1"/>
  <c r="A25" i="48" s="1"/>
  <c r="J41" i="31"/>
  <c r="AI11" i="48"/>
  <c r="J43" i="26"/>
  <c r="J44" i="26" s="1"/>
  <c r="D48" i="26"/>
  <c r="D48" i="25" s="1"/>
  <c r="E48" i="25" s="1"/>
  <c r="J37" i="28"/>
  <c r="J37" i="26" s="1"/>
  <c r="J37" i="25" s="1"/>
  <c r="AE10" i="48"/>
  <c r="AJ41" i="48"/>
  <c r="I41" i="48"/>
  <c r="AD41" i="48"/>
  <c r="J41" i="48"/>
  <c r="J48" i="30"/>
  <c r="J41" i="30"/>
  <c r="K56" i="31"/>
  <c r="J45" i="31"/>
  <c r="K57" i="30"/>
  <c r="D43" i="23"/>
  <c r="E43" i="23" s="1"/>
  <c r="J40" i="29"/>
  <c r="J41" i="29" s="1"/>
  <c r="K57" i="31"/>
  <c r="K56" i="30"/>
  <c r="J48" i="31"/>
  <c r="D46" i="26"/>
  <c r="E46" i="26" s="1"/>
  <c r="D51" i="25"/>
  <c r="E51" i="25" s="1"/>
  <c r="U2" i="56"/>
  <c r="O12" i="55" s="1"/>
  <c r="P12" i="55" s="1"/>
  <c r="AK10" i="48"/>
  <c r="S11" i="48"/>
  <c r="K11" i="48" s="1"/>
  <c r="K10" i="48"/>
  <c r="J46" i="25"/>
  <c r="J46" i="24" s="1"/>
  <c r="J47" i="24" s="1"/>
  <c r="Y10" i="48"/>
  <c r="X193" i="57"/>
  <c r="X196" i="57" s="1"/>
  <c r="G33" i="55"/>
  <c r="G38" i="55"/>
  <c r="H38" i="55" s="1"/>
  <c r="G36" i="55"/>
  <c r="G31" i="55"/>
  <c r="AB163" i="46"/>
  <c r="X174" i="46" s="1"/>
  <c r="X193" i="46" s="1"/>
  <c r="X196" i="46" s="1"/>
  <c r="I3" i="56"/>
  <c r="E13" i="55" s="1"/>
  <c r="F13" i="55" s="1"/>
  <c r="G13" i="55" s="1"/>
  <c r="U11" i="48"/>
  <c r="W11" i="48" s="1"/>
  <c r="E47" i="25"/>
  <c r="E38" i="26"/>
  <c r="D49" i="24"/>
  <c r="E49" i="24" s="1"/>
  <c r="R40" i="45"/>
  <c r="G19" i="55"/>
  <c r="F12" i="55"/>
  <c r="G12" i="55" s="1"/>
  <c r="D44" i="24"/>
  <c r="A17" i="2" s="1"/>
  <c r="N40" i="55"/>
  <c r="G24" i="55"/>
  <c r="J49" i="31"/>
  <c r="J51" i="31" s="1"/>
  <c r="J2" i="56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DE10" i="1"/>
  <c r="CS10" i="1"/>
  <c r="CG10" i="1"/>
  <c r="BU10" i="1"/>
  <c r="BI10" i="1"/>
  <c r="AW10" i="1"/>
  <c r="AK10" i="1"/>
  <c r="Y10" i="1"/>
  <c r="JE10" i="1"/>
  <c r="IS10" i="1"/>
  <c r="IG10" i="1"/>
  <c r="HU10" i="1"/>
  <c r="HR10" i="1"/>
  <c r="GB10" i="1"/>
  <c r="FA10" i="1"/>
  <c r="DZ10" i="1"/>
  <c r="CV10" i="1"/>
  <c r="BF10" i="1"/>
  <c r="AE10" i="1"/>
  <c r="DN10" i="1"/>
  <c r="AT10" i="1"/>
  <c r="G10" i="1"/>
  <c r="IV10" i="1"/>
  <c r="GN10" i="1"/>
  <c r="FM10" i="1"/>
  <c r="EL10" i="1"/>
  <c r="DH10" i="1"/>
  <c r="BR10" i="1"/>
  <c r="AQ10" i="1"/>
  <c r="P10" i="1"/>
  <c r="HX10" i="1"/>
  <c r="J10" i="1"/>
  <c r="FP10" i="1"/>
  <c r="ID10" i="1"/>
  <c r="GZ10" i="1"/>
  <c r="FY10" i="1"/>
  <c r="EX10" i="1"/>
  <c r="CD10" i="1"/>
  <c r="BC10" i="1"/>
  <c r="AB10" i="1"/>
  <c r="HI10" i="1"/>
  <c r="ER10" i="1"/>
  <c r="CM10" i="1"/>
  <c r="V10" i="1"/>
  <c r="JH10" i="1"/>
  <c r="HL10" i="1"/>
  <c r="GK10" i="1"/>
  <c r="FJ10" i="1"/>
  <c r="DT10" i="1"/>
  <c r="CP10" i="1"/>
  <c r="BO10" i="1"/>
  <c r="AN10" i="1"/>
  <c r="M10" i="1"/>
  <c r="BL10" i="1"/>
  <c r="IP10" i="1"/>
  <c r="GW10" i="1"/>
  <c r="FV10" i="1"/>
  <c r="EF10" i="1"/>
  <c r="DB10" i="1"/>
  <c r="CA10" i="1"/>
  <c r="AZ10" i="1"/>
  <c r="GH10" i="1"/>
  <c r="DQ10" i="1"/>
  <c r="IJ10" i="1"/>
  <c r="HF10" i="1"/>
  <c r="CJ10" i="1"/>
  <c r="S10" i="1"/>
  <c r="JB10" i="1"/>
  <c r="GT10" i="1"/>
  <c r="FD10" i="1"/>
  <c r="EC10" i="1"/>
  <c r="CY10" i="1"/>
  <c r="BX10" i="1"/>
  <c r="AH10" i="1"/>
  <c r="EO10" i="1"/>
  <c r="G4" i="55"/>
  <c r="O40" i="45"/>
  <c r="K40" i="45"/>
  <c r="U4" i="56"/>
  <c r="O14" i="55" s="1"/>
  <c r="P14" i="55" s="1"/>
  <c r="Q14" i="55" s="1"/>
  <c r="Q16" i="48"/>
  <c r="Q17" i="48" s="1"/>
  <c r="E45" i="24"/>
  <c r="D41" i="26"/>
  <c r="D41" i="25" s="1"/>
  <c r="J51" i="32"/>
  <c r="E52" i="27"/>
  <c r="E53" i="27" s="1"/>
  <c r="G16" i="55"/>
  <c r="D39" i="23"/>
  <c r="D39" i="21" s="1"/>
  <c r="E39" i="21" s="1"/>
  <c r="D50" i="26"/>
  <c r="D50" i="25" s="1"/>
  <c r="E50" i="25" s="1"/>
  <c r="M34" i="27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IY14" i="1"/>
  <c r="HC14" i="1"/>
  <c r="FG14" i="1"/>
  <c r="DK14" i="1"/>
  <c r="CY14" i="1"/>
  <c r="CM14" i="1"/>
  <c r="CA14" i="1"/>
  <c r="BO14" i="1"/>
  <c r="BC14" i="1"/>
  <c r="AQ14" i="1"/>
  <c r="AE14" i="1"/>
  <c r="S14" i="1"/>
  <c r="G14" i="1"/>
  <c r="IG14" i="1"/>
  <c r="GK14" i="1"/>
  <c r="EO14" i="1"/>
  <c r="HO14" i="1"/>
  <c r="FS14" i="1"/>
  <c r="DW14" i="1"/>
  <c r="DH14" i="1"/>
  <c r="CV14" i="1"/>
  <c r="CJ14" i="1"/>
  <c r="BX14" i="1"/>
  <c r="BL14" i="1"/>
  <c r="AZ14" i="1"/>
  <c r="AN14" i="1"/>
  <c r="AB14" i="1"/>
  <c r="P14" i="1"/>
  <c r="IS14" i="1"/>
  <c r="GW14" i="1"/>
  <c r="FA14" i="1"/>
  <c r="IA14" i="1"/>
  <c r="GE14" i="1"/>
  <c r="EI14" i="1"/>
  <c r="DE14" i="1"/>
  <c r="CS14" i="1"/>
  <c r="CG14" i="1"/>
  <c r="BU14" i="1"/>
  <c r="BI14" i="1"/>
  <c r="AW14" i="1"/>
  <c r="AK14" i="1"/>
  <c r="Y14" i="1"/>
  <c r="M14" i="1"/>
  <c r="IM14" i="1"/>
  <c r="GQ14" i="1"/>
  <c r="EU14" i="1"/>
  <c r="DB14" i="1"/>
  <c r="CP14" i="1"/>
  <c r="CD14" i="1"/>
  <c r="BR14" i="1"/>
  <c r="BF14" i="1"/>
  <c r="AT14" i="1"/>
  <c r="AH14" i="1"/>
  <c r="V14" i="1"/>
  <c r="J14" i="1"/>
  <c r="HI14" i="1"/>
  <c r="FY14" i="1"/>
  <c r="FM14" i="1"/>
  <c r="HU14" i="1"/>
  <c r="EC14" i="1"/>
  <c r="DQ14" i="1"/>
  <c r="JE14" i="1"/>
  <c r="J4" i="56"/>
  <c r="E40" i="26"/>
  <c r="E42" i="28"/>
  <c r="E52" i="28" s="1"/>
  <c r="E53" i="28" s="1"/>
  <c r="D52" i="28"/>
  <c r="D53" i="28" s="1"/>
  <c r="F11" i="2"/>
  <c r="BN11" i="2" s="1"/>
  <c r="E42" i="2"/>
  <c r="BM42" i="2" s="1"/>
  <c r="AI12" i="48"/>
  <c r="M13" i="48"/>
  <c r="AI13" i="48" s="1"/>
  <c r="M8" i="26"/>
  <c r="M8" i="25" s="1"/>
  <c r="M34" i="28"/>
  <c r="J56" i="25"/>
  <c r="J56" i="24" s="1"/>
  <c r="D38" i="24"/>
  <c r="E38" i="24" s="1"/>
  <c r="E38" i="25"/>
  <c r="E42" i="26"/>
  <c r="D42" i="25"/>
  <c r="D42" i="24" s="1"/>
  <c r="D47" i="23"/>
  <c r="E47" i="23" s="1"/>
  <c r="E47" i="24"/>
  <c r="D40" i="24"/>
  <c r="E40" i="24" s="1"/>
  <c r="E40" i="25"/>
  <c r="E45" i="23"/>
  <c r="D45" i="21"/>
  <c r="A18" i="2" s="1"/>
  <c r="J57" i="25"/>
  <c r="M7" i="23"/>
  <c r="M7" i="21" s="1"/>
  <c r="J57" i="12"/>
  <c r="J57" i="11" s="1"/>
  <c r="J43" i="25" l="1"/>
  <c r="J43" i="24" s="1"/>
  <c r="E48" i="26"/>
  <c r="D48" i="24"/>
  <c r="D48" i="23" s="1"/>
  <c r="D48" i="21" s="1"/>
  <c r="A26" i="48"/>
  <c r="A27" i="48" s="1"/>
  <c r="J39" i="28"/>
  <c r="D44" i="23"/>
  <c r="D44" i="21" s="1"/>
  <c r="D44" i="22" s="1"/>
  <c r="E44" i="24"/>
  <c r="D51" i="24"/>
  <c r="E51" i="24" s="1"/>
  <c r="D43" i="21"/>
  <c r="D43" i="22" s="1"/>
  <c r="E43" i="22" s="1"/>
  <c r="K56" i="29"/>
  <c r="K57" i="29"/>
  <c r="J40" i="27"/>
  <c r="J45" i="27" s="1"/>
  <c r="J48" i="29"/>
  <c r="J45" i="29"/>
  <c r="M34" i="26"/>
  <c r="D46" i="25"/>
  <c r="E46" i="25" s="1"/>
  <c r="J47" i="25"/>
  <c r="BD11" i="48"/>
  <c r="AK11" i="48"/>
  <c r="S12" i="48"/>
  <c r="AE11" i="48"/>
  <c r="Y11" i="48"/>
  <c r="E39" i="23"/>
  <c r="D49" i="23"/>
  <c r="E49" i="23" s="1"/>
  <c r="J46" i="23"/>
  <c r="J47" i="23" s="1"/>
  <c r="F12" i="2"/>
  <c r="BN12" i="2" s="1"/>
  <c r="J3" i="56"/>
  <c r="R144" i="56" s="1"/>
  <c r="E40" i="55"/>
  <c r="F40" i="55"/>
  <c r="F42" i="55" s="1"/>
  <c r="O40" i="55"/>
  <c r="O42" i="55" s="1"/>
  <c r="J49" i="30"/>
  <c r="J51" i="30" s="1"/>
  <c r="U12" i="48"/>
  <c r="J50" i="31"/>
  <c r="J44" i="25"/>
  <c r="H24" i="55"/>
  <c r="H14" i="55"/>
  <c r="H12" i="55"/>
  <c r="D45" i="22"/>
  <c r="E45" i="22" s="1"/>
  <c r="E48" i="24"/>
  <c r="E41" i="26"/>
  <c r="D47" i="21"/>
  <c r="D47" i="22" s="1"/>
  <c r="E42" i="25"/>
  <c r="Q18" i="48"/>
  <c r="AC18" i="48" s="1"/>
  <c r="AC17" i="48"/>
  <c r="AC16" i="48"/>
  <c r="G145" i="56" s="1"/>
  <c r="J39" i="26"/>
  <c r="D52" i="26"/>
  <c r="D53" i="26" s="1"/>
  <c r="E50" i="26"/>
  <c r="E41" i="25"/>
  <c r="D41" i="24"/>
  <c r="D41" i="23" s="1"/>
  <c r="D50" i="24"/>
  <c r="E50" i="24" s="1"/>
  <c r="D38" i="23"/>
  <c r="E38" i="23" s="1"/>
  <c r="M14" i="48"/>
  <c r="M15" i="48" s="1"/>
  <c r="H4" i="55"/>
  <c r="G40" i="55"/>
  <c r="G42" i="55" s="1"/>
  <c r="Q12" i="55"/>
  <c r="Q40" i="55" s="1"/>
  <c r="Q42" i="55" s="1"/>
  <c r="R15" i="56" s="1"/>
  <c r="P40" i="55"/>
  <c r="P42" i="55" s="1"/>
  <c r="E45" i="21"/>
  <c r="D40" i="23"/>
  <c r="D40" i="21" s="1"/>
  <c r="D39" i="22"/>
  <c r="D39" i="20" s="1"/>
  <c r="M8" i="24"/>
  <c r="M34" i="25"/>
  <c r="J56" i="23"/>
  <c r="J44" i="24"/>
  <c r="J43" i="23"/>
  <c r="E42" i="24"/>
  <c r="D42" i="23"/>
  <c r="E48" i="23"/>
  <c r="J37" i="24"/>
  <c r="J39" i="25"/>
  <c r="M7" i="22"/>
  <c r="J57" i="10"/>
  <c r="A28" i="48" l="1"/>
  <c r="A29" i="48" s="1"/>
  <c r="E44" i="21"/>
  <c r="A20" i="2" s="1"/>
  <c r="E44" i="23"/>
  <c r="A19" i="2" s="1"/>
  <c r="D51" i="23"/>
  <c r="E51" i="23" s="1"/>
  <c r="Q19" i="48"/>
  <c r="AC19" i="48" s="1"/>
  <c r="J48" i="27"/>
  <c r="D43" i="20"/>
  <c r="D43" i="19" s="1"/>
  <c r="E43" i="21"/>
  <c r="D52" i="25"/>
  <c r="D53" i="25" s="1"/>
  <c r="D49" i="21"/>
  <c r="D49" i="22" s="1"/>
  <c r="E49" i="22" s="1"/>
  <c r="D46" i="24"/>
  <c r="D46" i="23" s="1"/>
  <c r="E46" i="23" s="1"/>
  <c r="Y12" i="48"/>
  <c r="K56" i="27"/>
  <c r="J41" i="27"/>
  <c r="J40" i="28"/>
  <c r="J45" i="28" s="1"/>
  <c r="K57" i="27"/>
  <c r="E52" i="25"/>
  <c r="E53" i="25" s="1"/>
  <c r="F13" i="2"/>
  <c r="F14" i="2" s="1"/>
  <c r="BN14" i="2" s="1"/>
  <c r="BD12" i="48"/>
  <c r="AE12" i="48"/>
  <c r="AK12" i="48"/>
  <c r="S13" i="48"/>
  <c r="K12" i="48"/>
  <c r="D50" i="23"/>
  <c r="D45" i="20"/>
  <c r="E45" i="20" s="1"/>
  <c r="E52" i="26"/>
  <c r="E53" i="26" s="1"/>
  <c r="E47" i="21"/>
  <c r="D38" i="21"/>
  <c r="D38" i="22" s="1"/>
  <c r="J49" i="29"/>
  <c r="J51" i="29" s="1"/>
  <c r="J50" i="30"/>
  <c r="J46" i="21"/>
  <c r="J47" i="21" s="1"/>
  <c r="U13" i="48"/>
  <c r="W12" i="48"/>
  <c r="AI14" i="48"/>
  <c r="H40" i="55"/>
  <c r="H42" i="55" s="1"/>
  <c r="G15" i="56" s="1"/>
  <c r="E39" i="22"/>
  <c r="E41" i="24"/>
  <c r="E40" i="23"/>
  <c r="AI15" i="48"/>
  <c r="M16" i="48"/>
  <c r="M8" i="23"/>
  <c r="M34" i="24"/>
  <c r="E41" i="23"/>
  <c r="D41" i="21"/>
  <c r="J44" i="23"/>
  <c r="J43" i="21"/>
  <c r="J56" i="21"/>
  <c r="D47" i="20"/>
  <c r="E47" i="22"/>
  <c r="E48" i="21"/>
  <c r="D48" i="22"/>
  <c r="D42" i="21"/>
  <c r="E42" i="23"/>
  <c r="D44" i="20"/>
  <c r="E44" i="22"/>
  <c r="D40" i="22"/>
  <c r="E40" i="21"/>
  <c r="A21" i="2" s="1"/>
  <c r="J39" i="24"/>
  <c r="J37" i="23"/>
  <c r="E39" i="20"/>
  <c r="D39" i="19"/>
  <c r="Q20" i="48"/>
  <c r="J57" i="9"/>
  <c r="M7" i="20"/>
  <c r="D51" i="21" l="1"/>
  <c r="D51" i="22" s="1"/>
  <c r="A30" i="48"/>
  <c r="A31" i="48" s="1"/>
  <c r="E43" i="20"/>
  <c r="D49" i="20"/>
  <c r="E49" i="20" s="1"/>
  <c r="E49" i="21"/>
  <c r="D46" i="21"/>
  <c r="D46" i="22" s="1"/>
  <c r="D52" i="24"/>
  <c r="D53" i="24" s="1"/>
  <c r="E46" i="24"/>
  <c r="E52" i="24" s="1"/>
  <c r="E53" i="24" s="1"/>
  <c r="D52" i="23"/>
  <c r="D53" i="23" s="1"/>
  <c r="K56" i="28"/>
  <c r="J48" i="28"/>
  <c r="J41" i="28"/>
  <c r="J40" i="26"/>
  <c r="J40" i="25" s="1"/>
  <c r="K57" i="28"/>
  <c r="F15" i="2"/>
  <c r="F16" i="2" s="1"/>
  <c r="BN13" i="2"/>
  <c r="Y13" i="48"/>
  <c r="E50" i="23"/>
  <c r="E52" i="23" s="1"/>
  <c r="E53" i="23" s="1"/>
  <c r="D50" i="21"/>
  <c r="D50" i="22" s="1"/>
  <c r="D45" i="19"/>
  <c r="E45" i="19" s="1"/>
  <c r="W13" i="48"/>
  <c r="BD13" i="48"/>
  <c r="AE13" i="48"/>
  <c r="S14" i="48"/>
  <c r="K13" i="48"/>
  <c r="AK13" i="48"/>
  <c r="J50" i="29"/>
  <c r="E38" i="21"/>
  <c r="E51" i="21"/>
  <c r="J46" i="22"/>
  <c r="J47" i="22" s="1"/>
  <c r="AI16" i="48"/>
  <c r="M17" i="48"/>
  <c r="M18" i="48" s="1"/>
  <c r="M19" i="48" s="1"/>
  <c r="M8" i="21"/>
  <c r="M34" i="23"/>
  <c r="D41" i="22"/>
  <c r="E41" i="21"/>
  <c r="J56" i="22"/>
  <c r="J43" i="22"/>
  <c r="J44" i="21"/>
  <c r="E38" i="22"/>
  <c r="D38" i="20"/>
  <c r="E43" i="19"/>
  <c r="D43" i="18"/>
  <c r="E48" i="22"/>
  <c r="D48" i="20"/>
  <c r="D47" i="19"/>
  <c r="E47" i="20"/>
  <c r="E42" i="21"/>
  <c r="D42" i="22"/>
  <c r="E40" i="22"/>
  <c r="D40" i="20"/>
  <c r="D44" i="19"/>
  <c r="E44" i="20"/>
  <c r="D51" i="20"/>
  <c r="E51" i="22"/>
  <c r="A22" i="2" s="1"/>
  <c r="J37" i="21"/>
  <c r="J39" i="23"/>
  <c r="M7" i="19"/>
  <c r="J57" i="8"/>
  <c r="Q21" i="48"/>
  <c r="AC20" i="48"/>
  <c r="D39" i="18"/>
  <c r="E39" i="19"/>
  <c r="E50" i="21" l="1"/>
  <c r="D49" i="19"/>
  <c r="D49" i="18" s="1"/>
  <c r="A32" i="48"/>
  <c r="A33" i="48" s="1"/>
  <c r="E46" i="21"/>
  <c r="E52" i="21" s="1"/>
  <c r="E53" i="21" s="1"/>
  <c r="BN15" i="2"/>
  <c r="J48" i="26"/>
  <c r="D45" i="18"/>
  <c r="E45" i="18" s="1"/>
  <c r="K57" i="26"/>
  <c r="J45" i="26"/>
  <c r="J48" i="25"/>
  <c r="K57" i="25"/>
  <c r="J41" i="25"/>
  <c r="J45" i="25"/>
  <c r="J40" i="24"/>
  <c r="J41" i="24" s="1"/>
  <c r="K56" i="25"/>
  <c r="K56" i="26"/>
  <c r="J41" i="26"/>
  <c r="D52" i="21"/>
  <c r="D53" i="21" s="1"/>
  <c r="BD14" i="48"/>
  <c r="AK14" i="48"/>
  <c r="S15" i="48"/>
  <c r="AE14" i="48"/>
  <c r="K14" i="48"/>
  <c r="J46" i="20"/>
  <c r="J47" i="20" s="1"/>
  <c r="AI18" i="48"/>
  <c r="AI17" i="48"/>
  <c r="BN16" i="2"/>
  <c r="F17" i="2"/>
  <c r="M8" i="22"/>
  <c r="M34" i="21"/>
  <c r="E41" i="22"/>
  <c r="D41" i="20"/>
  <c r="J43" i="20"/>
  <c r="J44" i="22"/>
  <c r="J56" i="20"/>
  <c r="E38" i="20"/>
  <c r="D38" i="19"/>
  <c r="E50" i="22"/>
  <c r="D50" i="20"/>
  <c r="D43" i="17"/>
  <c r="E43" i="18"/>
  <c r="E42" i="22"/>
  <c r="D42" i="20"/>
  <c r="E46" i="22"/>
  <c r="X39" i="22" s="1"/>
  <c r="Y39" i="22" s="1"/>
  <c r="D46" i="20"/>
  <c r="E47" i="19"/>
  <c r="D47" i="18"/>
  <c r="D52" i="22"/>
  <c r="D53" i="22" s="1"/>
  <c r="D48" i="19"/>
  <c r="E48" i="20"/>
  <c r="D44" i="18"/>
  <c r="E44" i="19"/>
  <c r="D40" i="19"/>
  <c r="E40" i="20"/>
  <c r="E51" i="20"/>
  <c r="D51" i="19"/>
  <c r="J39" i="21"/>
  <c r="J37" i="22"/>
  <c r="D39" i="17"/>
  <c r="E39" i="18"/>
  <c r="Q22" i="48"/>
  <c r="AC21" i="48"/>
  <c r="M20" i="48"/>
  <c r="AI19" i="48"/>
  <c r="M7" i="18"/>
  <c r="J57" i="7"/>
  <c r="E49" i="19" l="1"/>
  <c r="A34" i="48"/>
  <c r="A35" i="48" s="1"/>
  <c r="K56" i="24"/>
  <c r="K57" i="24"/>
  <c r="J48" i="24"/>
  <c r="J45" i="24"/>
  <c r="J40" i="23"/>
  <c r="J45" i="23" s="1"/>
  <c r="D45" i="17"/>
  <c r="A23" i="2" s="1"/>
  <c r="J46" i="19"/>
  <c r="J47" i="19" s="1"/>
  <c r="AK15" i="48"/>
  <c r="K15" i="48"/>
  <c r="BD15" i="48"/>
  <c r="S16" i="48"/>
  <c r="AE15" i="48"/>
  <c r="BN17" i="2"/>
  <c r="F18" i="2"/>
  <c r="D52" i="20"/>
  <c r="D53" i="20" s="1"/>
  <c r="M8" i="20"/>
  <c r="M34" i="22"/>
  <c r="D41" i="19"/>
  <c r="E41" i="20"/>
  <c r="J56" i="19"/>
  <c r="J43" i="19"/>
  <c r="J44" i="20"/>
  <c r="E38" i="19"/>
  <c r="D38" i="18"/>
  <c r="E52" i="22"/>
  <c r="E53" i="22" s="1"/>
  <c r="E50" i="20"/>
  <c r="D50" i="19"/>
  <c r="D43" i="16"/>
  <c r="E43" i="17"/>
  <c r="D48" i="18"/>
  <c r="E48" i="19"/>
  <c r="D47" i="17"/>
  <c r="E47" i="18"/>
  <c r="D46" i="19"/>
  <c r="E46" i="20"/>
  <c r="D42" i="19"/>
  <c r="E42" i="20"/>
  <c r="D51" i="18"/>
  <c r="E51" i="19"/>
  <c r="D40" i="18"/>
  <c r="E40" i="19"/>
  <c r="D44" i="17"/>
  <c r="E44" i="18"/>
  <c r="A24" i="2" s="1"/>
  <c r="J39" i="22"/>
  <c r="J37" i="20"/>
  <c r="D49" i="17"/>
  <c r="E49" i="18"/>
  <c r="Q23" i="48"/>
  <c r="AC22" i="48"/>
  <c r="J57" i="6"/>
  <c r="M7" i="17"/>
  <c r="M21" i="48"/>
  <c r="AI20" i="48"/>
  <c r="D39" i="16"/>
  <c r="E39" i="17"/>
  <c r="A36" i="48" l="1"/>
  <c r="A37" i="48" s="1"/>
  <c r="J40" i="21"/>
  <c r="J48" i="21" s="1"/>
  <c r="K56" i="23"/>
  <c r="K57" i="23"/>
  <c r="J48" i="23"/>
  <c r="D45" i="16"/>
  <c r="D45" i="15" s="1"/>
  <c r="J41" i="23"/>
  <c r="E45" i="17"/>
  <c r="J46" i="18"/>
  <c r="J47" i="18" s="1"/>
  <c r="BD16" i="48"/>
  <c r="AK16" i="48"/>
  <c r="K16" i="48"/>
  <c r="S17" i="48"/>
  <c r="AE16" i="48"/>
  <c r="F19" i="2"/>
  <c r="BN18" i="2"/>
  <c r="M8" i="19"/>
  <c r="M34" i="20"/>
  <c r="D41" i="18"/>
  <c r="E41" i="19"/>
  <c r="J44" i="19"/>
  <c r="J43" i="18"/>
  <c r="J56" i="18"/>
  <c r="E38" i="18"/>
  <c r="D38" i="17"/>
  <c r="D52" i="19"/>
  <c r="D53" i="19" s="1"/>
  <c r="E52" i="20"/>
  <c r="E53" i="20" s="1"/>
  <c r="D50" i="18"/>
  <c r="E50" i="19"/>
  <c r="E43" i="16"/>
  <c r="D43" i="15"/>
  <c r="E42" i="19"/>
  <c r="D42" i="18"/>
  <c r="D46" i="18"/>
  <c r="E46" i="19"/>
  <c r="D47" i="16"/>
  <c r="E47" i="17"/>
  <c r="D48" i="17"/>
  <c r="E48" i="18"/>
  <c r="D40" i="17"/>
  <c r="E40" i="18"/>
  <c r="D51" i="17"/>
  <c r="E51" i="18"/>
  <c r="D44" i="16"/>
  <c r="E44" i="17"/>
  <c r="A25" i="2" s="1"/>
  <c r="J37" i="19"/>
  <c r="J39" i="20"/>
  <c r="E49" i="17"/>
  <c r="D49" i="16"/>
  <c r="J57" i="37"/>
  <c r="D39" i="15"/>
  <c r="E39" i="16"/>
  <c r="AI21" i="48"/>
  <c r="M22" i="48"/>
  <c r="M7" i="16"/>
  <c r="Q24" i="48"/>
  <c r="AC23" i="48"/>
  <c r="K56" i="21" l="1"/>
  <c r="J41" i="21"/>
  <c r="K57" i="21"/>
  <c r="J40" i="22"/>
  <c r="K56" i="22" s="1"/>
  <c r="J45" i="21"/>
  <c r="A38" i="48"/>
  <c r="E45" i="16"/>
  <c r="J46" i="17"/>
  <c r="J47" i="17" s="1"/>
  <c r="AK17" i="48"/>
  <c r="K17" i="48"/>
  <c r="BD17" i="48"/>
  <c r="S18" i="48"/>
  <c r="AE17" i="48"/>
  <c r="J48" i="22"/>
  <c r="J45" i="22"/>
  <c r="BN19" i="2"/>
  <c r="F20" i="2"/>
  <c r="M8" i="18"/>
  <c r="M34" i="19"/>
  <c r="D41" i="17"/>
  <c r="E41" i="18"/>
  <c r="J56" i="17"/>
  <c r="J43" i="17"/>
  <c r="J44" i="18"/>
  <c r="E52" i="19"/>
  <c r="E53" i="19" s="1"/>
  <c r="E38" i="17"/>
  <c r="D38" i="16"/>
  <c r="E50" i="18"/>
  <c r="D50" i="17"/>
  <c r="D43" i="14"/>
  <c r="E43" i="15"/>
  <c r="D48" i="16"/>
  <c r="E48" i="17"/>
  <c r="E47" i="16"/>
  <c r="D47" i="15"/>
  <c r="E46" i="18"/>
  <c r="D46" i="17"/>
  <c r="D52" i="18"/>
  <c r="D53" i="18" s="1"/>
  <c r="E42" i="18"/>
  <c r="D42" i="17"/>
  <c r="D45" i="14"/>
  <c r="E45" i="15"/>
  <c r="E40" i="17"/>
  <c r="D40" i="16"/>
  <c r="E44" i="16"/>
  <c r="D44" i="15"/>
  <c r="D51" i="16"/>
  <c r="E51" i="17"/>
  <c r="A26" i="2" s="1"/>
  <c r="D49" i="15"/>
  <c r="E49" i="16"/>
  <c r="J37" i="18"/>
  <c r="J39" i="19"/>
  <c r="Q25" i="48"/>
  <c r="AC24" i="48"/>
  <c r="M7" i="15"/>
  <c r="E39" i="15"/>
  <c r="D39" i="14"/>
  <c r="J57" i="4"/>
  <c r="AI22" i="48"/>
  <c r="M23" i="48"/>
  <c r="J40" i="20" l="1"/>
  <c r="J41" i="22"/>
  <c r="K57" i="22"/>
  <c r="J46" i="16"/>
  <c r="J46" i="15" s="1"/>
  <c r="S19" i="48"/>
  <c r="BD18" i="48"/>
  <c r="AK18" i="48"/>
  <c r="AE18" i="48"/>
  <c r="K18" i="48"/>
  <c r="J48" i="20"/>
  <c r="J45" i="20"/>
  <c r="K57" i="20"/>
  <c r="K56" i="20"/>
  <c r="J40" i="19"/>
  <c r="J41" i="20"/>
  <c r="F21" i="2"/>
  <c r="BN20" i="2"/>
  <c r="M8" i="17"/>
  <c r="M34" i="18"/>
  <c r="E41" i="17"/>
  <c r="D41" i="16"/>
  <c r="J43" i="16"/>
  <c r="J44" i="17"/>
  <c r="J56" i="16"/>
  <c r="D38" i="15"/>
  <c r="E38" i="16"/>
  <c r="E50" i="17"/>
  <c r="D50" i="16"/>
  <c r="E52" i="18"/>
  <c r="E53" i="18" s="1"/>
  <c r="E43" i="14"/>
  <c r="D43" i="13"/>
  <c r="E42" i="17"/>
  <c r="D42" i="16"/>
  <c r="D48" i="15"/>
  <c r="E48" i="16"/>
  <c r="D52" i="17"/>
  <c r="D53" i="17" s="1"/>
  <c r="E46" i="17"/>
  <c r="D46" i="16"/>
  <c r="E47" i="15"/>
  <c r="D47" i="14"/>
  <c r="E44" i="15"/>
  <c r="D44" i="14"/>
  <c r="D45" i="13"/>
  <c r="E45" i="14"/>
  <c r="E51" i="16"/>
  <c r="D51" i="15"/>
  <c r="D40" i="15"/>
  <c r="E40" i="16"/>
  <c r="A27" i="2" s="1"/>
  <c r="J37" i="17"/>
  <c r="J39" i="18"/>
  <c r="D49" i="14"/>
  <c r="E49" i="15"/>
  <c r="J57" i="43"/>
  <c r="E39" i="14"/>
  <c r="D39" i="13"/>
  <c r="J47" i="16"/>
  <c r="Q26" i="48"/>
  <c r="AC25" i="48"/>
  <c r="AI23" i="48"/>
  <c r="M24" i="48"/>
  <c r="M7" i="14"/>
  <c r="AK19" i="48" l="1"/>
  <c r="K19" i="48"/>
  <c r="S20" i="48"/>
  <c r="BD19" i="48"/>
  <c r="AE19" i="48"/>
  <c r="BN21" i="2"/>
  <c r="F22" i="2"/>
  <c r="J48" i="19"/>
  <c r="K56" i="19"/>
  <c r="J41" i="19"/>
  <c r="J40" i="18"/>
  <c r="K57" i="19"/>
  <c r="J45" i="19"/>
  <c r="M8" i="16"/>
  <c r="M34" i="17"/>
  <c r="D41" i="15"/>
  <c r="E41" i="16"/>
  <c r="J56" i="15"/>
  <c r="J43" i="15"/>
  <c r="J44" i="16"/>
  <c r="E38" i="15"/>
  <c r="D38" i="14"/>
  <c r="D52" i="16"/>
  <c r="D53" i="16" s="1"/>
  <c r="E52" i="17"/>
  <c r="E53" i="17" s="1"/>
  <c r="D50" i="15"/>
  <c r="E50" i="16"/>
  <c r="D43" i="12"/>
  <c r="E43" i="13"/>
  <c r="E47" i="14"/>
  <c r="D47" i="13"/>
  <c r="D46" i="15"/>
  <c r="E46" i="16"/>
  <c r="E48" i="15"/>
  <c r="D48" i="14"/>
  <c r="E42" i="16"/>
  <c r="D42" i="15"/>
  <c r="E51" i="15"/>
  <c r="D51" i="14"/>
  <c r="E40" i="15"/>
  <c r="D40" i="14"/>
  <c r="D45" i="12"/>
  <c r="E45" i="13"/>
  <c r="E44" i="14"/>
  <c r="D44" i="13"/>
  <c r="A28" i="2" s="1"/>
  <c r="J39" i="17"/>
  <c r="J37" i="16"/>
  <c r="E49" i="14"/>
  <c r="D49" i="13"/>
  <c r="M7" i="13"/>
  <c r="M25" i="48"/>
  <c r="AI24" i="48"/>
  <c r="D39" i="12"/>
  <c r="E39" i="13"/>
  <c r="AC26" i="48"/>
  <c r="Q27" i="48"/>
  <c r="J47" i="15"/>
  <c r="J46" i="14"/>
  <c r="BD20" i="48" l="1"/>
  <c r="AK20" i="48"/>
  <c r="AE20" i="48"/>
  <c r="K20" i="48"/>
  <c r="S21" i="48"/>
  <c r="J48" i="18"/>
  <c r="J41" i="18"/>
  <c r="K56" i="18"/>
  <c r="J45" i="18"/>
  <c r="K57" i="18"/>
  <c r="J40" i="17"/>
  <c r="F23" i="2"/>
  <c r="BN22" i="2"/>
  <c r="M8" i="15"/>
  <c r="M34" i="16"/>
  <c r="D41" i="14"/>
  <c r="E41" i="15"/>
  <c r="J43" i="14"/>
  <c r="J44" i="15"/>
  <c r="J56" i="14"/>
  <c r="D52" i="15"/>
  <c r="D53" i="15" s="1"/>
  <c r="E38" i="14"/>
  <c r="D38" i="13"/>
  <c r="E52" i="16"/>
  <c r="E53" i="16" s="1"/>
  <c r="D50" i="14"/>
  <c r="E50" i="15"/>
  <c r="E43" i="12"/>
  <c r="D43" i="11"/>
  <c r="E42" i="15"/>
  <c r="D42" i="14"/>
  <c r="E46" i="15"/>
  <c r="D46" i="14"/>
  <c r="E48" i="14"/>
  <c r="D48" i="13"/>
  <c r="D47" i="12"/>
  <c r="E47" i="13"/>
  <c r="D45" i="11"/>
  <c r="E45" i="12"/>
  <c r="D40" i="13"/>
  <c r="E40" i="14"/>
  <c r="D51" i="13"/>
  <c r="E51" i="14"/>
  <c r="E44" i="13"/>
  <c r="D44" i="12"/>
  <c r="A29" i="2" s="1"/>
  <c r="D49" i="12"/>
  <c r="E49" i="13"/>
  <c r="J37" i="15"/>
  <c r="J39" i="16"/>
  <c r="J47" i="14"/>
  <c r="J46" i="13"/>
  <c r="D39" i="11"/>
  <c r="E39" i="12"/>
  <c r="M26" i="48"/>
  <c r="AI25" i="48"/>
  <c r="AC27" i="48"/>
  <c r="Q28" i="48"/>
  <c r="M7" i="12"/>
  <c r="AK21" i="48" l="1"/>
  <c r="BD21" i="48"/>
  <c r="K21" i="48"/>
  <c r="AE21" i="48"/>
  <c r="S22" i="48"/>
  <c r="J48" i="17"/>
  <c r="J45" i="17"/>
  <c r="J41" i="17"/>
  <c r="K57" i="17"/>
  <c r="J40" i="16"/>
  <c r="K56" i="17"/>
  <c r="BN23" i="2"/>
  <c r="F24" i="2"/>
  <c r="M8" i="14"/>
  <c r="M34" i="15"/>
  <c r="D41" i="13"/>
  <c r="E41" i="14"/>
  <c r="J56" i="13"/>
  <c r="J43" i="13"/>
  <c r="J44" i="14"/>
  <c r="E38" i="13"/>
  <c r="D38" i="12"/>
  <c r="E52" i="15"/>
  <c r="E53" i="15" s="1"/>
  <c r="E50" i="14"/>
  <c r="D50" i="13"/>
  <c r="D43" i="10"/>
  <c r="E43" i="11"/>
  <c r="E48" i="13"/>
  <c r="D48" i="12"/>
  <c r="E46" i="14"/>
  <c r="D46" i="13"/>
  <c r="D42" i="13"/>
  <c r="E42" i="14"/>
  <c r="D52" i="14"/>
  <c r="D53" i="14" s="1"/>
  <c r="D47" i="11"/>
  <c r="E47" i="12"/>
  <c r="E51" i="13"/>
  <c r="D51" i="12"/>
  <c r="E44" i="12"/>
  <c r="D44" i="11"/>
  <c r="D40" i="12"/>
  <c r="E40" i="13"/>
  <c r="D45" i="10"/>
  <c r="E45" i="11"/>
  <c r="A30" i="2" s="1"/>
  <c r="J39" i="15"/>
  <c r="J37" i="14"/>
  <c r="D49" i="11"/>
  <c r="E49" i="12"/>
  <c r="M7" i="11"/>
  <c r="AC28" i="48"/>
  <c r="Q29" i="48"/>
  <c r="M27" i="48"/>
  <c r="AI26" i="48"/>
  <c r="E39" i="11"/>
  <c r="D39" i="10"/>
  <c r="J47" i="13"/>
  <c r="J46" i="12"/>
  <c r="S23" i="48" l="1"/>
  <c r="K22" i="48"/>
  <c r="AK22" i="48"/>
  <c r="BD22" i="48"/>
  <c r="AE22" i="48"/>
  <c r="BN24" i="2"/>
  <c r="F25" i="2"/>
  <c r="J48" i="16"/>
  <c r="K56" i="16"/>
  <c r="K57" i="16"/>
  <c r="J45" i="16"/>
  <c r="J41" i="16"/>
  <c r="J40" i="15"/>
  <c r="M8" i="13"/>
  <c r="M34" i="14"/>
  <c r="E41" i="13"/>
  <c r="D41" i="12"/>
  <c r="J56" i="12"/>
  <c r="J44" i="13"/>
  <c r="J43" i="12"/>
  <c r="E38" i="12"/>
  <c r="D38" i="11"/>
  <c r="E50" i="13"/>
  <c r="D50" i="12"/>
  <c r="D52" i="13"/>
  <c r="D53" i="13" s="1"/>
  <c r="E43" i="10"/>
  <c r="D43" i="9"/>
  <c r="E52" i="14"/>
  <c r="E53" i="14" s="1"/>
  <c r="D47" i="10"/>
  <c r="E47" i="11"/>
  <c r="D46" i="12"/>
  <c r="E46" i="13"/>
  <c r="E48" i="12"/>
  <c r="D48" i="11"/>
  <c r="E42" i="13"/>
  <c r="D42" i="12"/>
  <c r="E45" i="10"/>
  <c r="D45" i="9"/>
  <c r="E44" i="11"/>
  <c r="D44" i="10"/>
  <c r="D51" i="11"/>
  <c r="E51" i="12"/>
  <c r="D40" i="11"/>
  <c r="E40" i="12"/>
  <c r="A31" i="2" s="1"/>
  <c r="D49" i="10"/>
  <c r="E49" i="11"/>
  <c r="J37" i="13"/>
  <c r="J39" i="14"/>
  <c r="J47" i="12"/>
  <c r="J46" i="11"/>
  <c r="M28" i="48"/>
  <c r="AI27" i="48"/>
  <c r="D39" i="9"/>
  <c r="E39" i="10"/>
  <c r="AC29" i="48"/>
  <c r="Q30" i="48"/>
  <c r="M7" i="10"/>
  <c r="BD23" i="48" l="1"/>
  <c r="S24" i="48"/>
  <c r="AE23" i="48"/>
  <c r="K23" i="48"/>
  <c r="AK23" i="48"/>
  <c r="BN25" i="2"/>
  <c r="F26" i="2"/>
  <c r="J48" i="15"/>
  <c r="J45" i="15"/>
  <c r="J40" i="14"/>
  <c r="J41" i="15"/>
  <c r="K57" i="15"/>
  <c r="K56" i="15"/>
  <c r="M8" i="12"/>
  <c r="M34" i="13"/>
  <c r="E41" i="12"/>
  <c r="D41" i="11"/>
  <c r="J44" i="12"/>
  <c r="J43" i="11"/>
  <c r="J56" i="11"/>
  <c r="D38" i="10"/>
  <c r="E38" i="11"/>
  <c r="E52" i="13"/>
  <c r="E53" i="13" s="1"/>
  <c r="E50" i="12"/>
  <c r="D50" i="11"/>
  <c r="D43" i="8"/>
  <c r="E43" i="9"/>
  <c r="E42" i="12"/>
  <c r="D42" i="11"/>
  <c r="E46" i="12"/>
  <c r="D46" i="11"/>
  <c r="D47" i="9"/>
  <c r="E47" i="10"/>
  <c r="D52" i="12"/>
  <c r="D53" i="12" s="1"/>
  <c r="E48" i="11"/>
  <c r="D48" i="10"/>
  <c r="D44" i="9"/>
  <c r="E44" i="10"/>
  <c r="E45" i="9"/>
  <c r="D45" i="8"/>
  <c r="D40" i="10"/>
  <c r="E40" i="11"/>
  <c r="D51" i="10"/>
  <c r="E51" i="11"/>
  <c r="A32" i="2" s="1"/>
  <c r="J39" i="13"/>
  <c r="J37" i="12"/>
  <c r="E49" i="10"/>
  <c r="D49" i="9"/>
  <c r="Q31" i="48"/>
  <c r="AC30" i="48"/>
  <c r="D39" i="8"/>
  <c r="E39" i="9"/>
  <c r="M29" i="48"/>
  <c r="AI28" i="48"/>
  <c r="M7" i="9"/>
  <c r="J47" i="11"/>
  <c r="J46" i="10"/>
  <c r="AK24" i="48" l="1"/>
  <c r="S25" i="48"/>
  <c r="K24" i="48"/>
  <c r="BD24" i="48"/>
  <c r="AE24" i="48"/>
  <c r="F27" i="2"/>
  <c r="BN26" i="2"/>
  <c r="J48" i="14"/>
  <c r="J41" i="14"/>
  <c r="K56" i="14"/>
  <c r="J45" i="14"/>
  <c r="K57" i="14"/>
  <c r="J40" i="13"/>
  <c r="M8" i="11"/>
  <c r="M34" i="12"/>
  <c r="D41" i="10"/>
  <c r="E41" i="11"/>
  <c r="J44" i="11"/>
  <c r="J43" i="10"/>
  <c r="J56" i="10"/>
  <c r="D38" i="9"/>
  <c r="E38" i="10"/>
  <c r="E52" i="12"/>
  <c r="E53" i="12" s="1"/>
  <c r="D52" i="11"/>
  <c r="D53" i="11" s="1"/>
  <c r="E50" i="11"/>
  <c r="D50" i="10"/>
  <c r="E43" i="8"/>
  <c r="D43" i="7"/>
  <c r="E46" i="11"/>
  <c r="D46" i="10"/>
  <c r="D42" i="10"/>
  <c r="E42" i="11"/>
  <c r="E48" i="10"/>
  <c r="D48" i="9"/>
  <c r="D47" i="8"/>
  <c r="E47" i="9"/>
  <c r="D40" i="9"/>
  <c r="E40" i="10"/>
  <c r="D44" i="8"/>
  <c r="E44" i="9"/>
  <c r="E51" i="10"/>
  <c r="D51" i="9"/>
  <c r="D45" i="7"/>
  <c r="E45" i="8"/>
  <c r="A33" i="2" s="1"/>
  <c r="D49" i="8"/>
  <c r="E49" i="9"/>
  <c r="J37" i="11"/>
  <c r="J39" i="12"/>
  <c r="J47" i="10"/>
  <c r="J46" i="9"/>
  <c r="M30" i="48"/>
  <c r="AI29" i="48"/>
  <c r="M7" i="8"/>
  <c r="D39" i="7"/>
  <c r="E39" i="8"/>
  <c r="Q32" i="48"/>
  <c r="AC31" i="48"/>
  <c r="AE25" i="48" l="1"/>
  <c r="AK25" i="48"/>
  <c r="S26" i="48"/>
  <c r="K25" i="48"/>
  <c r="BD25" i="48"/>
  <c r="BN27" i="2"/>
  <c r="F28" i="2"/>
  <c r="J48" i="13"/>
  <c r="K56" i="13"/>
  <c r="K57" i="13"/>
  <c r="J40" i="12"/>
  <c r="J41" i="13"/>
  <c r="J45" i="13"/>
  <c r="M8" i="10"/>
  <c r="M34" i="11"/>
  <c r="E41" i="10"/>
  <c r="D41" i="9"/>
  <c r="J56" i="9"/>
  <c r="J43" i="9"/>
  <c r="J44" i="10"/>
  <c r="E38" i="9"/>
  <c r="D38" i="8"/>
  <c r="D52" i="10"/>
  <c r="D53" i="10" s="1"/>
  <c r="E50" i="10"/>
  <c r="D50" i="9"/>
  <c r="D43" i="6"/>
  <c r="E43" i="7"/>
  <c r="E52" i="11"/>
  <c r="E53" i="11" s="1"/>
  <c r="E47" i="8"/>
  <c r="D47" i="7"/>
  <c r="E42" i="10"/>
  <c r="D42" i="9"/>
  <c r="D48" i="8"/>
  <c r="E48" i="9"/>
  <c r="D46" i="9"/>
  <c r="E46" i="10"/>
  <c r="D45" i="6"/>
  <c r="E45" i="7"/>
  <c r="E51" i="9"/>
  <c r="D51" i="8"/>
  <c r="D40" i="8"/>
  <c r="E40" i="9"/>
  <c r="D44" i="7"/>
  <c r="E44" i="8"/>
  <c r="A34" i="2" s="1"/>
  <c r="J39" i="11"/>
  <c r="J37" i="10"/>
  <c r="E49" i="8"/>
  <c r="D49" i="7"/>
  <c r="D39" i="6"/>
  <c r="E39" i="7"/>
  <c r="M7" i="7"/>
  <c r="J47" i="9"/>
  <c r="J46" i="8"/>
  <c r="Q33" i="48"/>
  <c r="AC32" i="48"/>
  <c r="M31" i="48"/>
  <c r="AI30" i="48"/>
  <c r="AK26" i="48" l="1"/>
  <c r="BD26" i="48"/>
  <c r="S27" i="48"/>
  <c r="K26" i="48"/>
  <c r="AE26" i="48"/>
  <c r="F29" i="2"/>
  <c r="BN28" i="2"/>
  <c r="J48" i="12"/>
  <c r="J41" i="12"/>
  <c r="J40" i="11"/>
  <c r="K56" i="12"/>
  <c r="J45" i="12"/>
  <c r="K57" i="12"/>
  <c r="M8" i="9"/>
  <c r="M34" i="10"/>
  <c r="D41" i="8"/>
  <c r="E41" i="9"/>
  <c r="J56" i="8"/>
  <c r="J43" i="8"/>
  <c r="J44" i="9"/>
  <c r="D52" i="9"/>
  <c r="D53" i="9" s="1"/>
  <c r="D38" i="7"/>
  <c r="E38" i="8"/>
  <c r="E52" i="10"/>
  <c r="E53" i="10" s="1"/>
  <c r="E50" i="9"/>
  <c r="D50" i="8"/>
  <c r="D43" i="37"/>
  <c r="E43" i="6"/>
  <c r="D46" i="8"/>
  <c r="E46" i="9"/>
  <c r="D48" i="7"/>
  <c r="E48" i="8"/>
  <c r="E42" i="9"/>
  <c r="D42" i="8"/>
  <c r="E47" i="7"/>
  <c r="D47" i="6"/>
  <c r="D40" i="7"/>
  <c r="E40" i="8"/>
  <c r="E45" i="6"/>
  <c r="D45" i="37"/>
  <c r="E44" i="7"/>
  <c r="D44" i="6"/>
  <c r="E51" i="8"/>
  <c r="D51" i="7"/>
  <c r="A35" i="2" s="1"/>
  <c r="D49" i="6"/>
  <c r="E49" i="7"/>
  <c r="J37" i="9"/>
  <c r="J39" i="10"/>
  <c r="M32" i="48"/>
  <c r="AI31" i="48"/>
  <c r="Q34" i="48"/>
  <c r="AC33" i="48"/>
  <c r="J47" i="8"/>
  <c r="J46" i="7"/>
  <c r="D39" i="37"/>
  <c r="E39" i="6"/>
  <c r="M7" i="6"/>
  <c r="S28" i="48" l="1"/>
  <c r="K27" i="48"/>
  <c r="BD27" i="48"/>
  <c r="AE27" i="48"/>
  <c r="AK27" i="48"/>
  <c r="BN29" i="2"/>
  <c r="F30" i="2"/>
  <c r="J48" i="11"/>
  <c r="K56" i="11"/>
  <c r="J40" i="10"/>
  <c r="K57" i="11"/>
  <c r="J41" i="11"/>
  <c r="J45" i="11"/>
  <c r="M8" i="8"/>
  <c r="M34" i="9"/>
  <c r="D41" i="7"/>
  <c r="E41" i="8"/>
  <c r="J56" i="7"/>
  <c r="J43" i="7"/>
  <c r="J44" i="8"/>
  <c r="D52" i="8"/>
  <c r="D53" i="8" s="1"/>
  <c r="D38" i="6"/>
  <c r="E38" i="7"/>
  <c r="E52" i="9"/>
  <c r="E53" i="9" s="1"/>
  <c r="D50" i="7"/>
  <c r="E50" i="8"/>
  <c r="D43" i="4"/>
  <c r="E43" i="37"/>
  <c r="D48" i="6"/>
  <c r="E48" i="7"/>
  <c r="D46" i="7"/>
  <c r="E46" i="8"/>
  <c r="E47" i="6"/>
  <c r="D47" i="37"/>
  <c r="E42" i="8"/>
  <c r="D42" i="7"/>
  <c r="D51" i="6"/>
  <c r="E51" i="7"/>
  <c r="D44" i="37"/>
  <c r="E44" i="6"/>
  <c r="D45" i="4"/>
  <c r="E45" i="37"/>
  <c r="D40" i="6"/>
  <c r="E40" i="7"/>
  <c r="A36" i="2" s="1"/>
  <c r="J39" i="9"/>
  <c r="J37" i="8"/>
  <c r="D49" i="37"/>
  <c r="E49" i="6"/>
  <c r="J47" i="7"/>
  <c r="J46" i="6"/>
  <c r="AC34" i="48"/>
  <c r="Q35" i="48"/>
  <c r="M7" i="37"/>
  <c r="E39" i="37"/>
  <c r="D39" i="4"/>
  <c r="M33" i="48"/>
  <c r="AI32" i="48"/>
  <c r="AE28" i="48" l="1"/>
  <c r="AK28" i="48"/>
  <c r="S29" i="48"/>
  <c r="K28" i="48"/>
  <c r="BD28" i="48"/>
  <c r="BN30" i="2"/>
  <c r="F31" i="2"/>
  <c r="J48" i="10"/>
  <c r="J40" i="9"/>
  <c r="K57" i="10"/>
  <c r="J41" i="10"/>
  <c r="J45" i="10"/>
  <c r="K56" i="10"/>
  <c r="M8" i="7"/>
  <c r="M34" i="8"/>
  <c r="E41" i="7"/>
  <c r="D41" i="6"/>
  <c r="J56" i="6"/>
  <c r="J43" i="6"/>
  <c r="J44" i="7"/>
  <c r="D38" i="37"/>
  <c r="E38" i="6"/>
  <c r="E52" i="8"/>
  <c r="E53" i="8" s="1"/>
  <c r="E50" i="7"/>
  <c r="D50" i="6"/>
  <c r="E43" i="4"/>
  <c r="D43" i="43"/>
  <c r="E43" i="43" s="1"/>
  <c r="E42" i="7"/>
  <c r="D42" i="6"/>
  <c r="E47" i="37"/>
  <c r="D47" i="4"/>
  <c r="E46" i="7"/>
  <c r="D46" i="6"/>
  <c r="D48" i="37"/>
  <c r="E48" i="6"/>
  <c r="D52" i="7"/>
  <c r="D53" i="7" s="1"/>
  <c r="E51" i="6"/>
  <c r="D51" i="37"/>
  <c r="D40" i="37"/>
  <c r="E40" i="6"/>
  <c r="E45" i="4"/>
  <c r="D45" i="43"/>
  <c r="E45" i="43" s="1"/>
  <c r="D44" i="4"/>
  <c r="E44" i="37"/>
  <c r="A37" i="2" s="1"/>
  <c r="E49" i="37"/>
  <c r="D49" i="4"/>
  <c r="J39" i="8"/>
  <c r="J37" i="7"/>
  <c r="M34" i="48"/>
  <c r="AI33" i="48"/>
  <c r="J47" i="6"/>
  <c r="J46" i="37"/>
  <c r="D39" i="43"/>
  <c r="E39" i="43" s="1"/>
  <c r="E39" i="4"/>
  <c r="M7" i="4"/>
  <c r="Q36" i="48"/>
  <c r="AC35" i="48"/>
  <c r="AE29" i="48" l="1"/>
  <c r="AK29" i="48"/>
  <c r="BD29" i="48"/>
  <c r="K29" i="48"/>
  <c r="S30" i="48"/>
  <c r="BN31" i="2"/>
  <c r="F32" i="2"/>
  <c r="J48" i="9"/>
  <c r="K57" i="9"/>
  <c r="J45" i="9"/>
  <c r="J40" i="8"/>
  <c r="K56" i="9"/>
  <c r="J41" i="9"/>
  <c r="D52" i="6"/>
  <c r="D53" i="6" s="1"/>
  <c r="M8" i="6"/>
  <c r="M34" i="7"/>
  <c r="D41" i="37"/>
  <c r="E41" i="6"/>
  <c r="J44" i="6"/>
  <c r="J43" i="37"/>
  <c r="J56" i="37"/>
  <c r="E38" i="37"/>
  <c r="D38" i="4"/>
  <c r="D50" i="37"/>
  <c r="E50" i="6"/>
  <c r="E52" i="7"/>
  <c r="E53" i="7" s="1"/>
  <c r="D46" i="37"/>
  <c r="E46" i="6"/>
  <c r="E47" i="4"/>
  <c r="D47" i="43"/>
  <c r="E47" i="43" s="1"/>
  <c r="E42" i="6"/>
  <c r="D42" i="37"/>
  <c r="E48" i="37"/>
  <c r="D48" i="4"/>
  <c r="D40" i="4"/>
  <c r="E40" i="37"/>
  <c r="D44" i="43"/>
  <c r="E44" i="43" s="1"/>
  <c r="E44" i="4"/>
  <c r="E51" i="37"/>
  <c r="D51" i="4"/>
  <c r="A38" i="2" s="1"/>
  <c r="J39" i="7"/>
  <c r="J37" i="6"/>
  <c r="D49" i="43"/>
  <c r="E49" i="43" s="1"/>
  <c r="E49" i="4"/>
  <c r="M7" i="43"/>
  <c r="M35" i="48"/>
  <c r="AI34" i="48"/>
  <c r="AC36" i="48"/>
  <c r="Q37" i="48"/>
  <c r="J47" i="37"/>
  <c r="J46" i="4"/>
  <c r="J60" i="37" l="1"/>
  <c r="AK30" i="48"/>
  <c r="BD30" i="48"/>
  <c r="K30" i="48"/>
  <c r="S31" i="48"/>
  <c r="AE30" i="48"/>
  <c r="J48" i="8"/>
  <c r="K57" i="8"/>
  <c r="J41" i="8"/>
  <c r="J40" i="7"/>
  <c r="K56" i="8"/>
  <c r="J45" i="8"/>
  <c r="BN32" i="2"/>
  <c r="F33" i="2"/>
  <c r="M8" i="37"/>
  <c r="M34" i="6"/>
  <c r="E41" i="37"/>
  <c r="D41" i="4"/>
  <c r="J43" i="4"/>
  <c r="J44" i="37"/>
  <c r="J56" i="4"/>
  <c r="E38" i="4"/>
  <c r="D38" i="43"/>
  <c r="E38" i="43" s="1"/>
  <c r="D52" i="37"/>
  <c r="D53" i="37" s="1"/>
  <c r="E50" i="37"/>
  <c r="D50" i="4"/>
  <c r="E52" i="6"/>
  <c r="E53" i="6" s="1"/>
  <c r="D46" i="4"/>
  <c r="E46" i="37"/>
  <c r="D48" i="43"/>
  <c r="E48" i="43" s="1"/>
  <c r="E48" i="4"/>
  <c r="E42" i="37"/>
  <c r="D42" i="4"/>
  <c r="E40" i="4"/>
  <c r="D40" i="43"/>
  <c r="D51" i="43"/>
  <c r="E51" i="43" s="1"/>
  <c r="E51" i="4"/>
  <c r="A39" i="2" s="1"/>
  <c r="J39" i="6"/>
  <c r="J37" i="37"/>
  <c r="M36" i="48"/>
  <c r="AI35" i="48"/>
  <c r="J47" i="4"/>
  <c r="J46" i="43"/>
  <c r="AC37" i="48"/>
  <c r="Q38" i="48"/>
  <c r="AK31" i="48" l="1"/>
  <c r="AE31" i="48"/>
  <c r="K31" i="48"/>
  <c r="S32" i="48"/>
  <c r="BD31" i="48"/>
  <c r="J48" i="7"/>
  <c r="K56" i="7"/>
  <c r="J41" i="7"/>
  <c r="J40" i="6"/>
  <c r="J45" i="7"/>
  <c r="K57" i="7"/>
  <c r="BN33" i="2"/>
  <c r="F34" i="2"/>
  <c r="M8" i="4"/>
  <c r="M34" i="37"/>
  <c r="D41" i="43"/>
  <c r="E41" i="43" s="1"/>
  <c r="E41" i="4"/>
  <c r="J56" i="43"/>
  <c r="J43" i="43"/>
  <c r="J44" i="4"/>
  <c r="D52" i="4"/>
  <c r="D53" i="4" s="1"/>
  <c r="E52" i="37"/>
  <c r="E53" i="37" s="1"/>
  <c r="E50" i="4"/>
  <c r="D50" i="43"/>
  <c r="E50" i="43" s="1"/>
  <c r="D46" i="43"/>
  <c r="E46" i="43" s="1"/>
  <c r="E46" i="4"/>
  <c r="D42" i="43"/>
  <c r="E42" i="43" s="1"/>
  <c r="E42" i="4"/>
  <c r="E40" i="43"/>
  <c r="A40" i="2" s="1"/>
  <c r="J37" i="4"/>
  <c r="J39" i="37"/>
  <c r="AC38" i="48"/>
  <c r="J47" i="43"/>
  <c r="M37" i="48"/>
  <c r="AI36" i="48"/>
  <c r="AK32" i="48" l="1"/>
  <c r="K32" i="48"/>
  <c r="S33" i="48"/>
  <c r="BD32" i="48"/>
  <c r="AE32" i="48"/>
  <c r="J48" i="6"/>
  <c r="J41" i="6"/>
  <c r="K57" i="6"/>
  <c r="K56" i="6"/>
  <c r="J45" i="6"/>
  <c r="J40" i="37"/>
  <c r="BN34" i="2"/>
  <c r="F35" i="2"/>
  <c r="M8" i="43"/>
  <c r="M34" i="43" s="1"/>
  <c r="M34" i="4"/>
  <c r="J44" i="43"/>
  <c r="E52" i="43"/>
  <c r="E53" i="43" s="1"/>
  <c r="E52" i="4"/>
  <c r="E53" i="4" s="1"/>
  <c r="D52" i="43"/>
  <c r="J37" i="43"/>
  <c r="J39" i="43" s="1"/>
  <c r="J39" i="4"/>
  <c r="M38" i="48"/>
  <c r="AI37" i="48"/>
  <c r="AK33" i="48" l="1"/>
  <c r="K33" i="48"/>
  <c r="BD33" i="48"/>
  <c r="S34" i="48"/>
  <c r="AE33" i="48"/>
  <c r="D53" i="43"/>
  <c r="F36" i="2"/>
  <c r="BN35" i="2"/>
  <c r="J48" i="37"/>
  <c r="K57" i="37"/>
  <c r="J40" i="4"/>
  <c r="K56" i="37"/>
  <c r="J41" i="37"/>
  <c r="J45" i="37"/>
  <c r="AI38" i="48"/>
  <c r="BD34" i="48" l="1"/>
  <c r="AE34" i="48"/>
  <c r="S35" i="48"/>
  <c r="AK34" i="48"/>
  <c r="K34" i="48"/>
  <c r="J48" i="4"/>
  <c r="K57" i="4"/>
  <c r="J41" i="4"/>
  <c r="J40" i="43"/>
  <c r="K56" i="4"/>
  <c r="J45" i="4"/>
  <c r="BN36" i="2"/>
  <c r="F37" i="2"/>
  <c r="AE35" i="48" l="1"/>
  <c r="S36" i="48"/>
  <c r="K35" i="48"/>
  <c r="AK35" i="48"/>
  <c r="BD35" i="48"/>
  <c r="BN37" i="2"/>
  <c r="F38" i="2"/>
  <c r="J48" i="43"/>
  <c r="J45" i="43"/>
  <c r="J41" i="43"/>
  <c r="K56" i="43"/>
  <c r="K57" i="43"/>
  <c r="I49" i="27"/>
  <c r="AK36" i="48" l="1"/>
  <c r="S37" i="48"/>
  <c r="K36" i="48"/>
  <c r="BD36" i="48"/>
  <c r="AE36" i="48"/>
  <c r="BN38" i="2"/>
  <c r="F39" i="2"/>
  <c r="I50" i="27"/>
  <c r="I51" i="27"/>
  <c r="J49" i="27"/>
  <c r="X14" i="48"/>
  <c r="V14" i="48"/>
  <c r="U14" i="48"/>
  <c r="AK37" i="48" l="1"/>
  <c r="S38" i="48"/>
  <c r="K37" i="48"/>
  <c r="BD37" i="48"/>
  <c r="AE37" i="48"/>
  <c r="BN39" i="2"/>
  <c r="F40" i="2"/>
  <c r="BN40" i="2" s="1"/>
  <c r="J50" i="27"/>
  <c r="J49" i="28"/>
  <c r="J51" i="27"/>
  <c r="Y14" i="48"/>
  <c r="W14" i="48"/>
  <c r="U15" i="48"/>
  <c r="K38" i="48" l="1"/>
  <c r="AE38" i="48"/>
  <c r="AK38" i="48"/>
  <c r="BD38" i="48"/>
  <c r="J50" i="28"/>
  <c r="J51" i="28"/>
  <c r="Y15" i="48"/>
  <c r="W15" i="48"/>
  <c r="I49" i="26" l="1"/>
  <c r="I50" i="26" l="1"/>
  <c r="I51" i="26"/>
  <c r="J49" i="26"/>
  <c r="X16" i="48"/>
  <c r="V16" i="48"/>
  <c r="U16" i="48"/>
  <c r="J50" i="26" l="1"/>
  <c r="J51" i="26"/>
  <c r="Y16" i="48"/>
  <c r="W16" i="48"/>
  <c r="I49" i="24" l="1"/>
  <c r="I49" i="25"/>
  <c r="I50" i="25" l="1"/>
  <c r="I51" i="25"/>
  <c r="J49" i="25"/>
  <c r="J49" i="24" s="1"/>
  <c r="I50" i="24"/>
  <c r="I51" i="24"/>
  <c r="X18" i="48"/>
  <c r="V18" i="48"/>
  <c r="X17" i="48"/>
  <c r="V17" i="48"/>
  <c r="U17" i="48"/>
  <c r="J50" i="25" l="1"/>
  <c r="J51" i="25"/>
  <c r="J50" i="24"/>
  <c r="J51" i="24"/>
  <c r="W17" i="48"/>
  <c r="U18" i="48"/>
  <c r="Y17" i="48"/>
  <c r="W18" i="48" l="1"/>
  <c r="Y18" i="48"/>
  <c r="I49" i="23" l="1"/>
  <c r="I50" i="23" l="1"/>
  <c r="I51" i="23"/>
  <c r="J49" i="23"/>
  <c r="X19" i="48"/>
  <c r="V19" i="48"/>
  <c r="U19" i="48"/>
  <c r="J50" i="23" l="1"/>
  <c r="J51" i="23"/>
  <c r="W19" i="48"/>
  <c r="Y19" i="48"/>
  <c r="I49" i="21" l="1"/>
  <c r="I50" i="21" l="1"/>
  <c r="I51" i="21"/>
  <c r="J49" i="21"/>
  <c r="X20" i="48"/>
  <c r="V20" i="48"/>
  <c r="U20" i="48"/>
  <c r="J49" i="22" l="1"/>
  <c r="J50" i="21"/>
  <c r="J51" i="21"/>
  <c r="W20" i="48"/>
  <c r="Y20" i="48"/>
  <c r="U21" i="48"/>
  <c r="J50" i="22" l="1"/>
  <c r="J51" i="22"/>
  <c r="W21" i="48"/>
  <c r="Y21" i="48"/>
  <c r="I49" i="20" l="1"/>
  <c r="I50" i="20" l="1"/>
  <c r="I51" i="20"/>
  <c r="J49" i="20"/>
  <c r="X22" i="48"/>
  <c r="V22" i="48"/>
  <c r="U22" i="48"/>
  <c r="J50" i="20" l="1"/>
  <c r="J51" i="20"/>
  <c r="W22" i="48"/>
  <c r="Y22" i="48"/>
  <c r="I49" i="19" l="1"/>
  <c r="I50" i="19" l="1"/>
  <c r="I51" i="19"/>
  <c r="J49" i="19"/>
  <c r="X23" i="48"/>
  <c r="V23" i="48"/>
  <c r="U23" i="48"/>
  <c r="J50" i="19" l="1"/>
  <c r="J49" i="18"/>
  <c r="J51" i="19"/>
  <c r="W23" i="48"/>
  <c r="Y23" i="48"/>
  <c r="U24" i="48"/>
  <c r="J49" i="17" l="1"/>
  <c r="J50" i="18"/>
  <c r="J51" i="18"/>
  <c r="U25" i="48"/>
  <c r="W24" i="48"/>
  <c r="Y24" i="48"/>
  <c r="J50" i="17" l="1"/>
  <c r="J51" i="17"/>
  <c r="W25" i="48"/>
  <c r="Y25" i="48"/>
  <c r="I49" i="16" l="1"/>
  <c r="I50" i="16" l="1"/>
  <c r="I51" i="16"/>
  <c r="J49" i="16"/>
  <c r="V26" i="48"/>
  <c r="X26" i="48"/>
  <c r="U26" i="48"/>
  <c r="J50" i="16" l="1"/>
  <c r="J51" i="16"/>
  <c r="W26" i="48"/>
  <c r="Y26" i="48"/>
  <c r="I49" i="15" l="1"/>
  <c r="I50" i="15" l="1"/>
  <c r="I51" i="15"/>
  <c r="J49" i="15"/>
  <c r="V27" i="48"/>
  <c r="X27" i="48"/>
  <c r="U27" i="48"/>
  <c r="J50" i="15" l="1"/>
  <c r="J51" i="15"/>
  <c r="W27" i="48"/>
  <c r="Y27" i="48"/>
  <c r="I49" i="14" l="1"/>
  <c r="I50" i="14" l="1"/>
  <c r="I51" i="14"/>
  <c r="J49" i="14"/>
  <c r="X28" i="48"/>
  <c r="V28" i="48"/>
  <c r="U28" i="48"/>
  <c r="J50" i="14" l="1"/>
  <c r="J51" i="14"/>
  <c r="Y28" i="48"/>
  <c r="W28" i="48"/>
  <c r="I49" i="13" l="1"/>
  <c r="I50" i="13" l="1"/>
  <c r="I51" i="13"/>
  <c r="J49" i="13"/>
  <c r="V29" i="48"/>
  <c r="X29" i="48"/>
  <c r="U29" i="48"/>
  <c r="J50" i="13" l="1"/>
  <c r="J51" i="13"/>
  <c r="W29" i="48"/>
  <c r="Y29" i="48"/>
  <c r="I49" i="12" l="1"/>
  <c r="I50" i="12" l="1"/>
  <c r="I51" i="12"/>
  <c r="J49" i="12"/>
  <c r="V30" i="48"/>
  <c r="X30" i="48"/>
  <c r="U30" i="48"/>
  <c r="J50" i="12" l="1"/>
  <c r="J51" i="12"/>
  <c r="W30" i="48"/>
  <c r="Y30" i="48"/>
  <c r="I49" i="10" l="1"/>
  <c r="I50" i="10" l="1"/>
  <c r="I51" i="10"/>
  <c r="V32" i="48"/>
  <c r="X32" i="48"/>
  <c r="I49" i="11"/>
  <c r="I50" i="11" l="1"/>
  <c r="I51" i="11"/>
  <c r="J49" i="11"/>
  <c r="X31" i="48"/>
  <c r="V31" i="48"/>
  <c r="U31" i="48"/>
  <c r="J50" i="11" l="1"/>
  <c r="J51" i="11"/>
  <c r="J49" i="10"/>
  <c r="W31" i="48"/>
  <c r="U32" i="48"/>
  <c r="Y31" i="48"/>
  <c r="J50" i="10" l="1"/>
  <c r="J51" i="10"/>
  <c r="W32" i="48"/>
  <c r="Y32" i="48"/>
  <c r="I49" i="9" l="1"/>
  <c r="I50" i="9" l="1"/>
  <c r="I51" i="9"/>
  <c r="J49" i="9"/>
  <c r="V33" i="48"/>
  <c r="X33" i="48"/>
  <c r="T41" i="48"/>
  <c r="U33" i="48"/>
  <c r="J49" i="8" l="1"/>
  <c r="J50" i="9"/>
  <c r="J51" i="9"/>
  <c r="U34" i="48"/>
  <c r="Y33" i="48"/>
  <c r="W33" i="48"/>
  <c r="X41" i="48"/>
  <c r="V41" i="48"/>
  <c r="J50" i="8" l="1"/>
  <c r="J49" i="7"/>
  <c r="J51" i="8"/>
  <c r="W34" i="48"/>
  <c r="Y34" i="48"/>
  <c r="U35" i="48"/>
  <c r="J50" i="7" l="1"/>
  <c r="J49" i="6"/>
  <c r="J51" i="7"/>
  <c r="Y35" i="48"/>
  <c r="U36" i="48"/>
  <c r="W35" i="48"/>
  <c r="J49" i="37" l="1"/>
  <c r="J50" i="6"/>
  <c r="J51" i="6"/>
  <c r="U37" i="48"/>
  <c r="Y36" i="48"/>
  <c r="W36" i="48"/>
  <c r="J49" i="4" l="1"/>
  <c r="J50" i="37"/>
  <c r="J51" i="37"/>
  <c r="U38" i="48"/>
  <c r="Y37" i="48"/>
  <c r="W37" i="48"/>
  <c r="J49" i="43" l="1"/>
  <c r="J50" i="4"/>
  <c r="J51" i="4"/>
  <c r="Y38" i="48"/>
  <c r="W38" i="48"/>
  <c r="J50" i="43" l="1"/>
  <c r="J51" i="43"/>
  <c r="KV35" i="1" l="1"/>
  <c r="EK41" i="1"/>
  <c r="EL41" i="1" s="1"/>
  <c r="EL35" i="1"/>
  <c r="EM35" i="1"/>
  <c r="KT35" i="1"/>
  <c r="KV41" i="1" l="1"/>
  <c r="EM41" i="1"/>
  <c r="KT41" i="1" s="1"/>
</calcChain>
</file>

<file path=xl/comments1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<sst xmlns="http://schemas.openxmlformats.org/spreadsheetml/2006/main" count="6350" uniqueCount="820">
  <si>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</si>
  <si>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</si>
  <si>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</si>
  <si>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</si>
  <si>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</si>
  <si>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</si>
  <si>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</si>
  <si>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</si>
  <si>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</si>
  <si>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</si>
  <si>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</si>
  <si>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</si>
  <si>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</si>
  <si>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</si>
  <si>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</si>
  <si>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</si>
  <si>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</si>
  <si>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</si>
  <si>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</si>
  <si>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</si>
  <si>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</si>
  <si>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</si>
  <si>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</si>
  <si>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</si>
  <si>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</si>
  <si>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</si>
  <si>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</si>
  <si>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</si>
  <si>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</si>
  <si>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</si>
  <si>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</si>
  <si>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</si>
  <si>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</si>
  <si>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</si>
  <si>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</si>
  <si>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</si>
  <si>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</si>
  <si>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</si>
  <si>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</si>
  <si>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</si>
  <si>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</si>
  <si>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</si>
  <si>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Albacell</t>
  </si>
  <si>
    <t>TOTAL NBKP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</si>
  <si>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</si>
  <si>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</si>
  <si>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</si>
  <si>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</si>
  <si>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</si>
  <si>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</si>
  <si>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</si>
  <si>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</si>
  <si>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</si>
  <si>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</si>
  <si>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</si>
  <si>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</si>
  <si>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</si>
  <si>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</si>
  <si>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</si>
  <si>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</si>
  <si>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</si>
  <si>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</si>
  <si>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</si>
  <si>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</si>
  <si>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</si>
  <si>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</si>
  <si>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</si>
  <si>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</si>
  <si>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</si>
  <si>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</si>
  <si>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</si>
  <si>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</si>
  <si>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</si>
  <si>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</si>
  <si>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</si>
  <si>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</si>
  <si>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</si>
  <si>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</si>
  <si>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</si>
  <si>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</si>
  <si>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</si>
  <si>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</si>
  <si>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</si>
  <si>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</si>
  <si>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</si>
  <si>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</si>
  <si>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</si>
  <si>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</si>
  <si>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</si>
  <si>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</si>
  <si>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</si>
  <si>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</si>
  <si>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</si>
  <si>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</si>
  <si>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</si>
  <si>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</si>
  <si>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</si>
  <si>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</si>
  <si>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</si>
  <si>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</si>
  <si>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</si>
  <si>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</si>
  <si>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</si>
  <si>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</si>
  <si>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</si>
  <si>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</si>
  <si>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</si>
  <si>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</si>
  <si>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</si>
  <si>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</si>
  <si>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</si>
  <si>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</si>
  <si>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</si>
  <si>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</si>
  <si>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</si>
  <si>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</si>
  <si>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</si>
  <si>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</si>
  <si>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</si>
  <si>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</si>
  <si>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</si>
  <si>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</si>
  <si>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</si>
  <si>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</si>
  <si>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</si>
  <si>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</si>
  <si>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</si>
  <si>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</si>
  <si>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</si>
  <si>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</si>
  <si>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</si>
  <si>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</si>
  <si>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</si>
  <si>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</si>
  <si>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</si>
  <si>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Selisih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</si>
  <si>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</si>
  <si>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</si>
  <si>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</si>
  <si>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</si>
  <si>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</si>
  <si>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</si>
  <si>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</si>
  <si>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</si>
  <si>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</si>
  <si>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</si>
  <si>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MONDE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</si>
  <si>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</si>
  <si>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</si>
  <si>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</si>
  <si>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</si>
  <si>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</si>
  <si>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</si>
  <si>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</si>
  <si>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</si>
  <si>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</si>
  <si>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</si>
  <si>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</si>
  <si>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</si>
  <si>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</si>
  <si>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</si>
  <si>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</si>
  <si>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</si>
  <si>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</si>
  <si>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</si>
  <si>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</si>
  <si>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</si>
  <si>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</si>
  <si>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</si>
  <si>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</si>
  <si>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Off Reel</t>
  </si>
  <si>
    <t>Off Rewinder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</si>
  <si>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</si>
  <si>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</si>
  <si>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</si>
  <si>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</si>
  <si>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</si>
  <si>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</si>
  <si>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</si>
  <si>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</si>
  <si>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</si>
  <si>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</si>
  <si>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</si>
  <si>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TISSUE MACHINE 14</t>
  </si>
  <si>
    <t>PAPER MACHINE 14 DAILY REPORT 1</t>
  </si>
  <si>
    <t>Total PM14</t>
  </si>
  <si>
    <t>PM 14</t>
  </si>
  <si>
    <t xml:space="preserve">PM14 Efficiency Report </t>
  </si>
  <si>
    <t>trim</t>
  </si>
  <si>
    <t>Eff</t>
  </si>
  <si>
    <t>yankee</t>
  </si>
  <si>
    <t>reel</t>
  </si>
  <si>
    <t>creeping</t>
  </si>
  <si>
    <t>time</t>
  </si>
  <si>
    <t>Teori</t>
  </si>
  <si>
    <t>Accept</t>
  </si>
  <si>
    <t>Baklog</t>
  </si>
  <si>
    <t>Sisa spool popereel</t>
  </si>
  <si>
    <t xml:space="preserve">Sisa Spool seset </t>
  </si>
  <si>
    <t>Pending</t>
  </si>
  <si>
    <t>Ngelokor</t>
  </si>
  <si>
    <t>Keriput</t>
  </si>
  <si>
    <t>Start up</t>
  </si>
  <si>
    <t>Potongan jelek</t>
  </si>
  <si>
    <t>Hole</t>
  </si>
  <si>
    <t>Trim</t>
  </si>
  <si>
    <t>Kertas sobek pinggir</t>
  </si>
  <si>
    <t>Joint</t>
  </si>
  <si>
    <t>Formasi jelek</t>
  </si>
  <si>
    <t>Lembab</t>
  </si>
  <si>
    <t>Diameter &lt; std</t>
  </si>
  <si>
    <t>Gelembung</t>
  </si>
  <si>
    <t>soping</t>
  </si>
  <si>
    <t>Bw &lt; std</t>
  </si>
  <si>
    <t>crushing</t>
  </si>
  <si>
    <t>White spot</t>
  </si>
  <si>
    <t>Thickness &lt; std</t>
  </si>
  <si>
    <t>Bulky &lt; std</t>
  </si>
  <si>
    <t>Bw &gt; std</t>
  </si>
  <si>
    <t>Kertas melipat</t>
  </si>
  <si>
    <t>Sisa Spool rewinder</t>
  </si>
  <si>
    <t>Change Grade</t>
  </si>
  <si>
    <t>Loss time sheet break</t>
  </si>
  <si>
    <t>Loss time change blade</t>
  </si>
  <si>
    <t>Loss time change grade</t>
  </si>
  <si>
    <t>NGR 900</t>
  </si>
  <si>
    <t>total</t>
  </si>
  <si>
    <t>LBKP CAKRAWALA</t>
  </si>
  <si>
    <t>-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</si>
  <si>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</si>
  <si>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</si>
  <si>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</si>
  <si>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</si>
  <si>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</si>
  <si>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</si>
  <si>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</si>
  <si>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</si>
  <si>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</si>
  <si>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</si>
  <si>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</si>
  <si>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</si>
  <si>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</si>
  <si>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</si>
  <si>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</si>
  <si>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</si>
  <si>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</si>
  <si>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</si>
  <si>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</si>
  <si>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</si>
  <si>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</si>
  <si>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</si>
  <si>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</si>
  <si>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</si>
  <si>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</si>
  <si>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</si>
  <si>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</si>
  <si>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</si>
  <si>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</si>
  <si>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</si>
  <si>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</si>
  <si>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</si>
  <si>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</si>
  <si>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</si>
  <si>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</si>
  <si>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</si>
  <si>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</si>
  <si>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</si>
  <si>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</si>
  <si>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PM 14 Summary</t>
  </si>
  <si>
    <t>Gas ConsumptionHood PM 14</t>
  </si>
  <si>
    <t>Gas ConsumptionHood PM14</t>
  </si>
  <si>
    <t>Gas based on report DCS</t>
  </si>
  <si>
    <t>Flowmeter</t>
  </si>
  <si>
    <t>% pengali</t>
  </si>
  <si>
    <t>Adjust</t>
  </si>
  <si>
    <t>PGN</t>
  </si>
  <si>
    <t>Total Prosentase</t>
  </si>
  <si>
    <t>creeping mark</t>
  </si>
  <si>
    <t>Warisan</t>
  </si>
  <si>
    <t>Dirt</t>
  </si>
  <si>
    <t>kertas lembab</t>
  </si>
  <si>
    <t>Seset Change Grade</t>
  </si>
  <si>
    <t>potongan lari lari</t>
  </si>
  <si>
    <t>Potongan serabut</t>
  </si>
  <si>
    <t>UNKNOWN</t>
  </si>
  <si>
    <t>Sinergy</t>
  </si>
  <si>
    <t>MDT rendah</t>
  </si>
  <si>
    <t>PEMAKAIAN GAS</t>
  </si>
  <si>
    <t>PULP AND BROKE DAILY REPORT PM 14</t>
  </si>
  <si>
    <t>CHEMICAL DAILY REPORT PM 14</t>
  </si>
  <si>
    <t>Marketing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</si>
  <si>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</si>
  <si>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</si>
  <si>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</si>
  <si>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</si>
  <si>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</si>
  <si>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</si>
  <si>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</si>
  <si>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</si>
  <si>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</si>
  <si>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</si>
  <si>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</si>
  <si>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VP OW</t>
  </si>
  <si>
    <t>Trafo (2500 A)</t>
  </si>
  <si>
    <t>Trafo (2500 B)</t>
  </si>
  <si>
    <t>Kehilangan Effisiensi PM 14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</si>
  <si>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</si>
  <si>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</si>
  <si>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</si>
  <si>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</si>
  <si>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</si>
  <si>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</si>
  <si>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</si>
  <si>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</si>
  <si>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</si>
  <si>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</si>
  <si>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</si>
  <si>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</si>
  <si>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</si>
  <si>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</si>
  <si>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</si>
  <si>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</si>
  <si>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</si>
  <si>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</si>
  <si>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</si>
  <si>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</si>
  <si>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</si>
  <si>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</si>
  <si>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</si>
  <si>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</si>
  <si>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</si>
  <si>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</si>
  <si>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</si>
  <si>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</si>
  <si>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</si>
  <si>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</si>
  <si>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</si>
  <si>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</si>
  <si>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</si>
  <si>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</si>
  <si>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</si>
  <si>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</si>
  <si>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</si>
  <si>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</si>
  <si>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</si>
  <si>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</si>
  <si>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</si>
  <si>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</si>
  <si>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</si>
  <si>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</si>
  <si>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</si>
  <si>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</si>
  <si>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</si>
  <si>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</si>
  <si>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</si>
  <si>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</si>
  <si>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</si>
  <si>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</si>
  <si>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</si>
  <si>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</si>
  <si>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</si>
  <si>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</si>
  <si>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</si>
  <si>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</si>
  <si>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</si>
  <si>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</si>
  <si>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</si>
  <si>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</si>
  <si>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</si>
  <si>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</si>
  <si>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</si>
  <si>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</si>
  <si>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Running</t>
  </si>
  <si>
    <t>PM 14 Running Time</t>
  </si>
  <si>
    <t>Down Time PLN</t>
  </si>
  <si>
    <t xml:space="preserve">Kapasitas Running (ton) </t>
  </si>
  <si>
    <t>Eff FG vs Target  Running(%)</t>
  </si>
  <si>
    <t>SCA</t>
  </si>
  <si>
    <t>- Cleaning</t>
  </si>
  <si>
    <t>Sample QC</t>
  </si>
  <si>
    <t>Change Grade/Cleaning</t>
  </si>
  <si>
    <t>TEL PELITA</t>
  </si>
  <si>
    <t>EPOSTRONG</t>
  </si>
  <si>
    <t>DFR 810S</t>
  </si>
  <si>
    <t>0</t>
  </si>
  <si>
    <t>- Sheet Breaks (0x)</t>
  </si>
  <si>
    <t>- Change Spool (8x)</t>
  </si>
  <si>
    <t>- Change Blade (5x)</t>
  </si>
  <si>
    <t>- Change Spool (25x)</t>
  </si>
  <si>
    <t>Ariko P</t>
  </si>
  <si>
    <t>Hadi F</t>
  </si>
  <si>
    <t>Erwin R</t>
  </si>
  <si>
    <t>SUZANO</t>
  </si>
  <si>
    <t>SS</t>
  </si>
  <si>
    <t>PHP PM</t>
  </si>
  <si>
    <t xml:space="preserve">PM14 Efficiency Running Report </t>
  </si>
  <si>
    <t>Steam, &amp; gangguan sinergy (X)</t>
  </si>
  <si>
    <t>Freq, Trip PLN (X)</t>
  </si>
  <si>
    <t>Cleaning Holes (X)</t>
  </si>
  <si>
    <t>Per hari</t>
  </si>
  <si>
    <t>- Sheet Breaks (2x)</t>
  </si>
  <si>
    <t>.04.26</t>
  </si>
  <si>
    <t>- Awal Shift PM Produksi  F 11.5 fudak
Speed 1230mpm/-24%</t>
  </si>
  <si>
    <t>- 23.00 jumbo sebelah Ts gripis</t>
  </si>
  <si>
    <t>- Awal Shift PM Produksi   F 11,5/4ply
speed target : 1230
speed actual : 1230/24%</t>
  </si>
  <si>
    <t>18:02 pm mulai tidak lancar muncul gripis bagian TS 
- seting temperatur hud 
18:08 pm masih putus2 bagian TS karena gripis 
- kurang bukaan demper hud bagian TS dry n wet</t>
  </si>
  <si>
    <t xml:space="preserve">- Awal Shift PM Produksi  F11,5
Speed 1230mpm/-24% </t>
  </si>
  <si>
    <t>Awal shift speed 1150 mpm
Speed akhir 1230 mpm</t>
  </si>
  <si>
    <t>F 11,5</t>
  </si>
  <si>
    <t>1230/934,8</t>
  </si>
  <si>
    <t>1190/904,4</t>
  </si>
  <si>
    <t>1216,67/924,67</t>
  </si>
  <si>
    <t>- Change Blade (0x)</t>
  </si>
  <si>
    <t>- Change Spool (9x)</t>
  </si>
  <si>
    <t>- Change Blade (1x)</t>
  </si>
  <si>
    <t>- Sheet Breaks (6x)</t>
  </si>
  <si>
    <t>- Change Blade (6x)</t>
  </si>
  <si>
    <t>133*2</t>
  </si>
  <si>
    <t>F 11,5 VP OW</t>
  </si>
  <si>
    <t>EBKP GHN</t>
  </si>
  <si>
    <t>- Awal Shift PM Produksi  F11,5
Speed 1230mpm/-24%</t>
  </si>
  <si>
    <t>- Awal Shift PM Produksi  F 11,5/4 ply
speed target : 1230
speed actual : 1230/24%</t>
  </si>
  <si>
    <t>- Awal Shift PM Produksi  F 11,5
speed target : 1230
speed actual : 1230/24%</t>
  </si>
  <si>
    <t>01:23 kertas gripis bagian TS 
- seting temperatur hood
02:10 gripis hilang pm mulai lancar</t>
  </si>
  <si>
    <t xml:space="preserve"> 13:02 drain condensat, med ada perbaikan jalur kondensat pm 16,17</t>
  </si>
  <si>
    <t>- Awal Shift PM Produksi F 11,5
speed target : 1230
speed actual : 1230/24%</t>
  </si>
  <si>
    <t>- Awal Shift PM Produksi   F11,5
Speed 1230mpm/-24%</t>
  </si>
  <si>
    <t>- Change Spool (10x)</t>
  </si>
  <si>
    <t>- Change Blade (4x)</t>
  </si>
  <si>
    <t>- Change Spool (29x)</t>
  </si>
  <si>
    <t>- Change Blade (9x)</t>
  </si>
  <si>
    <t>- Change Spool (30x)</t>
  </si>
  <si>
    <t>Agus K</t>
  </si>
  <si>
    <t>SODIUM HYPOCHLORID</t>
  </si>
  <si>
    <t>Detac DC779F</t>
  </si>
  <si>
    <t>Cytreat 427</t>
  </si>
  <si>
    <t>Cylube 901</t>
  </si>
  <si>
    <t>CHEMZYME CL</t>
  </si>
  <si>
    <t>- Awal Shift PM Produksi F11,5
Speed 1230mpm/-24%</t>
  </si>
  <si>
    <t>- Awal Shift PM Produksi   F13
Speed 1230mpm/-24%</t>
  </si>
  <si>
    <t>02:10 Change grade F11,5
            Speed 1230mpm/-24%
            Amisoft on 2kg</t>
  </si>
  <si>
    <t xml:space="preserve">- Awal Shift PM Produksi   F11,5
Speed 1230mpm/-24% </t>
  </si>
  <si>
    <t xml:space="preserve"> - 10:10 change grade F14 speed 1180/-28%
Amisoft off
13:11 change grade F13 speed 1210/-24%</t>
  </si>
  <si>
    <t>F 14</t>
  </si>
  <si>
    <t>F 13</t>
  </si>
  <si>
    <t>- Awal Shift PM Produksi   F13 fg pingguan
Speed 1230mpm/-24%
speed actual 1210/-24%</t>
  </si>
  <si>
    <t>1222,08/928,78</t>
  </si>
  <si>
    <t>1210/919,6</t>
  </si>
  <si>
    <t>1206,6/899,22</t>
  </si>
  <si>
    <t>1212,9/915,87</t>
  </si>
  <si>
    <t>- Change Spool (11x)</t>
  </si>
  <si>
    <t>11,5/14/13</t>
  </si>
  <si>
    <t>11,5</t>
  </si>
  <si>
    <t>- Sheet Breaks (4x)</t>
  </si>
  <si>
    <t>275*1</t>
  </si>
  <si>
    <t>130,5*2</t>
  </si>
  <si>
    <t>F 13 VP OW</t>
  </si>
  <si>
    <t>F 14 VP OW</t>
  </si>
  <si>
    <t>- Awal Shift PM Produksi F14
Speed 1150mpm/-25%</t>
  </si>
  <si>
    <t>- Awal Shift PM Produksi F14 idm premium
speed:1150mpm/-25%</t>
  </si>
  <si>
    <t>F 12</t>
  </si>
  <si>
    <t>09:47 change grade F 12 speed 1230/24%
13:09 change grade F 14 speed 1150/25%</t>
  </si>
  <si>
    <t>1150/862,5</t>
  </si>
  <si>
    <t>1211,5/918,08</t>
  </si>
  <si>
    <t>1170,5/881,03</t>
  </si>
  <si>
    <t>- Change Blade (3x)</t>
  </si>
  <si>
    <t>11,5/12/14</t>
  </si>
  <si>
    <t>- Change Spool (28x)</t>
  </si>
  <si>
    <t>120+140</t>
  </si>
  <si>
    <t>F 12 VP OW</t>
  </si>
  <si>
    <t>EBKP SUZANO</t>
  </si>
  <si>
    <t>- Awal Shift PM Produksi F16 offrel puma
speed:1100mpm/-25%</t>
  </si>
  <si>
    <t>17.35 tissu sirkulasi utm gagal join jumbo offrel
17.51 tissu onrell
18.05 change grade F14 IDM premium</t>
  </si>
  <si>
    <t>- Awal Shift PM Produksi F 14
speed target : 1230
speed actual : 1150/25%</t>
  </si>
  <si>
    <t>14:22 change grade F 16 speed 1100/25%</t>
  </si>
  <si>
    <t>F 16</t>
  </si>
  <si>
    <t>1130,73/848,05</t>
  </si>
  <si>
    <t>1146,04/859,53</t>
  </si>
  <si>
    <t>1142,26/856,69</t>
  </si>
  <si>
    <t>14/16</t>
  </si>
  <si>
    <t>- Change Blade (2x)</t>
  </si>
  <si>
    <t>F 16 VP OW</t>
  </si>
  <si>
    <t>NBKP SODRA</t>
  </si>
  <si>
    <t>SOFTENER PURIFEC</t>
  </si>
  <si>
    <t>- Awal Shift PM Produksi  F16
Speed 1050mpm/-25% 
Deckle 2,75cm</t>
  </si>
  <si>
    <t>2:55 ganti blade kertas sulit di sambung, kertas putus mdt rendah
load refiner gearbox sering nyantol, tidak bisa set poin cek eid
3:26 load refiner oke 
6:33 change grade F15, speed 1070/-25%</t>
  </si>
  <si>
    <t>- Awal Shift PM Produksi F16 offrel puma
speed:1050mpm/-25%</t>
  </si>
  <si>
    <t>16.17 jumbo roll turun tissu ngelokor 
18.30 jumbo roll turun tissu ngelokor</t>
  </si>
  <si>
    <t>- Awal Shift PM Produksi  F 14
speed target : 1230
speed actual : 1150/25%</t>
  </si>
  <si>
    <t>09:12 ganti ke amisoft 
10:50 ganti ke purefect 
11:20 change gride F 16 speed 1050/25%</t>
  </si>
  <si>
    <t>1104,17/828,125</t>
  </si>
  <si>
    <t>1050/787,5</t>
  </si>
  <si>
    <t>1068,06/801,04</t>
  </si>
  <si>
    <t>- Sheet Breaks (3x)</t>
  </si>
  <si>
    <t>- Sheet Breaks (5x)</t>
  </si>
  <si>
    <t xml:space="preserve">- Awal Shift PM Produksi  T14
Speed 700mpm/-24% </t>
  </si>
  <si>
    <t>Awal shift pm persiapan start , setting vacuum zone dg med shift, diputer sampai flexible join ngowos blm bisa, 
pm gagal start, sudut vacum zone spr tidak pas, hub p yosep, setting spr, kendori 3 baut di cover dump head, ganti slang silling spr bocor
0:57 spr oke pm start 
1:33 pm on reel Su T14 
1:57 jumbo turun hole acak, karcer wire, cek felt bulu felt berdiri&amp;grease di stretch roll felt muncrat kena felt
2:25 pm stop cek felt &amp; wire cleaning dg rinso dan setting nozzle floading sower felt, med cleaning grease
3:55 pm start up 
4:10 pm on reel Su T14 speed 700/-24%, pinhole minin kertas acc
4:24 pm naik speed perlahan 
Akhir shift pm speed 780mpm</t>
  </si>
  <si>
    <t>Awal sift pm 14 stop ganti felt 
20.47 pm 14 pasang felt selesai
_ proses heating yankee dan cuci felt dengan sabun 
21.15 pm 14 precompact felt</t>
  </si>
  <si>
    <t>- Awal Shift PM Produksi   F 15
speed target : 1230
speed actual : 1100/25%</t>
  </si>
  <si>
    <t>Eletrical</t>
  </si>
  <si>
    <t>08:07 pm trip driver suction fault 
- eid ganti motor
- meid pasang roll fed
09:00 ganti felt , felt kejatuhann roll felt akhirnya felt sobek 
- cleaning nozzle hpp wire + sower2
- potong felt + penyiapan felt baru 
- mekanik ganti SPR 
- cleaning area pm</t>
  </si>
  <si>
    <t>F 15</t>
  </si>
  <si>
    <t>1051,13/788,344</t>
  </si>
  <si>
    <t>14/16/15</t>
  </si>
  <si>
    <t>T 14</t>
  </si>
  <si>
    <t>756,22/574,72</t>
  </si>
  <si>
    <t>1070/802,5</t>
  </si>
  <si>
    <t>828,96/627,53</t>
  </si>
  <si>
    <t>- Change Spool (2x)</t>
  </si>
  <si>
    <t>- Change Spool (5x)</t>
  </si>
  <si>
    <t>- Change Spool (0x)</t>
  </si>
  <si>
    <t>Facial/Toilet</t>
  </si>
  <si>
    <t>15/14</t>
  </si>
  <si>
    <t>Toilet</t>
  </si>
  <si>
    <t>- Change Spool (7x)</t>
  </si>
  <si>
    <t xml:space="preserve">- 08:07 pm trip driver suction fault </t>
  </si>
  <si>
    <t xml:space="preserve">- Ganti felt , felt kejatuhann roll felt </t>
  </si>
  <si>
    <t>136,5+117+15,5</t>
  </si>
  <si>
    <t>T 14 VP OW</t>
  </si>
  <si>
    <t>F 15 VP OW</t>
  </si>
  <si>
    <t>- Awal Shift PM Produksi T13
Speed 1100mpm/-25,5%(felt baru dan rawan marking)</t>
  </si>
  <si>
    <t>15:51 Speed up 1120mpm
18:23 muncul marking bagian center dan Ts , kertas lembab , speed down 1100mpm
20:40 masih sering marking , 
- speed down 1080mpm
- Setting temperatur hood
- setting pressure dan flow coating release
20:53 marking mulai hilang
22:00 Speed up 1100mpm</t>
  </si>
  <si>
    <t xml:space="preserve">- Awal Shift PM Produksi   T13 soomok, order khusus
Speed 1100mpm/-25% </t>
  </si>
  <si>
    <t>Awal shift mdt kurang thicness minim, adjust  komposisi bb, adjust creeping, 
Kertas rawan marking saat ganti blade
Rew :
6:00 rewind A stop motor hidrolik trip. Cek eid motor over heat, proses pendinginan eid</t>
  </si>
  <si>
    <t>- Awal Shift PM Produksi T 14
speed target : 1230 mpm
speed actual : 780 / 24%</t>
  </si>
  <si>
    <t>09:20 change grade T 13 3ply speed   1030/25%
09:32 speed up 1050/25%
09:40 Rew A stop ganti pot 3ply + tunggu tambor 
12:29 Rew A jalan
14:09 speed up 1100/25%</t>
  </si>
  <si>
    <t>T 13</t>
  </si>
  <si>
    <t>1100/825</t>
  </si>
  <si>
    <t>1103/821,74</t>
  </si>
  <si>
    <t>981,9/738,76</t>
  </si>
  <si>
    <t>1061,63/795,16</t>
  </si>
  <si>
    <t>14/13</t>
  </si>
  <si>
    <t>- Change Spool (26x)</t>
  </si>
  <si>
    <t>129*2</t>
  </si>
  <si>
    <t>T 13 VP OW</t>
  </si>
  <si>
    <t xml:space="preserve">- Awal Shift PM Produksi T13 soomok, order khusus
Speed 1100mpm/-25% </t>
  </si>
  <si>
    <t>- 09:47 speed up 1150</t>
  </si>
  <si>
    <t>- 11:56 speed up 1160</t>
  </si>
  <si>
    <t>- 04:50 kertas brosot dan marking, pm turun speed 20mpm</t>
  </si>
  <si>
    <t xml:space="preserve">- Awal Shift PM Produksi T13 soomok, order khusus
Speed 1160mpm/-25% </t>
  </si>
  <si>
    <t>- 23:40 kertas gripis bagian Fs, ganti blade</t>
  </si>
  <si>
    <t xml:space="preserve">- 23:56 kertas marking ds, ganti blade marking hilang </t>
  </si>
  <si>
    <t xml:space="preserve">- 03:32 kertas gripis bagian ds, ganti Blade kertas marking </t>
  </si>
  <si>
    <t xml:space="preserve">- 03:56 marking hilang </t>
  </si>
  <si>
    <t>1136/852</t>
  </si>
  <si>
    <t>1154/865</t>
  </si>
  <si>
    <t>1160/870</t>
  </si>
  <si>
    <t>1150/862</t>
  </si>
  <si>
    <t xml:space="preserve">- Awal Shift PM Produksi T13 soomok, order khusus
Speed 1140mpm/-25% </t>
  </si>
  <si>
    <t>1140/855</t>
  </si>
  <si>
    <t>1153/865</t>
  </si>
  <si>
    <t>- Sheet Breaks (1x)</t>
  </si>
  <si>
    <t>- Change Spool (24x)</t>
  </si>
  <si>
    <t>- Sheet Breaks (12x)</t>
  </si>
  <si>
    <t>13</t>
  </si>
  <si>
    <t>- Awal Shift PM Produksi T13
Speed 1160mpm/-25%</t>
  </si>
  <si>
    <t>4:50 amisoft on 2kg/t
4:55; change grade T12 speed 1200/-25%</t>
  </si>
  <si>
    <t>- Awal Shift PM Produksi 15:00 Awal shift pm stop, tambah daya PLN 
- Drain dan cleaning area couchpit tank
- Cleaning area pm
15:41 Buka header steam dan heating yankee
16:10 Burner hood on , pm persiapan jalan
16:20 pm start up
16:52 onreel, produksi T13
Speed 1050mpm/-25%(felt baru)</t>
  </si>
  <si>
    <t>17:13 Speed up 1120mpm
17:40 Speed up 1160mpm</t>
  </si>
  <si>
    <t>- Awal Shift PM Produksi T13 soomok
speed:1160mpm/-25%</t>
  </si>
  <si>
    <t xml:space="preserve"> - 09.45 pm stop PLN tambah daya</t>
  </si>
  <si>
    <t>1200/900</t>
  </si>
  <si>
    <t>1150,788/863,091</t>
  </si>
  <si>
    <t>1175,61/881,71</t>
  </si>
  <si>
    <t>- Change Spool (4x)</t>
  </si>
  <si>
    <t>- Change Spool (6x)</t>
  </si>
  <si>
    <t>- Change Spool (19x)</t>
  </si>
  <si>
    <t>speed real</t>
  </si>
  <si>
    <t>speed target</t>
  </si>
  <si>
    <t>LT</t>
  </si>
  <si>
    <t>DT</t>
  </si>
  <si>
    <t>- Tambah Daya PLN</t>
  </si>
  <si>
    <t>- Seset 300 kg Efek PLN</t>
  </si>
  <si>
    <t>Keluar</t>
  </si>
  <si>
    <t>- Awal Shift PM Produksi T12 FG purchasing
Speed 1200mpm/-25%</t>
  </si>
  <si>
    <t>- 11.15 change grade T13(water trim off reel) speed 1170mpm, speed up bertahap sampai 1200mpm</t>
  </si>
  <si>
    <t>- Awal Shift PM Produksi T 13 ( off reel )
speed target : 1230 mpm
speed actual : 1200/22%</t>
  </si>
  <si>
    <t>- Awal Shift PM Produksi T13 Offreel
Speed Target 1230mpm/-22%
Speed aktual 1200mpm/-22%
Lost Speed 30mpm(felt baru)</t>
  </si>
  <si>
    <t>T 12</t>
  </si>
  <si>
    <t>1200/936</t>
  </si>
  <si>
    <t>1193/911,42</t>
  </si>
  <si>
    <t>13/12</t>
  </si>
  <si>
    <t>12/13</t>
  </si>
  <si>
    <t>1197,67/927,81</t>
  </si>
  <si>
    <t>256,5*1</t>
  </si>
  <si>
    <t>267*1</t>
  </si>
  <si>
    <t>T 12 VP OW</t>
  </si>
  <si>
    <t>150+200+</t>
  </si>
  <si>
    <t>160+175+240+215+</t>
  </si>
  <si>
    <t>157+</t>
  </si>
  <si>
    <t>100+200+229+</t>
  </si>
  <si>
    <t>600+</t>
  </si>
  <si>
    <t>120+275+102+</t>
  </si>
  <si>
    <t>186+</t>
  </si>
  <si>
    <t>166+128+</t>
  </si>
  <si>
    <t>286+188+</t>
  </si>
  <si>
    <t>180+</t>
  </si>
  <si>
    <t>190+135+</t>
  </si>
  <si>
    <t>205+168</t>
  </si>
  <si>
    <t>451+</t>
  </si>
  <si>
    <t>100+189+</t>
  </si>
  <si>
    <t>451+289+</t>
  </si>
  <si>
    <t>200+</t>
  </si>
  <si>
    <t>300+</t>
  </si>
  <si>
    <t>410+</t>
  </si>
  <si>
    <t>398+</t>
  </si>
  <si>
    <t>200+385+178+</t>
  </si>
  <si>
    <t>294+</t>
  </si>
  <si>
    <t>187+</t>
  </si>
  <si>
    <t>230+150+328+</t>
  </si>
  <si>
    <t>280+</t>
  </si>
  <si>
    <t>500+</t>
  </si>
  <si>
    <t>980+</t>
  </si>
  <si>
    <t>140+</t>
  </si>
  <si>
    <t>180+244+</t>
  </si>
  <si>
    <t>200+179+400+160+200+</t>
  </si>
  <si>
    <t>120+249+</t>
  </si>
  <si>
    <t>188+160+130+</t>
  </si>
  <si>
    <t>231+</t>
  </si>
  <si>
    <t>432+181+100+200+150+</t>
  </si>
  <si>
    <t>70+</t>
  </si>
  <si>
    <t>192+</t>
  </si>
  <si>
    <t>301+</t>
  </si>
  <si>
    <t>288+</t>
  </si>
  <si>
    <t>100+301+</t>
  </si>
  <si>
    <t>330+295+</t>
  </si>
  <si>
    <t>185+360+126+83+537+</t>
  </si>
  <si>
    <t>- Awal Shift PM Produksi T13 purchasing offreel
Speed 1200mpm/-22%</t>
  </si>
  <si>
    <t>07.46 HDC bocor perbaikan med
10.00 perbaikan hdc selesai</t>
  </si>
  <si>
    <t>- Awal Shift PM Produksi T13 offreel
speed:1200mpm/-22%</t>
  </si>
  <si>
    <t>- Awal Shift PM Produksi  T 13 ( off reel )
speed target : 1230 mpm
speed actual : 1200/22%</t>
  </si>
  <si>
    <t xml:space="preserve">- Awal Shift PM Produksi T13
Speed 1200mpm/-22% </t>
  </si>
  <si>
    <t>07.48 stop popereel joint
10.42 stop popereel joint</t>
  </si>
  <si>
    <t>04:27 kertas putus nozzel trim buntu 
- bongkar nozzel + cleaning
04:40 kertas sambung 
04:51 nozzel trim buntu lagi + tail cutter juga buntu
- drain filter tail cutter airnya keruh hitam banyak kotoran 
- bongkar tail cutter + nozzel trim + cleaning 
05:10 kertas sambung</t>
  </si>
  <si>
    <t>- Awal Shift PM Produksi  T 13,5
speed target : 1230 mpm
speed actual : 1100/22%</t>
  </si>
  <si>
    <t xml:space="preserve">- Awal Shift PM Produksi T12,5
Speed 1200mpm/-24% </t>
  </si>
  <si>
    <t>20:21 tail cutter buntu, pm sirkulasi 10menit
21:41 change grade T13,5 speed 1100/-22%</t>
  </si>
  <si>
    <t>- Awal Shift PM Produksi T12,5
Speed Target 1230mpm/-24%
Speed aktual 1200mpm/-24%
Lost Speed 30mpm (rawan hole dan kertas lembab)</t>
  </si>
  <si>
    <t>12:00 Hdc Dump chest bocor , sementara jalan by pass , cek MED</t>
  </si>
  <si>
    <t>- Awal Shift PM Produksi  T 12,5
speed target : 1230 mpm
speed actual : 1200/24%</t>
  </si>
  <si>
    <t>15:40 jumbo turun kertas lembab dan marking spr bagian C&amp;Fs, turunkan hpp felt jadi 4bar
Pm turun speed jadi 1180mpm, kertas membaik
21:35 pm naik speed perlahan, akhir shift pm speed 1200mpm</t>
  </si>
  <si>
    <t>- Awal Shift PM Produksi T13 Offreel
Speed Target 1230mpm/-22%
Speed aktual 1200mpm/-22%
Lost Speed 30mpm</t>
  </si>
  <si>
    <t>11:57 Change grade T12 Hb Speed 1220 mpm/-26%
13:31 Change grade T12,5 Lb
           Speed 1210mpm/-23 5%</t>
  </si>
  <si>
    <t>T 12,5</t>
  </si>
  <si>
    <t>1200/912</t>
  </si>
  <si>
    <t>1185,21/900,76</t>
  </si>
  <si>
    <t>1205,77/927,58</t>
  </si>
  <si>
    <t>1196,99/913,45</t>
  </si>
  <si>
    <t>T 13,5</t>
  </si>
  <si>
    <t>1100/858</t>
  </si>
  <si>
    <t>1183,54/903,11</t>
  </si>
  <si>
    <t>1161,18/891,04</t>
  </si>
  <si>
    <t>13/12/12,5</t>
  </si>
  <si>
    <t>12,5/13,5</t>
  </si>
  <si>
    <t>257*1</t>
  </si>
  <si>
    <t>T 12,5 VP OW</t>
  </si>
  <si>
    <t>T 13,5 VP OW</t>
  </si>
  <si>
    <t xml:space="preserve">- Awal Shift PM Produksi F14,5
Speed 1160mpm/-25% </t>
  </si>
  <si>
    <t>18:53 temp kertas turun pm turun speed 10mpm
Naikan temperatur hood, kertas ok</t>
  </si>
  <si>
    <t>- Awal Shift PM Produksi  F14.5 PSC
speed:1140mpm/-25%</t>
  </si>
  <si>
    <t>- 00.18 change blade, speed turun 1130 mpm (thic drop)</t>
  </si>
  <si>
    <t>- Awal Shift PM Produksi T13,5
Speed Target 1230mpm/-22%
Speed aktual 1120mpm/-22%
Lost Speed 110mpm (rawan hole dan kertas lembab)</t>
  </si>
  <si>
    <t>- 08:20 Change grade F12
           Speed 1230mpm/-25%
- amisoft on 2kg
10:13 Change grade F14,5
           Speed 1150mpm/-25,5%(spek khusus)
- amisoft on 8kg</t>
  </si>
  <si>
    <t>F 14,5</t>
  </si>
  <si>
    <t>1131,63/848,72</t>
  </si>
  <si>
    <t>1163,83/875,04</t>
  </si>
  <si>
    <t>1151,82/864,59</t>
  </si>
  <si>
    <t>- Change Spool (12x)</t>
  </si>
  <si>
    <t>Toilet/Facial</t>
  </si>
  <si>
    <t>13,5/12/14,5</t>
  </si>
  <si>
    <t>128*2</t>
  </si>
  <si>
    <t>130*2</t>
  </si>
  <si>
    <t>F 14,5 VP OW</t>
  </si>
  <si>
    <t xml:space="preserve">- Awal Shift PM Produksi  F14,5 Speed 1140mpm/-25% </t>
  </si>
  <si>
    <t xml:space="preserve">- 7:45 pm naik speed 10mpm
10:35 ganti Blade </t>
  </si>
  <si>
    <t>- Awal Shift PM Produksi F14.5 PSC
Speed 1140mpm/-25%</t>
  </si>
  <si>
    <t>- Speed turun 10 mpm, tickness minim, adjust temp</t>
  </si>
  <si>
    <t>1149,06/861,797</t>
  </si>
  <si>
    <t>1130,94/848,203</t>
  </si>
  <si>
    <t>14,5</t>
  </si>
  <si>
    <t>- Change Spool (27x)</t>
  </si>
  <si>
    <t>- Awal Shift PM Produksi  F14.5 PSC
speed:1150mpm/-25%</t>
  </si>
  <si>
    <t>- Awal Shift PM Produksi   F 14,5
speed target : 1230 mpm
speed actual : 1150/25%</t>
  </si>
  <si>
    <t>17:25 tambor turun thicknes rendah setelah ganti blade ceramic no 2
- seting temperatur hud 
18:23 tambor turun thicnes mulai naik
- kurangi load reviner 
20:14 tambor turun thicknes sudah mencapai target</t>
  </si>
  <si>
    <t>Planned Shut</t>
  </si>
  <si>
    <t>- Awal Shift PM Produksi F 14,5
speed target : 1230 mpm
speed actual : 1150/25%</t>
  </si>
  <si>
    <t>- 05.08 Cange grade f14 fg tecshon 3ply</t>
  </si>
  <si>
    <t>14,5/14</t>
  </si>
  <si>
    <t>- Awal Shift PM Produksi F14,5
Speed 1150mpm/-25%</t>
  </si>
  <si>
    <t xml:space="preserve">- Awal Shift PM Produksi  F14 hb
Speed 1150mpm/-25% </t>
  </si>
  <si>
    <t>21:58 kertas sering putus setelah ganti blade no 2 
- cleaning area semua roll indikasi kotoran</t>
  </si>
  <si>
    <t>1167,92/875,94</t>
  </si>
  <si>
    <t>- Sheet Breaks (8x)</t>
  </si>
  <si>
    <t>116*2+25</t>
  </si>
  <si>
    <t>11:00 amisoft off 
11:20 change grade F 13, speed 1180/-26% hb thick min 0.90</t>
  </si>
  <si>
    <t>- Awal Shift PM Produksi F 13
speed target : 1230 mpm
speed actual : 1170/26%</t>
  </si>
  <si>
    <t>- Awal Shift PM Produksi  F13 ssanggi
speed:1170mpm/-27%</t>
  </si>
  <si>
    <t>1163,75/867,404</t>
  </si>
  <si>
    <t>1170/865,8</t>
  </si>
  <si>
    <t>1170/854,1</t>
  </si>
  <si>
    <t>- Awal Shift PM Produksi  T15 Hb
Speed aktual 1100mpm/-25%
Lost Speed 130mpm (rawan hole dan kertas lembab)</t>
  </si>
  <si>
    <t>- Awal Shift PM Produksi  F 12
speed target : 1230 mpm
speed actual : 1230/24%</t>
  </si>
  <si>
    <t>18:45 change grade T 15 speed 1020/25%
20:08 speed up 1040
21:03 speed up 1050
21:40 speed up 1060
22:02 speed up 1080</t>
  </si>
  <si>
    <t>- Awal Shift PM Produksi F12 hb
Act Speed  1220mpm/-28% (thickness minim)</t>
  </si>
  <si>
    <t>- 7:10 jumbo turun thickness 0,87. Gulung cvt lb</t>
  </si>
  <si>
    <t>- Awal Shift PM Produksi  F12 AHS
speed:1230mpm/-24%
speed actual:1230mpm/-27%</t>
  </si>
  <si>
    <t>- Awal Shift PM Produksi  F13 fg omega
speed:1200mpm/-27%</t>
  </si>
  <si>
    <t>- Awal Shift PM Produksi F13 hb
Act speed Speed 1170mpm/-27% (thickness minim)</t>
  </si>
  <si>
    <t>7:16 amisoft on 140ml/menit 
8.30 adjust masak nbkp 1 ball
12:25 pm naik speed 1200 mpm
13:47 kertas garis2, ganti Blade keramik (baru)</t>
  </si>
  <si>
    <t>- 19.40 change grade F12 speed 1230mpm/-26(amisoft off)</t>
  </si>
  <si>
    <t>1179,69/861,172</t>
  </si>
  <si>
    <t>1212,5/885,125</t>
  </si>
  <si>
    <t>1230/897,7</t>
  </si>
  <si>
    <t>1207,4/881,4</t>
  </si>
  <si>
    <t>T 15</t>
  </si>
  <si>
    <t>1132,13/854,86</t>
  </si>
  <si>
    <t>1220/878,4</t>
  </si>
  <si>
    <t>1150,71/852,75</t>
  </si>
  <si>
    <t>12/15</t>
  </si>
  <si>
    <t>- Sheet Breaks (9x)</t>
  </si>
  <si>
    <t>- Change Spool (31x)</t>
  </si>
  <si>
    <t>T 15 VP OW</t>
  </si>
  <si>
    <t>135+127,5</t>
  </si>
  <si>
    <t>140+122,5</t>
  </si>
  <si>
    <t>268*1</t>
  </si>
  <si>
    <t>- Awal Shift PM Produksi   T 13,5
speed target : 1230 mpm
speed actual : 1200/24%</t>
  </si>
  <si>
    <t>21:15 kertas gripis bagian DS 
- seting temperatur hud 
22:08 new blade ceramic ( bagian ts muncul gripis )</t>
  </si>
  <si>
    <t>- Awal Shift PM Produksi  T15
Speed 1100mpm/-24%</t>
  </si>
  <si>
    <t>- 13:50 change grade T 13,5 speed 1170/-25%</t>
  </si>
  <si>
    <t>- Awal Shift PM Produksi  T13,5
Speed 1230mpm/-25%</t>
  </si>
  <si>
    <t>- 05 40 change grade T.13 speed 1230/-24%</t>
  </si>
  <si>
    <t>1230/924,55</t>
  </si>
  <si>
    <t>1110,21/842,05</t>
  </si>
  <si>
    <t>1180,07/892,87</t>
  </si>
  <si>
    <t>15/13,5/13</t>
  </si>
  <si>
    <t>134*2</t>
  </si>
  <si>
    <t>Eid Ganti Motor</t>
  </si>
  <si>
    <t>Ganti Felt</t>
  </si>
  <si>
    <t>MED pasang Roll Fed</t>
  </si>
  <si>
    <t>PLN Tambah daya</t>
  </si>
  <si>
    <t>Efek PLN</t>
  </si>
  <si>
    <t>Loss Time PLN</t>
  </si>
  <si>
    <t>- Awal Shift PM Produksi  T12,5
Speed 1230mpm/-24%</t>
  </si>
  <si>
    <t>03:54 Pressure steam drop sampai 4,9bar , kertas lembab dan geser , Speed down sampai 900mpm
04:51 Pressure steam mulai naik dan stabil , Speed up perlahan sampai 1230mpm</t>
  </si>
  <si>
    <t>- Seset kertas lembab pressure steam drop: 200kg</t>
  </si>
  <si>
    <t>- Awal Shift PM Produksi T12.5 global link
speed target:1230mpm/-24%</t>
  </si>
  <si>
    <t>- Awal Shift PM Produksi  T13
Speed 1230mpm/-25%</t>
  </si>
  <si>
    <t>7:05 jumbo turun gripis bagian Fs ,ganti blade ceramic, kertas ok
12:50 change grade T 12,5 speed 1230/-24%</t>
  </si>
  <si>
    <t>1230/925,831</t>
  </si>
  <si>
    <t>1190,81/905,018</t>
  </si>
  <si>
    <t>1216,94/921,88</t>
  </si>
  <si>
    <t>13/12,5</t>
  </si>
  <si>
    <t>256*1</t>
  </si>
  <si>
    <t>- Awal Shift PM Produksi T12,5
Speed 1230mpm/-24%</t>
  </si>
  <si>
    <t>- Pressure steam drop, pm turun speed jadi 950mpm
8:30 pressure steam belum bisa naik, pm stop
11:37 pm start, spr tidak bisa load. cek eid
12:00 spr oke
12:20 pm on reel Su T12,5 speed 1200/-25%
14:00 rantai motor gearbox conveyor pulper putus, repair med
15:00 rantai conveyor ok</t>
  </si>
  <si>
    <t>- Awal Shift PM Produksi  T12,5 HB
Speed target 1230mpm/-25%
Speed aktual 1200mpm/-25%
Lost Speed 30mpm(thikness dan mdt minim)</t>
  </si>
  <si>
    <t xml:space="preserve">- 06:54 pressure steam drop sampai 7bar , pm stop  , listrik synergi padam , </t>
  </si>
  <si>
    <t>- Nb: ganti blade no.2 turun speed 1190mpm, thikness dan mdt minim</t>
  </si>
  <si>
    <t>- Awal Shift PM Produksi  T12.5 global link
speed:1230mpm/-24%
speed actual:1180mpm/-25%</t>
  </si>
  <si>
    <t>20.00 turun speed change blade ticknes drop 1190mpm -26,5%</t>
  </si>
  <si>
    <t>1195/896,25</t>
  </si>
  <si>
    <t>1183,75/881,12</t>
  </si>
  <si>
    <t>1210,8/912,53</t>
  </si>
  <si>
    <t>1193,8/893,6</t>
  </si>
  <si>
    <t>12,5</t>
  </si>
  <si>
    <t>- #seset su 2x pinhole dan kriput : 980kg</t>
  </si>
  <si>
    <t>- seset su 2x pinhole dan kriput : 980kg</t>
  </si>
  <si>
    <t>- 8:30 pressure steam belum bisa naik, pm stop</t>
  </si>
  <si>
    <t>217+</t>
  </si>
  <si>
    <t>188+216+234+80+</t>
  </si>
  <si>
    <t>211+216+</t>
  </si>
  <si>
    <t>166+100+</t>
  </si>
  <si>
    <t>50+</t>
  </si>
  <si>
    <t>200+285+</t>
  </si>
  <si>
    <t>209+100+</t>
  </si>
  <si>
    <t>Efek Sinergy</t>
  </si>
  <si>
    <t>Steam drop</t>
  </si>
  <si>
    <t>- Awal Shift PM Produksi T 12,5
speed target : 1230 mpm
speed actual : 1200/25%</t>
  </si>
  <si>
    <t>- Awal Shift PM Produksi  F12 cvt
speed:1230mpm/-24%
speed actual:1230mpm/-27%</t>
  </si>
  <si>
    <t>- pm kurang lancar, tisu sering putus gripis bag ts
- map off, setting temp yankee, hood &amp; komposisi coating release
- 21.48 tisu putus² lagi, coba ganti steel blade jr garis². ganti alloy blade bekas</t>
  </si>
  <si>
    <t>- Awal Shift PM Produksi   F12*Lb
Speed 1230mpm/-24%</t>
  </si>
  <si>
    <t xml:space="preserve"> - Nb: jumbo roll rawan gripis bagian Ts</t>
  </si>
  <si>
    <t>- awal shift pm stop listrik sinergy padam 
- cleaning area pm 
- soda wire + bilas 
- drain couch pit 
09:53 persiapan jalan 
09:53 load spr problem info EID 
10:02 spr load ok 
- pm lanjut jalan 
10:18 on reel speed 1100/25%
12:31 speed up 1160/25%
14:50 change grade F 12 speed 1210/25%</t>
  </si>
  <si>
    <t>1133,48/850,106</t>
  </si>
  <si>
    <t>1230/897,9</t>
  </si>
  <si>
    <t>1208,08/901,31</t>
  </si>
  <si>
    <t>12,5/12</t>
  </si>
  <si>
    <t>169+200+210+350+</t>
  </si>
  <si>
    <t>189+235+</t>
  </si>
  <si>
    <t>350+</t>
  </si>
  <si>
    <t>148+200+190+</t>
  </si>
  <si>
    <t>270+</t>
  </si>
  <si>
    <t>141+225+180+</t>
  </si>
  <si>
    <t>202+</t>
  </si>
  <si>
    <t>190+</t>
  </si>
  <si>
    <t>353+150+200+500+</t>
  </si>
  <si>
    <t>210+168+</t>
  </si>
  <si>
    <t>182+219+</t>
  </si>
  <si>
    <t>340+</t>
  </si>
  <si>
    <t>135+200+100+</t>
  </si>
  <si>
    <t>200+136+</t>
  </si>
  <si>
    <t>176+425+</t>
  </si>
  <si>
    <t>402+210+</t>
  </si>
  <si>
    <t>705+</t>
  </si>
  <si>
    <t>301+150+166+</t>
  </si>
  <si>
    <t>163+252+230+</t>
  </si>
  <si>
    <t>250+</t>
  </si>
  <si>
    <t>306+</t>
  </si>
  <si>
    <t>100+</t>
  </si>
  <si>
    <t>150+180+178+</t>
  </si>
  <si>
    <t>464+240+</t>
  </si>
  <si>
    <t>230+180+</t>
  </si>
  <si>
    <t>920+</t>
  </si>
  <si>
    <t>200+100+</t>
  </si>
  <si>
    <t>258+</t>
  </si>
  <si>
    <t xml:space="preserve">- awal shift pm stop listrik sinergy padam </t>
  </si>
  <si>
    <t>Cytreat s 745</t>
  </si>
  <si>
    <t>203+612+</t>
  </si>
  <si>
    <t>177+343+220+170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</si>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</sst>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[$-409]mmm\-yy;@"/>
    <numFmt numFmtId="180" formatCode="_(* #,##0.000_);_(* \(#,##0.000\);_(* &quot;-&quot;_);_(@_)"/>
    <numFmt numFmtId="181" formatCode="_(* #,##0.0_);_(* \(#,##0.0\);_(* &quot;-&quot;_);_(@_)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sz val="10"/>
      <color indexed="12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C3441"/>
        <bgColor indexed="64"/>
      </patternFill>
    </fill>
    <fill>
      <patternFill patternType="solid">
        <fgColor rgb="FFC41F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1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3" borderId="0" applyNumberFormat="0" applyBorder="0" applyAlignment="0" applyProtection="0"/>
    <xf numFmtId="0" fontId="13" fillId="20" borderId="1" applyNumberFormat="0" applyAlignment="0" applyProtection="0"/>
    <xf numFmtId="0" fontId="18" fillId="21" borderId="2" applyNumberFormat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9" fillId="0" borderId="6" applyNumberFormat="0" applyFill="0" applyAlignment="0" applyProtection="0"/>
    <xf numFmtId="0" fontId="4" fillId="22" borderId="0" applyNumberFormat="0" applyBorder="0" applyAlignment="0" applyProtection="0"/>
    <xf numFmtId="0" fontId="49" fillId="0" borderId="0"/>
    <xf numFmtId="0" fontId="4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23" borderId="7" applyNumberFormat="0" applyFont="0" applyAlignment="0" applyProtection="0"/>
    <xf numFmtId="0" fontId="14" fillId="20" borderId="8" applyNumberFormat="0" applyAlignment="0" applyProtection="0"/>
    <xf numFmtId="9" fontId="46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46" fillId="0" borderId="0"/>
    <xf numFmtId="0" fontId="46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72">
    <xf numFmtId="0" fontId="0" fillId="0" borderId="0" xfId="0"/>
    <xf numFmtId="0" fontId="0" fillId="0" borderId="0" xfId="0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9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9" fillId="0" borderId="18" xfId="0" applyFont="1" applyBorder="1"/>
    <xf numFmtId="165" fontId="29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9" fillId="0" borderId="11" xfId="0" applyNumberFormat="1" applyFont="1" applyBorder="1"/>
    <xf numFmtId="165" fontId="29" fillId="0" borderId="18" xfId="28" applyFont="1" applyFill="1" applyBorder="1"/>
    <xf numFmtId="0" fontId="29" fillId="0" borderId="0" xfId="0" applyFont="1"/>
    <xf numFmtId="0" fontId="29" fillId="0" borderId="18" xfId="28" applyNumberFormat="1" applyFont="1" applyBorder="1"/>
    <xf numFmtId="0" fontId="42" fillId="0" borderId="0" xfId="0" applyFont="1"/>
    <xf numFmtId="0" fontId="43" fillId="0" borderId="0" xfId="0" applyFont="1" applyAlignment="1">
      <alignment horizontal="center" vertical="center" wrapText="1"/>
    </xf>
    <xf numFmtId="164" fontId="43" fillId="0" borderId="0" xfId="29" applyFont="1" applyFill="1" applyBorder="1" applyAlignment="1">
      <alignment horizontal="center" vertical="center" wrapText="1"/>
    </xf>
    <xf numFmtId="177" fontId="43" fillId="0" borderId="0" xfId="0" applyNumberFormat="1" applyFont="1" applyAlignment="1">
      <alignment horizontal="center" vertical="center" wrapText="1"/>
    </xf>
    <xf numFmtId="178" fontId="43" fillId="0" borderId="0" xfId="29" applyNumberFormat="1" applyFont="1" applyFill="1" applyBorder="1" applyAlignment="1">
      <alignment horizontal="center" vertical="center" wrapText="1"/>
    </xf>
    <xf numFmtId="166" fontId="43" fillId="0" borderId="0" xfId="50" applyNumberFormat="1" applyFont="1" applyFill="1" applyBorder="1" applyAlignment="1">
      <alignment horizontal="center" vertical="center" wrapText="1"/>
    </xf>
    <xf numFmtId="0" fontId="44" fillId="0" borderId="0" xfId="0" applyFont="1"/>
    <xf numFmtId="178" fontId="43" fillId="0" borderId="11" xfId="29" applyNumberFormat="1" applyFont="1" applyFill="1" applyBorder="1" applyAlignment="1">
      <alignment horizontal="center"/>
    </xf>
    <xf numFmtId="0" fontId="43" fillId="0" borderId="0" xfId="0" applyFont="1"/>
    <xf numFmtId="0" fontId="44" fillId="25" borderId="14" xfId="0" applyFont="1" applyFill="1" applyBorder="1" applyAlignment="1">
      <alignment horizontal="center" vertical="center" wrapText="1"/>
    </xf>
    <xf numFmtId="177" fontId="44" fillId="0" borderId="1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11" xfId="0" applyFont="1" applyBorder="1"/>
    <xf numFmtId="164" fontId="43" fillId="0" borderId="11" xfId="29" applyFont="1" applyFill="1" applyBorder="1" applyAlignment="1">
      <alignment vertical="center"/>
    </xf>
    <xf numFmtId="177" fontId="43" fillId="0" borderId="11" xfId="0" applyNumberFormat="1" applyFont="1" applyBorder="1"/>
    <xf numFmtId="164" fontId="43" fillId="0" borderId="11" xfId="29" applyFont="1" applyFill="1" applyBorder="1" applyAlignment="1">
      <alignment horizontal="center"/>
    </xf>
    <xf numFmtId="178" fontId="43" fillId="0" borderId="11" xfId="29" applyNumberFormat="1" applyFont="1" applyFill="1" applyBorder="1" applyAlignment="1">
      <alignment vertical="center"/>
    </xf>
    <xf numFmtId="166" fontId="43" fillId="0" borderId="11" xfId="50" applyNumberFormat="1" applyFont="1" applyFill="1" applyBorder="1" applyAlignment="1">
      <alignment vertical="center"/>
    </xf>
    <xf numFmtId="0" fontId="43" fillId="0" borderId="11" xfId="0" applyFont="1" applyBorder="1" applyAlignment="1">
      <alignment wrapText="1"/>
    </xf>
    <xf numFmtId="173" fontId="40" fillId="0" borderId="11" xfId="44" applyNumberFormat="1" applyFont="1" applyBorder="1" applyAlignment="1">
      <alignment horizontal="center"/>
    </xf>
    <xf numFmtId="0" fontId="40" fillId="0" borderId="11" xfId="44" applyFont="1" applyBorder="1" applyAlignment="1">
      <alignment horizontal="center"/>
    </xf>
    <xf numFmtId="0" fontId="40" fillId="0" borderId="11" xfId="31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 vertical="center" wrapText="1"/>
    </xf>
    <xf numFmtId="9" fontId="43" fillId="0" borderId="11" xfId="0" applyNumberFormat="1" applyFont="1" applyBorder="1" applyAlignment="1">
      <alignment horizontal="center" vertical="center" wrapText="1"/>
    </xf>
    <xf numFmtId="9" fontId="43" fillId="0" borderId="11" xfId="29" applyNumberFormat="1" applyFont="1" applyFill="1" applyBorder="1" applyAlignment="1">
      <alignment vertical="center"/>
    </xf>
    <xf numFmtId="9" fontId="43" fillId="0" borderId="11" xfId="50" applyFont="1" applyFill="1" applyBorder="1" applyAlignment="1">
      <alignment vertical="center"/>
    </xf>
    <xf numFmtId="164" fontId="40" fillId="0" borderId="11" xfId="29" applyFont="1" applyFill="1" applyBorder="1" applyAlignment="1">
      <alignment horizontal="center"/>
    </xf>
    <xf numFmtId="178" fontId="40" fillId="0" borderId="11" xfId="29" applyNumberFormat="1" applyFont="1" applyFill="1" applyBorder="1" applyAlignment="1">
      <alignment horizontal="center"/>
    </xf>
    <xf numFmtId="178" fontId="43" fillId="0" borderId="11" xfId="29" applyNumberFormat="1" applyFont="1" applyBorder="1" applyAlignment="1">
      <alignment vertical="center"/>
    </xf>
    <xf numFmtId="2" fontId="43" fillId="0" borderId="11" xfId="0" applyNumberFormat="1" applyFont="1" applyBorder="1"/>
    <xf numFmtId="2" fontId="40" fillId="0" borderId="11" xfId="46" applyNumberFormat="1" applyFont="1" applyBorder="1"/>
    <xf numFmtId="178" fontId="44" fillId="0" borderId="11" xfId="29" applyNumberFormat="1" applyFont="1" applyFill="1" applyBorder="1" applyAlignment="1">
      <alignment vertical="center"/>
    </xf>
    <xf numFmtId="178" fontId="43" fillId="0" borderId="0" xfId="29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177" fontId="43" fillId="0" borderId="0" xfId="0" applyNumberFormat="1" applyFont="1"/>
    <xf numFmtId="173" fontId="40" fillId="0" borderId="11" xfId="43" applyNumberFormat="1" applyFont="1" applyBorder="1" applyAlignment="1">
      <alignment horizontal="center"/>
    </xf>
    <xf numFmtId="0" fontId="40" fillId="0" borderId="11" xfId="43" applyFont="1" applyBorder="1" applyAlignment="1">
      <alignment horizontal="center"/>
    </xf>
    <xf numFmtId="0" fontId="40" fillId="0" borderId="11" xfId="30" applyNumberFormat="1" applyFont="1" applyFill="1" applyBorder="1" applyAlignment="1">
      <alignment horizontal="center"/>
    </xf>
    <xf numFmtId="164" fontId="44" fillId="0" borderId="11" xfId="29" applyFont="1" applyFill="1" applyBorder="1" applyAlignment="1">
      <alignment vertical="center"/>
    </xf>
    <xf numFmtId="9" fontId="44" fillId="25" borderId="11" xfId="29" applyNumberFormat="1" applyFont="1" applyFill="1" applyBorder="1" applyAlignment="1">
      <alignment vertical="center"/>
    </xf>
    <xf numFmtId="178" fontId="44" fillId="25" borderId="11" xfId="29" applyNumberFormat="1" applyFont="1" applyFill="1" applyBorder="1" applyAlignment="1">
      <alignment vertical="center"/>
    </xf>
    <xf numFmtId="177" fontId="44" fillId="0" borderId="11" xfId="0" applyNumberFormat="1" applyFont="1" applyBorder="1"/>
    <xf numFmtId="0" fontId="44" fillId="0" borderId="11" xfId="0" applyFont="1" applyBorder="1"/>
    <xf numFmtId="164" fontId="44" fillId="25" borderId="11" xfId="29" applyFont="1" applyFill="1" applyBorder="1" applyAlignment="1">
      <alignment horizontal="center"/>
    </xf>
    <xf numFmtId="0" fontId="43" fillId="0" borderId="11" xfId="47" applyFont="1" applyBorder="1"/>
    <xf numFmtId="10" fontId="44" fillId="25" borderId="11" xfId="50" applyNumberFormat="1" applyFont="1" applyFill="1" applyBorder="1" applyAlignment="1">
      <alignment vertical="center"/>
    </xf>
    <xf numFmtId="166" fontId="44" fillId="25" borderId="11" xfId="50" applyNumberFormat="1" applyFont="1" applyFill="1" applyBorder="1" applyAlignment="1">
      <alignment vertical="center"/>
    </xf>
    <xf numFmtId="165" fontId="44" fillId="0" borderId="11" xfId="0" applyNumberFormat="1" applyFont="1" applyBorder="1" applyAlignment="1">
      <alignment horizontal="right"/>
    </xf>
    <xf numFmtId="173" fontId="40" fillId="0" borderId="0" xfId="43" applyNumberFormat="1" applyFont="1" applyAlignment="1">
      <alignment horizontal="center"/>
    </xf>
    <xf numFmtId="0" fontId="40" fillId="0" borderId="0" xfId="43" applyFont="1" applyAlignment="1">
      <alignment horizontal="center"/>
    </xf>
    <xf numFmtId="0" fontId="40" fillId="0" borderId="0" xfId="30" applyNumberFormat="1" applyFont="1" applyFill="1" applyBorder="1" applyAlignment="1">
      <alignment horizontal="center"/>
    </xf>
    <xf numFmtId="164" fontId="43" fillId="0" borderId="0" xfId="29" applyFont="1" applyFill="1" applyBorder="1" applyAlignment="1">
      <alignment vertical="center"/>
    </xf>
    <xf numFmtId="164" fontId="43" fillId="0" borderId="0" xfId="29" applyFont="1" applyFill="1" applyBorder="1" applyAlignment="1">
      <alignment horizontal="center"/>
    </xf>
    <xf numFmtId="178" fontId="43" fillId="0" borderId="0" xfId="29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right"/>
    </xf>
    <xf numFmtId="178" fontId="44" fillId="0" borderId="0" xfId="29" applyNumberFormat="1" applyFont="1" applyFill="1" applyBorder="1" applyAlignment="1">
      <alignment horizontal="right"/>
    </xf>
    <xf numFmtId="166" fontId="44" fillId="0" borderId="0" xfId="50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50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horizontal="center" vertical="center" wrapText="1"/>
    </xf>
    <xf numFmtId="165" fontId="44" fillId="0" borderId="14" xfId="0" applyNumberFormat="1" applyFont="1" applyBorder="1" applyAlignment="1">
      <alignment horizontal="center" vertical="center" wrapText="1"/>
    </xf>
    <xf numFmtId="165" fontId="43" fillId="0" borderId="11" xfId="29" applyNumberFormat="1" applyFont="1" applyFill="1" applyBorder="1" applyAlignment="1">
      <alignment vertical="center"/>
    </xf>
    <xf numFmtId="165" fontId="43" fillId="0" borderId="0" xfId="0" applyNumberFormat="1" applyFont="1"/>
    <xf numFmtId="165" fontId="44" fillId="25" borderId="11" xfId="29" applyNumberFormat="1" applyFont="1" applyFill="1" applyBorder="1" applyAlignment="1">
      <alignment vertical="center"/>
    </xf>
    <xf numFmtId="165" fontId="44" fillId="0" borderId="11" xfId="29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3" fillId="0" borderId="0" xfId="0" applyNumberFormat="1" applyFont="1"/>
    <xf numFmtId="15" fontId="44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8" fillId="24" borderId="32" xfId="28" applyFont="1" applyFill="1" applyBorder="1" applyAlignment="1" applyProtection="1">
      <alignment horizontal="center" vertical="center"/>
    </xf>
    <xf numFmtId="165" fontId="28" fillId="24" borderId="33" xfId="28" applyFont="1" applyFill="1" applyBorder="1" applyAlignment="1" applyProtection="1">
      <alignment horizontal="center" vertical="center"/>
    </xf>
    <xf numFmtId="165" fontId="28" fillId="24" borderId="34" xfId="28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 vertical="center"/>
    </xf>
    <xf numFmtId="166" fontId="28" fillId="24" borderId="36" xfId="50" applyNumberFormat="1" applyFont="1" applyFill="1" applyBorder="1" applyAlignment="1" applyProtection="1">
      <alignment horizontal="center" vertical="center"/>
    </xf>
    <xf numFmtId="166" fontId="28" fillId="24" borderId="29" xfId="50" applyNumberFormat="1" applyFont="1" applyFill="1" applyBorder="1" applyAlignment="1" applyProtection="1">
      <alignment horizontal="center" vertical="center"/>
    </xf>
    <xf numFmtId="166" fontId="28" fillId="24" borderId="37" xfId="50" applyNumberFormat="1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/>
    </xf>
    <xf numFmtId="165" fontId="28" fillId="24" borderId="39" xfId="28" applyFont="1" applyFill="1" applyBorder="1" applyAlignment="1" applyProtection="1">
      <alignment horizontal="center"/>
    </xf>
    <xf numFmtId="166" fontId="28" fillId="24" borderId="40" xfId="50" applyNumberFormat="1" applyFont="1" applyFill="1" applyBorder="1" applyAlignment="1" applyProtection="1">
      <alignment horizontal="center" vertical="center"/>
    </xf>
    <xf numFmtId="165" fontId="24" fillId="24" borderId="0" xfId="28" applyFont="1" applyFill="1" applyProtection="1"/>
    <xf numFmtId="165" fontId="28" fillId="24" borderId="15" xfId="28" applyFont="1" applyFill="1" applyBorder="1" applyAlignment="1" applyProtection="1">
      <alignment horizontal="center" vertical="center"/>
    </xf>
    <xf numFmtId="165" fontId="28" fillId="24" borderId="41" xfId="28" applyFont="1" applyFill="1" applyBorder="1" applyAlignment="1" applyProtection="1">
      <alignment horizontal="center" vertical="center"/>
    </xf>
    <xf numFmtId="166" fontId="28" fillId="24" borderId="35" xfId="50" applyNumberFormat="1" applyFont="1" applyFill="1" applyBorder="1" applyAlignment="1" applyProtection="1">
      <alignment horizontal="center" vertical="center"/>
    </xf>
    <xf numFmtId="166" fontId="28" fillId="24" borderId="15" xfId="50" applyNumberFormat="1" applyFont="1" applyFill="1" applyBorder="1" applyAlignment="1" applyProtection="1">
      <alignment horizontal="center" vertical="center"/>
    </xf>
    <xf numFmtId="166" fontId="28" fillId="24" borderId="34" xfId="50" applyNumberFormat="1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/>
    </xf>
    <xf numFmtId="165" fontId="28" fillId="24" borderId="42" xfId="28" applyFont="1" applyFill="1" applyBorder="1" applyAlignment="1" applyProtection="1">
      <alignment horizontal="center"/>
    </xf>
    <xf numFmtId="165" fontId="28" fillId="24" borderId="11" xfId="28" applyFont="1" applyFill="1" applyBorder="1" applyAlignment="1" applyProtection="1">
      <alignment horizontal="center"/>
    </xf>
    <xf numFmtId="165" fontId="28" fillId="24" borderId="43" xfId="28" applyFont="1" applyFill="1" applyBorder="1" applyAlignment="1" applyProtection="1">
      <alignment horizontal="center"/>
    </xf>
    <xf numFmtId="165" fontId="28" fillId="24" borderId="37" xfId="28" applyFont="1" applyFill="1" applyBorder="1" applyAlignment="1" applyProtection="1">
      <alignment horizontal="center"/>
    </xf>
    <xf numFmtId="0" fontId="28" fillId="24" borderId="44" xfId="0" applyFont="1" applyFill="1" applyBorder="1" applyAlignment="1">
      <alignment horizontal="left"/>
    </xf>
    <xf numFmtId="0" fontId="28" fillId="24" borderId="45" xfId="0" applyFont="1" applyFill="1" applyBorder="1" applyAlignment="1">
      <alignment horizontal="left"/>
    </xf>
    <xf numFmtId="0" fontId="28" fillId="24" borderId="46" xfId="0" applyFont="1" applyFill="1" applyBorder="1" applyAlignment="1">
      <alignment horizontal="left"/>
    </xf>
    <xf numFmtId="165" fontId="28" fillId="24" borderId="26" xfId="0" applyNumberFormat="1" applyFont="1" applyFill="1" applyBorder="1" applyAlignment="1">
      <alignment horizontal="left"/>
    </xf>
    <xf numFmtId="165" fontId="28" fillId="24" borderId="21" xfId="28" applyFont="1" applyFill="1" applyBorder="1" applyAlignment="1" applyProtection="1">
      <alignment horizontal="right" vertical="center"/>
    </xf>
    <xf numFmtId="0" fontId="28" fillId="24" borderId="47" xfId="0" applyFont="1" applyFill="1" applyBorder="1" applyAlignment="1">
      <alignment horizontal="center"/>
    </xf>
    <xf numFmtId="165" fontId="28" fillId="24" borderId="17" xfId="28" applyFont="1" applyFill="1" applyBorder="1" applyAlignment="1" applyProtection="1">
      <alignment horizontal="right" vertical="center"/>
    </xf>
    <xf numFmtId="0" fontId="28" fillId="24" borderId="48" xfId="0" applyFont="1" applyFill="1" applyBorder="1" applyAlignment="1">
      <alignment horizontal="center"/>
    </xf>
    <xf numFmtId="165" fontId="28" fillId="0" borderId="11" xfId="28" applyFont="1" applyFill="1" applyBorder="1" applyAlignment="1" applyProtection="1">
      <alignment horizontal="right"/>
    </xf>
    <xf numFmtId="0" fontId="28" fillId="24" borderId="49" xfId="0" applyFont="1" applyFill="1" applyBorder="1" applyAlignment="1">
      <alignment horizontal="center"/>
    </xf>
    <xf numFmtId="165" fontId="28" fillId="24" borderId="11" xfId="28" applyFont="1" applyFill="1" applyBorder="1" applyAlignment="1" applyProtection="1">
      <alignment horizontal="right" vertical="center"/>
    </xf>
    <xf numFmtId="165" fontId="24" fillId="20" borderId="11" xfId="28" applyFont="1" applyFill="1" applyBorder="1" applyAlignment="1" applyProtection="1">
      <alignment horizontal="right"/>
    </xf>
    <xf numFmtId="165" fontId="28" fillId="24" borderId="11" xfId="28" applyFont="1" applyFill="1" applyBorder="1" applyAlignment="1" applyProtection="1">
      <alignment horizontal="right"/>
    </xf>
    <xf numFmtId="175" fontId="28" fillId="24" borderId="11" xfId="28" applyNumberFormat="1" applyFont="1" applyFill="1" applyBorder="1" applyAlignment="1" applyProtection="1">
      <alignment horizontal="right"/>
    </xf>
    <xf numFmtId="39" fontId="28" fillId="24" borderId="11" xfId="28" applyNumberFormat="1" applyFont="1" applyFill="1" applyBorder="1" applyAlignment="1" applyProtection="1">
      <alignment horizontal="right"/>
    </xf>
    <xf numFmtId="165" fontId="28" fillId="24" borderId="14" xfId="28" applyFont="1" applyFill="1" applyBorder="1" applyAlignment="1" applyProtection="1">
      <alignment horizontal="right"/>
    </xf>
    <xf numFmtId="0" fontId="28" fillId="24" borderId="50" xfId="0" applyFont="1" applyFill="1" applyBorder="1" applyAlignment="1">
      <alignment horizontal="center"/>
    </xf>
    <xf numFmtId="165" fontId="28" fillId="24" borderId="23" xfId="0" applyNumberFormat="1" applyFont="1" applyFill="1" applyBorder="1" applyAlignment="1">
      <alignment horizontal="right"/>
    </xf>
    <xf numFmtId="0" fontId="28" fillId="24" borderId="24" xfId="0" applyFont="1" applyFill="1" applyBorder="1" applyAlignment="1">
      <alignment horizontal="center"/>
    </xf>
    <xf numFmtId="165" fontId="28" fillId="24" borderId="11" xfId="28" applyFont="1" applyFill="1" applyBorder="1" applyProtection="1"/>
    <xf numFmtId="165" fontId="28" fillId="24" borderId="14" xfId="28" applyFont="1" applyFill="1" applyBorder="1" applyProtection="1"/>
    <xf numFmtId="165" fontId="24" fillId="20" borderId="11" xfId="28" applyFont="1" applyFill="1" applyBorder="1" applyProtection="1"/>
    <xf numFmtId="165" fontId="28" fillId="24" borderId="49" xfId="28" applyFont="1" applyFill="1" applyBorder="1" applyAlignment="1" applyProtection="1">
      <alignment horizontal="center"/>
    </xf>
    <xf numFmtId="165" fontId="28" fillId="24" borderId="21" xfId="28" applyFont="1" applyFill="1" applyBorder="1" applyAlignment="1" applyProtection="1">
      <alignment horizontal="center"/>
    </xf>
    <xf numFmtId="165" fontId="28" fillId="24" borderId="47" xfId="28" applyFont="1" applyFill="1" applyBorder="1" applyAlignment="1" applyProtection="1">
      <alignment horizontal="center"/>
    </xf>
    <xf numFmtId="166" fontId="28" fillId="24" borderId="23" xfId="50" applyNumberFormat="1" applyFont="1" applyFill="1" applyBorder="1" applyProtection="1"/>
    <xf numFmtId="166" fontId="28" fillId="24" borderId="24" xfId="50" applyNumberFormat="1" applyFont="1" applyFill="1" applyBorder="1" applyProtection="1"/>
    <xf numFmtId="0" fontId="21" fillId="0" borderId="0" xfId="0" applyFont="1"/>
    <xf numFmtId="0" fontId="24" fillId="24" borderId="0" xfId="0" applyFont="1" applyFill="1"/>
    <xf numFmtId="0" fontId="22" fillId="0" borderId="0" xfId="0" applyFont="1"/>
    <xf numFmtId="0" fontId="23" fillId="0" borderId="0" xfId="0" applyFont="1"/>
    <xf numFmtId="0" fontId="25" fillId="24" borderId="0" xfId="0" applyFont="1" applyFill="1"/>
    <xf numFmtId="165" fontId="26" fillId="24" borderId="0" xfId="28" applyFont="1" applyFill="1" applyAlignment="1" applyProtection="1">
      <alignment horizontal="right"/>
    </xf>
    <xf numFmtId="0" fontId="27" fillId="24" borderId="0" xfId="0" applyFont="1" applyFill="1"/>
    <xf numFmtId="165" fontId="24" fillId="24" borderId="0" xfId="0" applyNumberFormat="1" applyFont="1" applyFill="1"/>
    <xf numFmtId="0" fontId="28" fillId="24" borderId="32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4" borderId="41" xfId="0" applyFont="1" applyFill="1" applyBorder="1" applyAlignment="1">
      <alignment horizontal="center" vertical="center"/>
    </xf>
    <xf numFmtId="0" fontId="28" fillId="24" borderId="51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 wrapText="1"/>
    </xf>
    <xf numFmtId="0" fontId="28" fillId="24" borderId="32" xfId="0" applyFont="1" applyFill="1" applyBorder="1" applyAlignment="1">
      <alignment horizontal="center"/>
    </xf>
    <xf numFmtId="0" fontId="28" fillId="24" borderId="15" xfId="0" applyFont="1" applyFill="1" applyBorder="1" applyAlignment="1">
      <alignment horizontal="center"/>
    </xf>
    <xf numFmtId="0" fontId="28" fillId="24" borderId="34" xfId="0" applyFont="1" applyFill="1" applyBorder="1" applyAlignment="1">
      <alignment horizontal="center"/>
    </xf>
    <xf numFmtId="165" fontId="28" fillId="24" borderId="11" xfId="0" applyNumberFormat="1" applyFont="1" applyFill="1" applyBorder="1" applyAlignment="1">
      <alignment horizontal="center"/>
    </xf>
    <xf numFmtId="0" fontId="28" fillId="24" borderId="52" xfId="0" applyFont="1" applyFill="1" applyBorder="1" applyAlignment="1">
      <alignment horizontal="left" vertical="center"/>
    </xf>
    <xf numFmtId="0" fontId="28" fillId="24" borderId="53" xfId="0" quotePrefix="1" applyFont="1" applyFill="1" applyBorder="1"/>
    <xf numFmtId="0" fontId="28" fillId="24" borderId="34" xfId="0" applyFont="1" applyFill="1" applyBorder="1" applyAlignment="1">
      <alignment vertical="center" wrapText="1"/>
    </xf>
    <xf numFmtId="0" fontId="28" fillId="24" borderId="29" xfId="0" applyFont="1" applyFill="1" applyBorder="1" applyAlignment="1">
      <alignment horizontal="left" vertical="center"/>
    </xf>
    <xf numFmtId="0" fontId="28" fillId="24" borderId="40" xfId="0" applyFont="1" applyFill="1" applyBorder="1" applyAlignment="1">
      <alignment vertical="center" wrapText="1"/>
    </xf>
    <xf numFmtId="0" fontId="28" fillId="24" borderId="54" xfId="0" applyFont="1" applyFill="1" applyBorder="1" applyAlignment="1">
      <alignment horizontal="left" vertical="center"/>
    </xf>
    <xf numFmtId="0" fontId="28" fillId="24" borderId="53" xfId="0" applyFont="1" applyFill="1" applyBorder="1" applyAlignment="1">
      <alignment horizontal="center"/>
    </xf>
    <xf numFmtId="0" fontId="28" fillId="24" borderId="53" xfId="0" applyFont="1" applyFill="1" applyBorder="1"/>
    <xf numFmtId="0" fontId="28" fillId="24" borderId="55" xfId="0" applyFont="1" applyFill="1" applyBorder="1" applyAlignment="1">
      <alignment horizontal="center" vertical="center"/>
    </xf>
    <xf numFmtId="0" fontId="28" fillId="24" borderId="45" xfId="0" applyFont="1" applyFill="1" applyBorder="1" applyAlignment="1">
      <alignment horizontal="left" vertical="center"/>
    </xf>
    <xf numFmtId="0" fontId="28" fillId="24" borderId="28" xfId="0" applyFont="1" applyFill="1" applyBorder="1" applyAlignment="1">
      <alignment horizontal="center"/>
    </xf>
    <xf numFmtId="0" fontId="28" fillId="24" borderId="0" xfId="0" applyFont="1" applyFill="1"/>
    <xf numFmtId="0" fontId="28" fillId="24" borderId="0" xfId="0" applyFont="1" applyFill="1" applyAlignment="1">
      <alignment horizontal="center" vertical="center" wrapText="1"/>
    </xf>
    <xf numFmtId="0" fontId="28" fillId="24" borderId="0" xfId="0" applyFont="1" applyFill="1" applyAlignment="1">
      <alignment horizontal="center"/>
    </xf>
    <xf numFmtId="0" fontId="28" fillId="24" borderId="36" xfId="0" applyFont="1" applyFill="1" applyBorder="1" applyAlignment="1">
      <alignment horizontal="center"/>
    </xf>
    <xf numFmtId="0" fontId="28" fillId="24" borderId="40" xfId="0" applyFont="1" applyFill="1" applyBorder="1" applyAlignment="1">
      <alignment horizontal="center"/>
    </xf>
    <xf numFmtId="0" fontId="24" fillId="24" borderId="32" xfId="0" applyFont="1" applyFill="1" applyBorder="1"/>
    <xf numFmtId="0" fontId="24" fillId="24" borderId="41" xfId="0" applyFont="1" applyFill="1" applyBorder="1"/>
    <xf numFmtId="0" fontId="28" fillId="24" borderId="15" xfId="0" applyFont="1" applyFill="1" applyBorder="1"/>
    <xf numFmtId="0" fontId="28" fillId="24" borderId="41" xfId="0" applyFont="1" applyFill="1" applyBorder="1" applyAlignment="1">
      <alignment horizontal="center"/>
    </xf>
    <xf numFmtId="165" fontId="24" fillId="24" borderId="0" xfId="28" applyFont="1" applyFill="1" applyBorder="1" applyProtection="1"/>
    <xf numFmtId="0" fontId="24" fillId="24" borderId="56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>
      <alignment horizontal="center"/>
    </xf>
    <xf numFmtId="165" fontId="28" fillId="24" borderId="0" xfId="28" applyFont="1" applyFill="1" applyBorder="1" applyProtection="1"/>
    <xf numFmtId="0" fontId="28" fillId="24" borderId="12" xfId="0" applyFont="1" applyFill="1" applyBorder="1" applyAlignment="1">
      <alignment horizontal="center"/>
    </xf>
    <xf numFmtId="0" fontId="28" fillId="24" borderId="57" xfId="0" applyFont="1" applyFill="1" applyBorder="1" applyAlignment="1">
      <alignment horizontal="center"/>
    </xf>
    <xf numFmtId="165" fontId="28" fillId="24" borderId="23" xfId="0" applyNumberFormat="1" applyFont="1" applyFill="1" applyBorder="1"/>
    <xf numFmtId="2" fontId="24" fillId="24" borderId="0" xfId="0" applyNumberFormat="1" applyFont="1" applyFill="1"/>
    <xf numFmtId="0" fontId="28" fillId="24" borderId="58" xfId="0" applyFont="1" applyFill="1" applyBorder="1"/>
    <xf numFmtId="0" fontId="28" fillId="24" borderId="59" xfId="0" applyFont="1" applyFill="1" applyBorder="1" applyAlignment="1">
      <alignment horizontal="left"/>
    </xf>
    <xf numFmtId="0" fontId="24" fillId="24" borderId="59" xfId="0" applyFont="1" applyFill="1" applyBorder="1"/>
    <xf numFmtId="165" fontId="24" fillId="24" borderId="59" xfId="28" applyFont="1" applyFill="1" applyBorder="1" applyProtection="1"/>
    <xf numFmtId="0" fontId="24" fillId="24" borderId="31" xfId="0" applyFont="1" applyFill="1" applyBorder="1"/>
    <xf numFmtId="0" fontId="24" fillId="24" borderId="11" xfId="0" applyFont="1" applyFill="1" applyBorder="1"/>
    <xf numFmtId="165" fontId="24" fillId="24" borderId="11" xfId="0" applyNumberFormat="1" applyFont="1" applyFill="1" applyBorder="1"/>
    <xf numFmtId="166" fontId="24" fillId="24" borderId="11" xfId="50" applyNumberFormat="1" applyFont="1" applyFill="1" applyBorder="1" applyProtection="1"/>
    <xf numFmtId="0" fontId="28" fillId="24" borderId="28" xfId="0" applyFont="1" applyFill="1" applyBorder="1"/>
    <xf numFmtId="0" fontId="28" fillId="24" borderId="0" xfId="0" applyFont="1" applyFill="1" applyAlignment="1">
      <alignment horizontal="left"/>
    </xf>
    <xf numFmtId="0" fontId="24" fillId="24" borderId="60" xfId="0" applyFont="1" applyFill="1" applyBorder="1"/>
    <xf numFmtId="0" fontId="24" fillId="24" borderId="28" xfId="0" applyFont="1" applyFill="1" applyBorder="1"/>
    <xf numFmtId="0" fontId="24" fillId="24" borderId="30" xfId="0" applyFont="1" applyFill="1" applyBorder="1"/>
    <xf numFmtId="0" fontId="28" fillId="24" borderId="61" xfId="0" applyFont="1" applyFill="1" applyBorder="1"/>
    <xf numFmtId="165" fontId="28" fillId="24" borderId="61" xfId="28" applyFont="1" applyFill="1" applyBorder="1" applyProtection="1"/>
    <xf numFmtId="0" fontId="24" fillId="24" borderId="16" xfId="0" applyFont="1" applyFill="1" applyBorder="1"/>
    <xf numFmtId="0" fontId="28" fillId="24" borderId="15" xfId="0" applyFont="1" applyFill="1" applyBorder="1" applyAlignment="1">
      <alignment horizontal="center" wrapText="1"/>
    </xf>
    <xf numFmtId="2" fontId="43" fillId="0" borderId="11" xfId="50" applyNumberFormat="1" applyFont="1" applyFill="1" applyBorder="1" applyAlignment="1">
      <alignment vertical="center"/>
    </xf>
    <xf numFmtId="165" fontId="28" fillId="24" borderId="17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left"/>
    </xf>
    <xf numFmtId="165" fontId="28" fillId="24" borderId="10" xfId="0" applyNumberFormat="1" applyFont="1" applyFill="1" applyBorder="1" applyAlignment="1">
      <alignment horizontal="left"/>
    </xf>
    <xf numFmtId="0" fontId="28" fillId="24" borderId="62" xfId="0" applyFont="1" applyFill="1" applyBorder="1" applyAlignment="1" applyProtection="1">
      <alignment horizontal="left" vertical="center"/>
      <protection locked="0"/>
    </xf>
    <xf numFmtId="165" fontId="28" fillId="24" borderId="60" xfId="28" applyFont="1" applyFill="1" applyBorder="1" applyAlignment="1" applyProtection="1">
      <alignment horizontal="center" vertical="center"/>
      <protection locked="0"/>
    </xf>
    <xf numFmtId="165" fontId="28" fillId="24" borderId="62" xfId="28" applyFont="1" applyFill="1" applyBorder="1" applyAlignment="1" applyProtection="1">
      <alignment horizontal="center" vertical="center"/>
      <protection locked="0"/>
    </xf>
    <xf numFmtId="165" fontId="28" fillId="24" borderId="42" xfId="28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protection locked="0"/>
    </xf>
    <xf numFmtId="165" fontId="28" fillId="24" borderId="43" xfId="28" applyFont="1" applyFill="1" applyBorder="1" applyAlignment="1" applyProtection="1">
      <alignment horizontal="center"/>
      <protection locked="0"/>
    </xf>
    <xf numFmtId="0" fontId="28" fillId="24" borderId="63" xfId="0" applyFont="1" applyFill="1" applyBorder="1" applyAlignment="1" applyProtection="1">
      <alignment horizontal="left" vertical="center"/>
      <protection locked="0"/>
    </xf>
    <xf numFmtId="165" fontId="28" fillId="24" borderId="55" xfId="50" applyNumberFormat="1" applyFont="1" applyFill="1" applyBorder="1" applyAlignment="1" applyProtection="1">
      <alignment horizontal="center" vertical="center"/>
      <protection locked="0"/>
    </xf>
    <xf numFmtId="165" fontId="28" fillId="24" borderId="54" xfId="50" applyNumberFormat="1" applyFont="1" applyFill="1" applyBorder="1" applyAlignment="1" applyProtection="1">
      <alignment horizontal="center" vertical="center"/>
      <protection locked="0"/>
    </xf>
    <xf numFmtId="165" fontId="28" fillId="24" borderId="64" xfId="50" applyNumberFormat="1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alignment horizontal="center" vertical="center"/>
      <protection locked="0"/>
    </xf>
    <xf numFmtId="165" fontId="28" fillId="24" borderId="0" xfId="28" applyFont="1" applyFill="1" applyBorder="1" applyAlignment="1" applyProtection="1">
      <alignment horizontal="center" vertical="center"/>
      <protection locked="0"/>
    </xf>
    <xf numFmtId="165" fontId="24" fillId="24" borderId="43" xfId="28" applyFont="1" applyFill="1" applyBorder="1" applyProtection="1">
      <protection locked="0"/>
    </xf>
    <xf numFmtId="165" fontId="28" fillId="24" borderId="10" xfId="28" applyFont="1" applyFill="1" applyBorder="1" applyAlignment="1" applyProtection="1">
      <alignment horizontal="center"/>
      <protection locked="0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165" fontId="28" fillId="24" borderId="27" xfId="28" applyFont="1" applyFill="1" applyBorder="1" applyAlignment="1" applyProtection="1">
      <alignment horizontal="center"/>
      <protection locked="0"/>
    </xf>
    <xf numFmtId="0" fontId="28" fillId="24" borderId="14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47" fillId="24" borderId="14" xfId="0" quotePrefix="1" applyFont="1" applyFill="1" applyBorder="1" applyAlignment="1" applyProtection="1">
      <alignment wrapText="1"/>
      <protection locked="0"/>
    </xf>
    <xf numFmtId="2" fontId="28" fillId="24" borderId="0" xfId="0" applyNumberFormat="1" applyFont="1" applyFill="1" applyAlignment="1" applyProtection="1">
      <alignment horizontal="right"/>
      <protection locked="0"/>
    </xf>
    <xf numFmtId="165" fontId="28" fillId="24" borderId="12" xfId="28" applyFont="1" applyFill="1" applyBorder="1" applyAlignment="1" applyProtection="1">
      <alignment horizontal="center"/>
      <protection locked="0"/>
    </xf>
    <xf numFmtId="0" fontId="28" fillId="24" borderId="11" xfId="0" applyFont="1" applyFill="1" applyBorder="1" applyAlignment="1" applyProtection="1">
      <alignment horizontal="center"/>
      <protection locked="0"/>
    </xf>
    <xf numFmtId="165" fontId="28" fillId="24" borderId="2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right"/>
      <protection locked="0"/>
    </xf>
    <xf numFmtId="165" fontId="28" fillId="24" borderId="23" xfId="0" applyNumberFormat="1" applyFont="1" applyFill="1" applyBorder="1" applyAlignment="1" applyProtection="1">
      <alignment horizontal="left"/>
      <protection locked="0"/>
    </xf>
    <xf numFmtId="165" fontId="28" fillId="24" borderId="63" xfId="0" applyNumberFormat="1" applyFont="1" applyFill="1" applyBorder="1" applyAlignment="1" applyProtection="1">
      <alignment horizontal="left"/>
      <protection locked="0"/>
    </xf>
    <xf numFmtId="165" fontId="28" fillId="24" borderId="14" xfId="0" applyNumberFormat="1" applyFont="1" applyFill="1" applyBorder="1" applyAlignment="1" applyProtection="1">
      <alignment horizontal="left"/>
      <protection locked="0"/>
    </xf>
    <xf numFmtId="165" fontId="28" fillId="24" borderId="54" xfId="28" applyFont="1" applyFill="1" applyBorder="1" applyAlignment="1" applyProtection="1">
      <alignment horizontal="center"/>
      <protection locked="0"/>
    </xf>
    <xf numFmtId="165" fontId="28" fillId="24" borderId="11" xfId="28" applyFont="1" applyFill="1" applyBorder="1" applyAlignment="1" applyProtection="1">
      <alignment horizontal="center"/>
      <protection locked="0"/>
    </xf>
    <xf numFmtId="49" fontId="28" fillId="0" borderId="11" xfId="28" applyNumberFormat="1" applyFont="1" applyFill="1" applyBorder="1" applyAlignment="1" applyProtection="1">
      <alignment horizontal="center"/>
      <protection locked="0"/>
    </xf>
    <xf numFmtId="178" fontId="43" fillId="0" borderId="17" xfId="29" applyNumberFormat="1" applyFont="1" applyBorder="1" applyAlignment="1">
      <alignment vertical="center"/>
    </xf>
    <xf numFmtId="178" fontId="43" fillId="0" borderId="17" xfId="29" applyNumberFormat="1" applyFont="1" applyFill="1" applyBorder="1" applyAlignment="1">
      <alignment vertical="center"/>
    </xf>
    <xf numFmtId="0" fontId="28" fillId="24" borderId="10" xfId="0" applyFont="1" applyFill="1" applyBorder="1" applyAlignment="1" applyProtection="1">
      <alignment horizontal="left"/>
      <protection locked="0"/>
    </xf>
    <xf numFmtId="0" fontId="28" fillId="24" borderId="25" xfId="0" applyFont="1" applyFill="1" applyBorder="1" applyAlignment="1" applyProtection="1">
      <alignment horizontal="left"/>
      <protection locked="0"/>
    </xf>
    <xf numFmtId="0" fontId="28" fillId="24" borderId="57" xfId="0" applyFont="1" applyFill="1" applyBorder="1" applyAlignment="1" applyProtection="1">
      <alignment horizontal="left"/>
      <protection locked="0"/>
    </xf>
    <xf numFmtId="165" fontId="35" fillId="0" borderId="0" xfId="28" applyFont="1" applyBorder="1" applyAlignment="1" applyProtection="1">
      <alignment horizontal="center"/>
    </xf>
    <xf numFmtId="0" fontId="30" fillId="0" borderId="0" xfId="0" applyFont="1"/>
    <xf numFmtId="0" fontId="0" fillId="0" borderId="65" xfId="0" applyBorder="1"/>
    <xf numFmtId="165" fontId="0" fillId="0" borderId="65" xfId="0" applyNumberFormat="1" applyBorder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9" fillId="0" borderId="0" xfId="41"/>
    <xf numFmtId="0" fontId="49" fillId="0" borderId="0" xfId="41" applyAlignment="1">
      <alignment horizontal="center"/>
    </xf>
    <xf numFmtId="2" fontId="49" fillId="0" borderId="0" xfId="41" applyNumberFormat="1" applyAlignment="1">
      <alignment horizontal="center"/>
    </xf>
    <xf numFmtId="2" fontId="49" fillId="0" borderId="0" xfId="41" applyNumberFormat="1"/>
    <xf numFmtId="16" fontId="49" fillId="0" borderId="10" xfId="41" applyNumberFormat="1" applyBorder="1"/>
    <xf numFmtId="0" fontId="49" fillId="0" borderId="11" xfId="41" applyBorder="1"/>
    <xf numFmtId="2" fontId="49" fillId="0" borderId="11" xfId="41" applyNumberFormat="1" applyBorder="1" applyAlignment="1">
      <alignment horizontal="center"/>
    </xf>
    <xf numFmtId="0" fontId="49" fillId="0" borderId="10" xfId="41" applyBorder="1"/>
    <xf numFmtId="0" fontId="49" fillId="0" borderId="11" xfId="41" applyBorder="1" applyAlignment="1">
      <alignment horizontal="left"/>
    </xf>
    <xf numFmtId="0" fontId="49" fillId="0" borderId="11" xfId="41" applyBorder="1" applyAlignment="1">
      <alignment horizontal="right"/>
    </xf>
    <xf numFmtId="0" fontId="49" fillId="0" borderId="0" xfId="42" applyAlignment="1">
      <alignment horizontal="center"/>
    </xf>
    <xf numFmtId="39" fontId="49" fillId="0" borderId="0" xfId="42" quotePrefix="1" applyNumberFormat="1" applyAlignment="1">
      <alignment horizontal="left"/>
    </xf>
    <xf numFmtId="0" fontId="49" fillId="0" borderId="0" xfId="41" quotePrefix="1"/>
    <xf numFmtId="39" fontId="49" fillId="0" borderId="0" xfId="42" applyNumberFormat="1"/>
    <xf numFmtId="39" fontId="49" fillId="0" borderId="0" xfId="42" quotePrefix="1" applyNumberFormat="1"/>
    <xf numFmtId="169" fontId="31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applyFont="1"/>
    <xf numFmtId="171" fontId="32" fillId="0" borderId="0" xfId="0" applyNumberFormat="1" applyFont="1"/>
    <xf numFmtId="4" fontId="32" fillId="0" borderId="0" xfId="0" applyNumberFormat="1" applyFont="1"/>
    <xf numFmtId="168" fontId="32" fillId="0" borderId="0" xfId="0" applyNumberFormat="1" applyFont="1"/>
    <xf numFmtId="2" fontId="32" fillId="0" borderId="0" xfId="0" applyNumberFormat="1" applyFont="1"/>
    <xf numFmtId="171" fontId="32" fillId="0" borderId="11" xfId="0" applyNumberFormat="1" applyFont="1" applyBorder="1" applyAlignment="1">
      <alignment horizontal="center"/>
    </xf>
    <xf numFmtId="4" fontId="33" fillId="0" borderId="11" xfId="0" applyNumberFormat="1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8" fontId="32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170" fontId="32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9" fillId="0" borderId="66" xfId="0" applyNumberFormat="1" applyFont="1" applyBorder="1"/>
    <xf numFmtId="4" fontId="29" fillId="0" borderId="66" xfId="0" applyNumberFormat="1" applyFont="1" applyBorder="1" applyAlignment="1">
      <alignment vertical="justify"/>
    </xf>
    <xf numFmtId="171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72" fontId="37" fillId="0" borderId="0" xfId="28" applyNumberFormat="1" applyFont="1" applyBorder="1" applyAlignment="1" applyProtection="1">
      <alignment horizontal="right"/>
    </xf>
    <xf numFmtId="0" fontId="32" fillId="0" borderId="11" xfId="0" applyFont="1" applyBorder="1" applyAlignment="1">
      <alignment horizontal="center"/>
    </xf>
    <xf numFmtId="169" fontId="36" fillId="0" borderId="0" xfId="0" applyNumberFormat="1" applyFont="1" applyAlignment="1">
      <alignment vertical="justify" wrapText="1"/>
    </xf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9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9" fillId="0" borderId="11" xfId="0" applyNumberFormat="1" applyFont="1" applyBorder="1" applyAlignment="1">
      <alignment horizontal="center"/>
    </xf>
    <xf numFmtId="2" fontId="29" fillId="0" borderId="17" xfId="0" applyNumberFormat="1" applyFont="1" applyBorder="1" applyAlignment="1">
      <alignment horizontal="center"/>
    </xf>
    <xf numFmtId="165" fontId="29" fillId="0" borderId="11" xfId="28" applyFont="1" applyBorder="1" applyProtection="1"/>
    <xf numFmtId="174" fontId="29" fillId="0" borderId="17" xfId="28" applyNumberFormat="1" applyFont="1" applyBorder="1" applyProtection="1"/>
    <xf numFmtId="0" fontId="29" fillId="0" borderId="11" xfId="0" applyFont="1" applyBorder="1"/>
    <xf numFmtId="172" fontId="29" fillId="0" borderId="11" xfId="28" applyNumberFormat="1" applyFont="1" applyBorder="1" applyProtection="1"/>
    <xf numFmtId="174" fontId="32" fillId="0" borderId="0" xfId="28" applyNumberFormat="1" applyFont="1" applyBorder="1" applyProtection="1"/>
    <xf numFmtId="174" fontId="0" fillId="0" borderId="0" xfId="0" applyNumberFormat="1"/>
    <xf numFmtId="165" fontId="24" fillId="24" borderId="0" xfId="28" applyFont="1" applyFill="1" applyBorder="1" applyProtection="1">
      <protection locked="0"/>
    </xf>
    <xf numFmtId="0" fontId="24" fillId="24" borderId="0" xfId="0" applyFont="1" applyFill="1" applyProtection="1">
      <protection locked="0"/>
    </xf>
    <xf numFmtId="165" fontId="24" fillId="24" borderId="0" xfId="0" applyNumberFormat="1" applyFont="1" applyFill="1" applyProtection="1">
      <protection locked="0"/>
    </xf>
    <xf numFmtId="0" fontId="28" fillId="24" borderId="0" xfId="0" applyFont="1" applyFill="1" applyProtection="1">
      <protection locked="0"/>
    </xf>
    <xf numFmtId="179" fontId="0" fillId="0" borderId="0" xfId="0" applyNumberFormat="1" applyAlignment="1">
      <alignment horizontal="right" vertical="center"/>
    </xf>
    <xf numFmtId="165" fontId="47" fillId="24" borderId="10" xfId="0" applyNumberFormat="1" applyFont="1" applyFill="1" applyBorder="1" applyAlignment="1">
      <alignment horizontal="left"/>
    </xf>
    <xf numFmtId="173" fontId="48" fillId="0" borderId="11" xfId="44" applyNumberFormat="1" applyFont="1" applyBorder="1" applyAlignment="1">
      <alignment horizontal="center"/>
    </xf>
    <xf numFmtId="16" fontId="24" fillId="24" borderId="0" xfId="28" applyNumberFormat="1" applyFont="1" applyFill="1" applyBorder="1" applyProtection="1">
      <protection locked="0"/>
    </xf>
    <xf numFmtId="173" fontId="49" fillId="0" borderId="67" xfId="0" applyNumberFormat="1" applyFont="1" applyBorder="1"/>
    <xf numFmtId="0" fontId="0" fillId="0" borderId="45" xfId="0" applyBorder="1"/>
    <xf numFmtId="164" fontId="43" fillId="0" borderId="0" xfId="29" applyFont="1" applyFill="1"/>
    <xf numFmtId="164" fontId="44" fillId="25" borderId="11" xfId="29" applyFont="1" applyFill="1" applyBorder="1" applyAlignment="1">
      <alignment vertical="center"/>
    </xf>
    <xf numFmtId="178" fontId="44" fillId="0" borderId="0" xfId="29" applyNumberFormat="1" applyFont="1" applyFill="1" applyBorder="1" applyAlignment="1">
      <alignment vertical="center"/>
    </xf>
    <xf numFmtId="178" fontId="28" fillId="24" borderId="21" xfId="29" applyNumberFormat="1" applyFont="1" applyFill="1" applyBorder="1" applyAlignment="1" applyProtection="1">
      <alignment horizontal="right" vertical="center"/>
    </xf>
    <xf numFmtId="178" fontId="28" fillId="24" borderId="17" xfId="29" applyNumberFormat="1" applyFont="1" applyFill="1" applyBorder="1" applyAlignment="1" applyProtection="1">
      <alignment horizontal="right" vertical="center"/>
    </xf>
    <xf numFmtId="178" fontId="28" fillId="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 vertical="center"/>
    </xf>
    <xf numFmtId="178" fontId="24" fillId="2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/>
    </xf>
    <xf numFmtId="178" fontId="28" fillId="24" borderId="14" xfId="29" applyNumberFormat="1" applyFont="1" applyFill="1" applyBorder="1" applyAlignment="1" applyProtection="1">
      <alignment horizontal="right"/>
    </xf>
    <xf numFmtId="178" fontId="28" fillId="24" borderId="23" xfId="29" applyNumberFormat="1" applyFont="1" applyFill="1" applyBorder="1" applyAlignment="1" applyProtection="1">
      <alignment horizontal="right"/>
    </xf>
    <xf numFmtId="10" fontId="43" fillId="0" borderId="0" xfId="50" applyNumberFormat="1" applyFont="1" applyFill="1" applyBorder="1"/>
    <xf numFmtId="10" fontId="44" fillId="0" borderId="11" xfId="50" applyNumberFormat="1" applyFont="1" applyFill="1" applyBorder="1"/>
    <xf numFmtId="10" fontId="43" fillId="0" borderId="0" xfId="50" applyNumberFormat="1" applyFont="1" applyFill="1" applyBorder="1" applyAlignment="1">
      <alignment vertical="center"/>
    </xf>
    <xf numFmtId="10" fontId="44" fillId="27" borderId="0" xfId="50" applyNumberFormat="1" applyFont="1" applyFill="1" applyBorder="1"/>
    <xf numFmtId="10" fontId="44" fillId="0" borderId="11" xfId="50" applyNumberFormat="1" applyFont="1" applyFill="1" applyBorder="1" applyAlignment="1">
      <alignment vertical="center"/>
    </xf>
    <xf numFmtId="0" fontId="43" fillId="28" borderId="0" xfId="0" applyFont="1" applyFill="1"/>
    <xf numFmtId="0" fontId="51" fillId="28" borderId="0" xfId="0" applyFont="1" applyFill="1"/>
    <xf numFmtId="178" fontId="43" fillId="28" borderId="0" xfId="29" applyNumberFormat="1" applyFont="1" applyFill="1" applyBorder="1" applyAlignment="1">
      <alignment vertical="center"/>
    </xf>
    <xf numFmtId="0" fontId="43" fillId="28" borderId="0" xfId="0" applyFont="1" applyFill="1" applyAlignment="1">
      <alignment horizontal="right"/>
    </xf>
    <xf numFmtId="166" fontId="43" fillId="28" borderId="0" xfId="0" applyNumberFormat="1" applyFont="1" applyFill="1" applyAlignment="1">
      <alignment horizontal="right"/>
    </xf>
    <xf numFmtId="166" fontId="43" fillId="28" borderId="0" xfId="0" applyNumberFormat="1" applyFont="1" applyFill="1"/>
    <xf numFmtId="10" fontId="43" fillId="28" borderId="0" xfId="0" applyNumberFormat="1" applyFont="1" applyFill="1"/>
    <xf numFmtId="165" fontId="44" fillId="28" borderId="0" xfId="0" applyNumberFormat="1" applyFont="1" applyFill="1" applyAlignment="1">
      <alignment horizontal="right"/>
    </xf>
    <xf numFmtId="166" fontId="44" fillId="28" borderId="0" xfId="50" applyNumberFormat="1" applyFont="1" applyFill="1" applyBorder="1" applyAlignment="1">
      <alignment vertical="center"/>
    </xf>
    <xf numFmtId="178" fontId="44" fillId="25" borderId="13" xfId="29" applyNumberFormat="1" applyFont="1" applyFill="1" applyBorder="1" applyAlignment="1">
      <alignment vertical="center"/>
    </xf>
    <xf numFmtId="178" fontId="44" fillId="25" borderId="19" xfId="29" applyNumberFormat="1" applyFont="1" applyFill="1" applyBorder="1" applyAlignment="1">
      <alignment vertical="center"/>
    </xf>
    <xf numFmtId="166" fontId="44" fillId="25" borderId="19" xfId="50" applyNumberFormat="1" applyFont="1" applyFill="1" applyBorder="1" applyAlignment="1">
      <alignment vertical="center"/>
    </xf>
    <xf numFmtId="165" fontId="44" fillId="0" borderId="17" xfId="0" applyNumberFormat="1" applyFont="1" applyBorder="1" applyAlignment="1">
      <alignment horizontal="right"/>
    </xf>
    <xf numFmtId="0" fontId="43" fillId="0" borderId="17" xfId="0" applyFont="1" applyBorder="1"/>
    <xf numFmtId="178" fontId="44" fillId="4" borderId="11" xfId="29" applyNumberFormat="1" applyFont="1" applyFill="1" applyBorder="1" applyAlignment="1">
      <alignment horizontal="center"/>
    </xf>
    <xf numFmtId="0" fontId="46" fillId="0" borderId="0" xfId="0" applyFont="1"/>
    <xf numFmtId="0" fontId="46" fillId="0" borderId="45" xfId="0" applyFont="1" applyBorder="1"/>
    <xf numFmtId="0" fontId="0" fillId="0" borderId="55" xfId="0" applyBorder="1" applyAlignment="1">
      <alignment horizontal="center" vertical="center"/>
    </xf>
    <xf numFmtId="167" fontId="0" fillId="0" borderId="55" xfId="28" applyNumberFormat="1" applyFont="1" applyBorder="1" applyAlignment="1">
      <alignment horizontal="center" vertical="center" wrapText="1"/>
    </xf>
    <xf numFmtId="1" fontId="49" fillId="0" borderId="67" xfId="0" applyNumberFormat="1" applyFont="1" applyBorder="1" applyAlignment="1">
      <alignment horizontal="center" vertical="center"/>
    </xf>
    <xf numFmtId="0" fontId="0" fillId="0" borderId="68" xfId="0" applyBorder="1"/>
    <xf numFmtId="0" fontId="0" fillId="0" borderId="26" xfId="0" applyBorder="1"/>
    <xf numFmtId="0" fontId="46" fillId="0" borderId="26" xfId="0" applyFont="1" applyBorder="1"/>
    <xf numFmtId="167" fontId="34" fillId="30" borderId="11" xfId="28" applyNumberFormat="1" applyFont="1" applyFill="1" applyBorder="1" applyAlignment="1" applyProtection="1">
      <alignment horizontal="center"/>
    </xf>
    <xf numFmtId="168" fontId="38" fillId="30" borderId="13" xfId="0" applyNumberFormat="1" applyFont="1" applyFill="1" applyBorder="1" applyAlignment="1">
      <alignment horizontal="center" vertical="center" wrapText="1"/>
    </xf>
    <xf numFmtId="167" fontId="34" fillId="31" borderId="11" xfId="28" applyNumberFormat="1" applyFont="1" applyFill="1" applyBorder="1" applyAlignment="1" applyProtection="1">
      <alignment horizontal="center"/>
    </xf>
    <xf numFmtId="168" fontId="38" fillId="31" borderId="13" xfId="0" applyNumberFormat="1" applyFont="1" applyFill="1" applyBorder="1" applyAlignment="1">
      <alignment horizontal="center" vertical="center" wrapText="1"/>
    </xf>
    <xf numFmtId="167" fontId="34" fillId="32" borderId="11" xfId="28" applyNumberFormat="1" applyFont="1" applyFill="1" applyBorder="1" applyAlignment="1" applyProtection="1">
      <alignment horizontal="center"/>
    </xf>
    <xf numFmtId="168" fontId="38" fillId="32" borderId="13" xfId="0" applyNumberFormat="1" applyFont="1" applyFill="1" applyBorder="1" applyAlignment="1">
      <alignment horizontal="center" vertical="center" wrapText="1"/>
    </xf>
    <xf numFmtId="167" fontId="34" fillId="27" borderId="17" xfId="28" applyNumberFormat="1" applyFont="1" applyFill="1" applyBorder="1" applyAlignment="1" applyProtection="1">
      <alignment horizontal="center"/>
    </xf>
    <xf numFmtId="0" fontId="29" fillId="27" borderId="11" xfId="0" applyFont="1" applyFill="1" applyBorder="1"/>
    <xf numFmtId="173" fontId="46" fillId="0" borderId="55" xfId="0" applyNumberFormat="1" applyFont="1" applyBorder="1" applyAlignment="1">
      <alignment horizontal="center" vertical="center"/>
    </xf>
    <xf numFmtId="0" fontId="29" fillId="0" borderId="11" xfId="28" applyNumberFormat="1" applyFont="1" applyBorder="1" applyProtection="1"/>
    <xf numFmtId="178" fontId="53" fillId="0" borderId="0" xfId="29" applyNumberFormat="1" applyFont="1" applyProtection="1"/>
    <xf numFmtId="0" fontId="46" fillId="0" borderId="55" xfId="0" applyFont="1" applyBorder="1"/>
    <xf numFmtId="0" fontId="46" fillId="0" borderId="36" xfId="0" applyFont="1" applyBorder="1"/>
    <xf numFmtId="2" fontId="0" fillId="0" borderId="64" xfId="0" applyNumberFormat="1" applyBorder="1" applyAlignment="1">
      <alignment vertical="center"/>
    </xf>
    <xf numFmtId="2" fontId="0" fillId="0" borderId="40" xfId="0" applyNumberFormat="1" applyBorder="1" applyAlignment="1">
      <alignment vertical="center"/>
    </xf>
    <xf numFmtId="0" fontId="0" fillId="0" borderId="11" xfId="0" applyBorder="1" applyAlignment="1" applyProtection="1">
      <alignment horizontal="center" vertical="center"/>
      <protection locked="0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6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9" fillId="0" borderId="66" xfId="0" applyNumberFormat="1" applyFont="1" applyBorder="1" applyAlignment="1">
      <alignment vertical="center"/>
    </xf>
    <xf numFmtId="0" fontId="29" fillId="0" borderId="66" xfId="0" applyFont="1" applyBorder="1" applyAlignment="1">
      <alignment horizontal="center" vertical="center"/>
    </xf>
    <xf numFmtId="4" fontId="29" fillId="0" borderId="66" xfId="0" applyNumberFormat="1" applyFont="1" applyBorder="1" applyAlignment="1">
      <alignment vertical="center"/>
    </xf>
    <xf numFmtId="171" fontId="29" fillId="0" borderId="66" xfId="0" applyNumberFormat="1" applyFont="1" applyBorder="1" applyAlignment="1">
      <alignment vertical="center"/>
    </xf>
    <xf numFmtId="168" fontId="29" fillId="0" borderId="66" xfId="0" applyNumberFormat="1" applyFont="1" applyBorder="1" applyAlignment="1">
      <alignment vertical="center"/>
    </xf>
    <xf numFmtId="2" fontId="29" fillId="0" borderId="66" xfId="0" applyNumberFormat="1" applyFont="1" applyBorder="1" applyAlignment="1">
      <alignment vertical="center" wrapText="1"/>
    </xf>
    <xf numFmtId="4" fontId="29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9" fillId="0" borderId="66" xfId="50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10" fontId="46" fillId="0" borderId="11" xfId="50" applyNumberFormat="1" applyFont="1" applyFill="1" applyBorder="1" applyAlignment="1" applyProtection="1">
      <alignment horizontal="center" vertical="center"/>
      <protection locked="0"/>
    </xf>
    <xf numFmtId="10" fontId="46" fillId="27" borderId="11" xfId="50" applyNumberFormat="1" applyFont="1" applyFill="1" applyBorder="1" applyAlignment="1" applyProtection="1">
      <alignment horizontal="center" vertical="center"/>
      <protection locked="0"/>
    </xf>
    <xf numFmtId="2" fontId="40" fillId="0" borderId="11" xfId="44" applyNumberFormat="1" applyFont="1" applyBorder="1" applyAlignment="1">
      <alignment horizontal="center"/>
    </xf>
    <xf numFmtId="165" fontId="44" fillId="31" borderId="11" xfId="29" applyNumberFormat="1" applyFont="1" applyFill="1" applyBorder="1" applyAlignment="1">
      <alignment vertical="center"/>
    </xf>
    <xf numFmtId="0" fontId="46" fillId="0" borderId="11" xfId="0" applyFont="1" applyBorder="1" applyAlignment="1" applyProtection="1">
      <alignment horizontal="center" vertical="center"/>
      <protection locked="0"/>
    </xf>
    <xf numFmtId="173" fontId="46" fillId="0" borderId="0" xfId="0" applyNumberFormat="1" applyFont="1" applyAlignment="1">
      <alignment vertical="center"/>
    </xf>
    <xf numFmtId="0" fontId="39" fillId="27" borderId="11" xfId="0" applyFont="1" applyFill="1" applyBorder="1" applyAlignment="1">
      <alignment horizontal="center" vertical="center" wrapText="1"/>
    </xf>
    <xf numFmtId="10" fontId="46" fillId="27" borderId="62" xfId="50" applyNumberFormat="1" applyFont="1" applyFill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vertical="center" wrapText="1"/>
    </xf>
    <xf numFmtId="0" fontId="54" fillId="0" borderId="0" xfId="0" applyFont="1"/>
    <xf numFmtId="0" fontId="24" fillId="24" borderId="15" xfId="0" applyFont="1" applyFill="1" applyBorder="1"/>
    <xf numFmtId="0" fontId="24" fillId="24" borderId="15" xfId="0" applyFont="1" applyFill="1" applyBorder="1" applyAlignment="1">
      <alignment horizontal="center" wrapText="1"/>
    </xf>
    <xf numFmtId="0" fontId="24" fillId="24" borderId="56" xfId="0" applyFont="1" applyFill="1" applyBorder="1"/>
    <xf numFmtId="9" fontId="24" fillId="0" borderId="21" xfId="50" applyFont="1" applyFill="1" applyBorder="1" applyAlignment="1">
      <alignment vertical="center"/>
    </xf>
    <xf numFmtId="0" fontId="24" fillId="24" borderId="21" xfId="0" applyFont="1" applyFill="1" applyBorder="1"/>
    <xf numFmtId="2" fontId="24" fillId="24" borderId="21" xfId="0" applyNumberFormat="1" applyFont="1" applyFill="1" applyBorder="1"/>
    <xf numFmtId="165" fontId="24" fillId="0" borderId="11" xfId="29" applyNumberFormat="1" applyFont="1" applyFill="1" applyBorder="1" applyAlignment="1">
      <alignment vertical="center"/>
    </xf>
    <xf numFmtId="165" fontId="24" fillId="24" borderId="21" xfId="0" applyNumberFormat="1" applyFont="1" applyFill="1" applyBorder="1"/>
    <xf numFmtId="10" fontId="43" fillId="0" borderId="13" xfId="50" applyNumberFormat="1" applyFont="1" applyFill="1" applyBorder="1" applyAlignment="1">
      <alignment vertical="center"/>
    </xf>
    <xf numFmtId="10" fontId="43" fillId="0" borderId="30" xfId="50" applyNumberFormat="1" applyFont="1" applyFill="1" applyBorder="1" applyAlignment="1">
      <alignment vertical="center"/>
    </xf>
    <xf numFmtId="0" fontId="24" fillId="24" borderId="69" xfId="0" applyFont="1" applyFill="1" applyBorder="1"/>
    <xf numFmtId="0" fontId="24" fillId="24" borderId="36" xfId="0" applyFont="1" applyFill="1" applyBorder="1"/>
    <xf numFmtId="0" fontId="24" fillId="24" borderId="26" xfId="0" applyFont="1" applyFill="1" applyBorder="1"/>
    <xf numFmtId="0" fontId="24" fillId="24" borderId="25" xfId="0" applyFont="1" applyFill="1" applyBorder="1"/>
    <xf numFmtId="0" fontId="24" fillId="24" borderId="17" xfId="0" applyFont="1" applyFill="1" applyBorder="1"/>
    <xf numFmtId="0" fontId="24" fillId="24" borderId="55" xfId="0" applyFont="1" applyFill="1" applyBorder="1"/>
    <xf numFmtId="0" fontId="24" fillId="24" borderId="45" xfId="0" applyFont="1" applyFill="1" applyBorder="1"/>
    <xf numFmtId="0" fontId="40" fillId="0" borderId="11" xfId="56" applyFont="1" applyBorder="1" applyAlignment="1">
      <alignment horizontal="left"/>
    </xf>
    <xf numFmtId="0" fontId="46" fillId="0" borderId="11" xfId="0" applyFont="1" applyBorder="1"/>
    <xf numFmtId="0" fontId="40" fillId="0" borderId="19" xfId="56" applyFont="1" applyBorder="1" applyAlignment="1">
      <alignment horizontal="left"/>
    </xf>
    <xf numFmtId="0" fontId="32" fillId="0" borderId="11" xfId="56" applyFont="1" applyBorder="1" applyAlignment="1">
      <alignment horizontal="left"/>
    </xf>
    <xf numFmtId="178" fontId="44" fillId="0" borderId="17" xfId="29" applyNumberFormat="1" applyFont="1" applyFill="1" applyBorder="1" applyAlignment="1">
      <alignment vertical="center" wrapText="1"/>
    </xf>
    <xf numFmtId="0" fontId="28" fillId="24" borderId="14" xfId="0" quotePrefix="1" applyFont="1" applyFill="1" applyBorder="1" applyAlignment="1" applyProtection="1">
      <alignment wrapText="1"/>
      <protection locked="0"/>
    </xf>
    <xf numFmtId="0" fontId="55" fillId="34" borderId="0" xfId="0" applyFont="1" applyFill="1"/>
    <xf numFmtId="180" fontId="44" fillId="25" borderId="11" xfId="29" applyNumberFormat="1" applyFont="1" applyFill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27" borderId="0" xfId="0" applyFill="1"/>
    <xf numFmtId="0" fontId="0" fillId="27" borderId="0" xfId="0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9" fontId="54" fillId="27" borderId="11" xfId="50" applyFont="1" applyFill="1" applyBorder="1" applyAlignment="1">
      <alignment horizontal="center" vertical="center" wrapText="1"/>
    </xf>
    <xf numFmtId="10" fontId="0" fillId="0" borderId="11" xfId="50" applyNumberFormat="1" applyFont="1" applyBorder="1" applyAlignment="1">
      <alignment horizontal="center"/>
    </xf>
    <xf numFmtId="2" fontId="54" fillId="33" borderId="11" xfId="0" applyNumberFormat="1" applyFont="1" applyFill="1" applyBorder="1" applyAlignment="1">
      <alignment horizontal="center"/>
    </xf>
    <xf numFmtId="10" fontId="54" fillId="33" borderId="11" xfId="5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29" fillId="0" borderId="11" xfId="0" applyNumberFormat="1" applyFont="1" applyBorder="1"/>
    <xf numFmtId="0" fontId="54" fillId="27" borderId="11" xfId="0" applyFont="1" applyFill="1" applyBorder="1" applyAlignment="1">
      <alignment horizontal="center" vertical="center"/>
    </xf>
    <xf numFmtId="14" fontId="54" fillId="27" borderId="0" xfId="0" applyNumberFormat="1" applyFont="1" applyFill="1" applyAlignment="1">
      <alignment horizontal="center" vertical="center"/>
    </xf>
    <xf numFmtId="2" fontId="54" fillId="27" borderId="0" xfId="0" applyNumberFormat="1" applyFont="1" applyFill="1" applyAlignment="1">
      <alignment horizontal="center" vertical="center" wrapText="1"/>
    </xf>
    <xf numFmtId="0" fontId="54" fillId="27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0" fillId="27" borderId="11" xfId="0" applyFill="1" applyBorder="1"/>
    <xf numFmtId="0" fontId="0" fillId="0" borderId="0" xfId="0" quotePrefix="1"/>
    <xf numFmtId="14" fontId="0" fillId="0" borderId="0" xfId="0" applyNumberFormat="1" applyAlignment="1">
      <alignment horizontal="center"/>
    </xf>
    <xf numFmtId="10" fontId="0" fillId="0" borderId="11" xfId="0" applyNumberFormat="1" applyBorder="1" applyAlignment="1">
      <alignment horizontal="right"/>
    </xf>
    <xf numFmtId="0" fontId="0" fillId="0" borderId="62" xfId="0" applyBorder="1"/>
    <xf numFmtId="10" fontId="0" fillId="0" borderId="11" xfId="0" applyNumberFormat="1" applyBorder="1" applyAlignment="1">
      <alignment horizontal="center"/>
    </xf>
    <xf numFmtId="0" fontId="0" fillId="35" borderId="0" xfId="0" applyFill="1"/>
    <xf numFmtId="0" fontId="46" fillId="27" borderId="0" xfId="0" applyFont="1" applyFill="1"/>
    <xf numFmtId="0" fontId="46" fillId="35" borderId="0" xfId="0" applyFont="1" applyFill="1"/>
    <xf numFmtId="0" fontId="46" fillId="27" borderId="0" xfId="0" applyFont="1" applyFill="1" applyAlignment="1">
      <alignment horizontal="center"/>
    </xf>
    <xf numFmtId="0" fontId="46" fillId="35" borderId="0" xfId="0" applyFont="1" applyFill="1" applyAlignment="1">
      <alignment horizontal="center"/>
    </xf>
    <xf numFmtId="4" fontId="0" fillId="34" borderId="0" xfId="0" applyNumberFormat="1" applyFill="1" applyAlignment="1">
      <alignment horizontal="center" vertical="center"/>
    </xf>
    <xf numFmtId="4" fontId="0" fillId="34" borderId="0" xfId="0" applyNumberFormat="1" applyFill="1" applyAlignment="1">
      <alignment vertical="center"/>
    </xf>
    <xf numFmtId="4" fontId="0" fillId="35" borderId="0" xfId="0" applyNumberFormat="1" applyFill="1" applyAlignment="1">
      <alignment vertical="center"/>
    </xf>
    <xf numFmtId="0" fontId="0" fillId="35" borderId="0" xfId="0" applyFill="1" applyAlignment="1">
      <alignment vertical="center"/>
    </xf>
    <xf numFmtId="4" fontId="46" fillId="0" borderId="0" xfId="0" applyNumberFormat="1" applyFont="1" applyAlignment="1">
      <alignment horizontal="center" vertical="center"/>
    </xf>
    <xf numFmtId="4" fontId="46" fillId="0" borderId="0" xfId="0" applyNumberFormat="1" applyFont="1" applyAlignment="1">
      <alignment vertical="center"/>
    </xf>
    <xf numFmtId="0" fontId="29" fillId="33" borderId="11" xfId="0" applyFont="1" applyFill="1" applyBorder="1"/>
    <xf numFmtId="0" fontId="40" fillId="38" borderId="11" xfId="56" applyFont="1" applyFill="1" applyBorder="1" applyAlignment="1">
      <alignment horizontal="left"/>
    </xf>
    <xf numFmtId="0" fontId="0" fillId="39" borderId="11" xfId="0" applyFill="1" applyBorder="1"/>
    <xf numFmtId="0" fontId="46" fillId="39" borderId="11" xfId="0" applyFont="1" applyFill="1" applyBorder="1"/>
    <xf numFmtId="10" fontId="0" fillId="38" borderId="17" xfId="50" applyNumberFormat="1" applyFont="1" applyFill="1" applyBorder="1"/>
    <xf numFmtId="10" fontId="0" fillId="0" borderId="17" xfId="50" applyNumberFormat="1" applyFont="1" applyBorder="1"/>
    <xf numFmtId="0" fontId="59" fillId="0" borderId="11" xfId="56" applyFont="1" applyBorder="1" applyAlignment="1">
      <alignment horizontal="left"/>
    </xf>
    <xf numFmtId="10" fontId="58" fillId="27" borderId="11" xfId="50" applyNumberFormat="1" applyFont="1" applyFill="1" applyBorder="1"/>
    <xf numFmtId="0" fontId="23" fillId="0" borderId="0" xfId="41" applyFont="1"/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0" fontId="44" fillId="29" borderId="11" xfId="50" applyNumberFormat="1" applyFont="1" applyFill="1" applyBorder="1" applyAlignment="1">
      <alignment vertical="center"/>
    </xf>
    <xf numFmtId="10" fontId="44" fillId="4" borderId="11" xfId="50" applyNumberFormat="1" applyFont="1" applyFill="1" applyBorder="1" applyAlignment="1">
      <alignment vertical="center"/>
    </xf>
    <xf numFmtId="10" fontId="44" fillId="25" borderId="11" xfId="50" applyNumberFormat="1" applyFont="1" applyFill="1" applyBorder="1"/>
    <xf numFmtId="166" fontId="44" fillId="0" borderId="0" xfId="51" applyNumberFormat="1" applyFont="1" applyFill="1" applyBorder="1" applyAlignment="1">
      <alignment vertical="center"/>
    </xf>
    <xf numFmtId="177" fontId="43" fillId="0" borderId="11" xfId="0" applyNumberFormat="1" applyFont="1" applyBorder="1" applyAlignment="1">
      <alignment horizontal="center" vertical="center" wrapText="1"/>
    </xf>
    <xf numFmtId="2" fontId="40" fillId="0" borderId="11" xfId="45" applyNumberFormat="1" applyFont="1" applyBorder="1" applyAlignment="1">
      <alignment horizontal="center"/>
    </xf>
    <xf numFmtId="10" fontId="43" fillId="0" borderId="11" xfId="50" applyNumberFormat="1" applyFont="1" applyFill="1" applyBorder="1" applyAlignment="1">
      <alignment vertical="center"/>
    </xf>
    <xf numFmtId="178" fontId="43" fillId="0" borderId="19" xfId="29" applyNumberFormat="1" applyFont="1" applyFill="1" applyBorder="1" applyAlignment="1">
      <alignment vertical="center"/>
    </xf>
    <xf numFmtId="2" fontId="37" fillId="0" borderId="11" xfId="46" applyNumberFormat="1" applyFont="1" applyBorder="1"/>
    <xf numFmtId="2" fontId="43" fillId="0" borderId="0" xfId="0" applyNumberFormat="1" applyFont="1"/>
    <xf numFmtId="181" fontId="44" fillId="0" borderId="11" xfId="29" applyNumberFormat="1" applyFont="1" applyFill="1" applyBorder="1" applyAlignment="1">
      <alignment vertical="center"/>
    </xf>
    <xf numFmtId="10" fontId="43" fillId="28" borderId="0" xfId="0" applyNumberFormat="1" applyFont="1" applyFill="1" applyAlignment="1">
      <alignment horizontal="right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5" fontId="28" fillId="24" borderId="17" xfId="0" applyNumberFormat="1" applyFont="1" applyFill="1" applyBorder="1" applyAlignment="1" applyProtection="1">
      <alignment horizontal="left"/>
      <protection locked="0"/>
    </xf>
    <xf numFmtId="2" fontId="0" fillId="0" borderId="11" xfId="28" applyNumberFormat="1" applyFont="1" applyBorder="1" applyAlignment="1">
      <alignment horizontal="center"/>
    </xf>
    <xf numFmtId="10" fontId="0" fillId="0" borderId="0" xfId="0" applyNumberFormat="1"/>
    <xf numFmtId="178" fontId="44" fillId="40" borderId="11" xfId="60" applyNumberFormat="1" applyFont="1" applyFill="1" applyBorder="1" applyAlignment="1">
      <alignment horizontal="center" vertical="center" wrapText="1"/>
    </xf>
    <xf numFmtId="178" fontId="44" fillId="26" borderId="14" xfId="60" applyNumberFormat="1" applyFont="1" applyFill="1" applyBorder="1" applyAlignment="1">
      <alignment horizontal="center" vertical="center" wrapText="1"/>
    </xf>
    <xf numFmtId="178" fontId="44" fillId="26" borderId="11" xfId="60" applyNumberFormat="1" applyFont="1" applyFill="1" applyBorder="1" applyAlignment="1">
      <alignment horizontal="center" vertical="center" wrapText="1"/>
    </xf>
    <xf numFmtId="178" fontId="44" fillId="40" borderId="14" xfId="60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10" fontId="44" fillId="28" borderId="0" xfId="0" applyNumberFormat="1" applyFont="1" applyFill="1"/>
    <xf numFmtId="2" fontId="0" fillId="0" borderId="0" xfId="28" applyNumberFormat="1" applyFont="1" applyAlignment="1"/>
    <xf numFmtId="2" fontId="29" fillId="0" borderId="20" xfId="28" applyNumberFormat="1" applyFont="1" applyFill="1" applyBorder="1" applyAlignment="1" applyProtection="1">
      <alignment horizontal="center" vertical="center"/>
    </xf>
    <xf numFmtId="2" fontId="29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3" xfId="28" applyNumberFormat="1" applyFont="1" applyBorder="1" applyAlignment="1"/>
    <xf numFmtId="2" fontId="0" fillId="0" borderId="83" xfId="28" applyNumberFormat="1" applyFont="1" applyBorder="1" applyAlignment="1" applyProtection="1">
      <alignment horizontal="center" vertical="center"/>
      <protection hidden="1"/>
    </xf>
    <xf numFmtId="0" fontId="29" fillId="0" borderId="0" xfId="41" applyFont="1"/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wrapText="1"/>
    </xf>
    <xf numFmtId="0" fontId="46" fillId="27" borderId="0" xfId="0" applyFont="1" applyFill="1" applyAlignment="1">
      <alignment horizontal="center"/>
    </xf>
    <xf numFmtId="1" fontId="44" fillId="0" borderId="0" xfId="50" applyNumberFormat="1" applyFont="1" applyFill="1" applyBorder="1" applyAlignment="1">
      <alignment vertical="center"/>
    </xf>
    <xf numFmtId="2" fontId="29" fillId="0" borderId="84" xfId="28" applyNumberFormat="1" applyFont="1" applyBorder="1" applyAlignment="1">
      <alignment horizontal="center" vertical="center"/>
    </xf>
    <xf numFmtId="2" fontId="29" fillId="0" borderId="84" xfId="28" applyNumberFormat="1" applyFont="1" applyFill="1" applyBorder="1" applyAlignment="1" applyProtection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82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0" fontId="54" fillId="27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top" wrapText="1"/>
    </xf>
    <xf numFmtId="0" fontId="54" fillId="0" borderId="60" xfId="0" applyFont="1" applyBorder="1" applyAlignment="1">
      <alignment vertical="center"/>
    </xf>
    <xf numFmtId="10" fontId="54" fillId="0" borderId="11" xfId="50" applyNumberFormat="1" applyFont="1" applyBorder="1" applyAlignment="1">
      <alignment horizontal="center"/>
    </xf>
    <xf numFmtId="0" fontId="21" fillId="0" borderId="0" xfId="41" applyFont="1"/>
    <xf numFmtId="0" fontId="22" fillId="0" borderId="0" xfId="41" applyFont="1"/>
    <xf numFmtId="165" fontId="46" fillId="11" borderId="11" xfId="28" applyFont="1" applyFill="1" applyBorder="1" applyAlignment="1" applyProtection="1">
      <alignment horizontal="center"/>
    </xf>
    <xf numFmtId="165" fontId="29" fillId="0" borderId="23" xfId="28" applyFont="1" applyBorder="1" applyProtection="1"/>
    <xf numFmtId="1" fontId="46" fillId="27" borderId="39" xfId="0" applyNumberFormat="1" applyFont="1" applyFill="1" applyBorder="1" applyAlignment="1">
      <alignment horizontal="center" vertical="center"/>
    </xf>
    <xf numFmtId="2" fontId="0" fillId="0" borderId="70" xfId="0" applyNumberFormat="1" applyBorder="1" applyAlignment="1">
      <alignment vertical="center"/>
    </xf>
    <xf numFmtId="0" fontId="28" fillId="24" borderId="84" xfId="0" applyFont="1" applyFill="1" applyBorder="1" applyAlignment="1" applyProtection="1">
      <alignment horizontal="center"/>
      <protection locked="0"/>
    </xf>
    <xf numFmtId="173" fontId="49" fillId="0" borderId="85" xfId="0" applyNumberFormat="1" applyFont="1" applyBorder="1"/>
    <xf numFmtId="0" fontId="46" fillId="0" borderId="69" xfId="0" applyFont="1" applyBorder="1"/>
    <xf numFmtId="0" fontId="0" fillId="0" borderId="0" xfId="0" applyBorder="1"/>
    <xf numFmtId="0" fontId="46" fillId="0" borderId="0" xfId="0" applyFont="1" applyBorder="1"/>
    <xf numFmtId="0" fontId="0" fillId="0" borderId="0" xfId="0" applyFill="1" applyBorder="1"/>
    <xf numFmtId="0" fontId="46" fillId="0" borderId="0" xfId="0" applyFont="1" applyFill="1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58" fillId="24" borderId="15" xfId="0" applyFont="1" applyFill="1" applyBorder="1"/>
    <xf numFmtId="0" fontId="58" fillId="24" borderId="21" xfId="0" applyFont="1" applyFill="1" applyBorder="1"/>
    <xf numFmtId="1" fontId="43" fillId="0" borderId="0" xfId="29" applyNumberFormat="1" applyFont="1" applyFill="1" applyBorder="1" applyAlignment="1">
      <alignment vertic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168" fontId="0" fillId="0" borderId="11" xfId="0" applyNumberFormat="1" applyFill="1" applyBorder="1" applyAlignment="1">
      <alignment vertical="center" wrapText="1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29" fillId="0" borderId="79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54" fillId="0" borderId="11" xfId="0" applyFont="1" applyBorder="1" applyAlignment="1">
      <alignment horizontal="left" vertic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54" fillId="0" borderId="8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6" fillId="27" borderId="0" xfId="0" applyFont="1" applyFill="1" applyAlignment="1">
      <alignment horizontal="center"/>
    </xf>
    <xf numFmtId="0" fontId="0" fillId="0" borderId="0" xfId="0" applyAlignment="1">
      <alignment wrapText="1"/>
    </xf>
    <xf numFmtId="0" fontId="46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171" fontId="39" fillId="0" borderId="11" xfId="0" applyNumberFormat="1" applyFont="1" applyBorder="1" applyAlignment="1">
      <alignment horizontal="center" vertical="center" wrapText="1"/>
    </xf>
    <xf numFmtId="0" fontId="39" fillId="27" borderId="58" xfId="0" applyFont="1" applyFill="1" applyBorder="1" applyAlignment="1">
      <alignment horizontal="center" vertical="center" wrapText="1"/>
    </xf>
    <xf numFmtId="0" fontId="39" fillId="27" borderId="31" xfId="0" applyFont="1" applyFill="1" applyBorder="1" applyAlignment="1">
      <alignment horizontal="center" vertical="center" wrapText="1"/>
    </xf>
    <xf numFmtId="0" fontId="39" fillId="27" borderId="28" xfId="0" applyFont="1" applyFill="1" applyBorder="1" applyAlignment="1">
      <alignment horizontal="center" vertical="center" wrapText="1"/>
    </xf>
    <xf numFmtId="0" fontId="39" fillId="27" borderId="60" xfId="0" applyFont="1" applyFill="1" applyBorder="1" applyAlignment="1">
      <alignment horizontal="center" vertical="center" wrapText="1"/>
    </xf>
    <xf numFmtId="168" fontId="39" fillId="0" borderId="11" xfId="0" applyNumberFormat="1" applyFont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0" fontId="46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46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46" fillId="27" borderId="0" xfId="0" applyFont="1" applyFill="1" applyAlignment="1">
      <alignment horizontal="center"/>
    </xf>
    <xf numFmtId="169" fontId="36" fillId="0" borderId="0" xfId="0" applyNumberFormat="1" applyFont="1" applyAlignment="1">
      <alignment horizontal="center" vertical="center"/>
    </xf>
    <xf numFmtId="0" fontId="39" fillId="0" borderId="71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0" borderId="73" xfId="0" applyFont="1" applyBorder="1" applyAlignment="1">
      <alignment horizontal="center" vertical="center" wrapText="1"/>
    </xf>
    <xf numFmtId="169" fontId="36" fillId="0" borderId="0" xfId="0" applyNumberFormat="1" applyFont="1" applyAlignment="1">
      <alignment horizontal="center" vertical="justify" wrapText="1"/>
    </xf>
    <xf numFmtId="167" fontId="34" fillId="0" borderId="20" xfId="28" applyNumberFormat="1" applyFont="1" applyFill="1" applyBorder="1" applyAlignment="1" applyProtection="1">
      <alignment horizontal="center"/>
    </xf>
    <xf numFmtId="167" fontId="34" fillId="27" borderId="58" xfId="28" applyNumberFormat="1" applyFont="1" applyFill="1" applyBorder="1" applyAlignment="1" applyProtection="1">
      <alignment horizontal="center"/>
    </xf>
    <xf numFmtId="167" fontId="34" fillId="27" borderId="59" xfId="28" applyNumberFormat="1" applyFont="1" applyFill="1" applyBorder="1" applyAlignment="1" applyProtection="1">
      <alignment horizontal="center"/>
    </xf>
    <xf numFmtId="167" fontId="34" fillId="27" borderId="31" xfId="28" applyNumberFormat="1" applyFont="1" applyFill="1" applyBorder="1" applyAlignment="1" applyProtection="1">
      <alignment horizontal="center"/>
    </xf>
    <xf numFmtId="167" fontId="34" fillId="27" borderId="30" xfId="28" applyNumberFormat="1" applyFont="1" applyFill="1" applyBorder="1" applyAlignment="1" applyProtection="1">
      <alignment horizontal="center"/>
    </xf>
    <xf numFmtId="167" fontId="34" fillId="27" borderId="61" xfId="28" applyNumberFormat="1" applyFont="1" applyFill="1" applyBorder="1" applyAlignment="1" applyProtection="1">
      <alignment horizontal="center"/>
    </xf>
    <xf numFmtId="167" fontId="34" fillId="27" borderId="16" xfId="28" applyNumberFormat="1" applyFont="1" applyFill="1" applyBorder="1" applyAlignment="1" applyProtection="1">
      <alignment horizontal="center"/>
    </xf>
    <xf numFmtId="0" fontId="41" fillId="4" borderId="14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 wrapText="1"/>
    </xf>
    <xf numFmtId="0" fontId="34" fillId="4" borderId="62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0" borderId="20" xfId="28" applyNumberFormat="1" applyFont="1" applyFill="1" applyBorder="1" applyAlignment="1" applyProtection="1">
      <alignment horizontal="center"/>
    </xf>
    <xf numFmtId="167" fontId="34" fillId="30" borderId="19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1" borderId="20" xfId="28" applyNumberFormat="1" applyFont="1" applyFill="1" applyBorder="1" applyAlignment="1" applyProtection="1">
      <alignment horizontal="center"/>
    </xf>
    <xf numFmtId="167" fontId="34" fillId="31" borderId="19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7" fontId="34" fillId="32" borderId="20" xfId="28" applyNumberFormat="1" applyFont="1" applyFill="1" applyBorder="1" applyAlignment="1" applyProtection="1">
      <alignment horizontal="center"/>
    </xf>
    <xf numFmtId="167" fontId="34" fillId="32" borderId="19" xfId="28" applyNumberFormat="1" applyFont="1" applyFill="1" applyBorder="1" applyAlignment="1" applyProtection="1">
      <alignment horizontal="center"/>
    </xf>
    <xf numFmtId="178" fontId="44" fillId="40" borderId="84" xfId="60" applyNumberFormat="1" applyFont="1" applyFill="1" applyBorder="1" applyAlignment="1">
      <alignment horizontal="center" vertical="center" wrapText="1"/>
    </xf>
    <xf numFmtId="178" fontId="44" fillId="40" borderId="62" xfId="60" applyNumberFormat="1" applyFont="1" applyFill="1" applyBorder="1" applyAlignment="1">
      <alignment horizontal="center" vertical="center" wrapText="1"/>
    </xf>
    <xf numFmtId="178" fontId="44" fillId="40" borderId="17" xfId="60" applyNumberFormat="1" applyFont="1" applyFill="1" applyBorder="1" applyAlignment="1">
      <alignment horizontal="center" vertical="center" wrapText="1"/>
    </xf>
    <xf numFmtId="178" fontId="44" fillId="26" borderId="84" xfId="60" applyNumberFormat="1" applyFont="1" applyFill="1" applyBorder="1" applyAlignment="1">
      <alignment horizontal="center" vertical="center" wrapText="1"/>
    </xf>
    <xf numFmtId="178" fontId="44" fillId="26" borderId="62" xfId="60" applyNumberFormat="1" applyFont="1" applyFill="1" applyBorder="1" applyAlignment="1">
      <alignment horizontal="center" vertical="center" wrapText="1"/>
    </xf>
    <xf numFmtId="178" fontId="44" fillId="26" borderId="17" xfId="60" applyNumberFormat="1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84" xfId="0" applyFont="1" applyBorder="1" applyAlignment="1">
      <alignment horizontal="center" vertical="center" wrapText="1"/>
    </xf>
    <xf numFmtId="178" fontId="44" fillId="25" borderId="14" xfId="29" applyNumberFormat="1" applyFont="1" applyFill="1" applyBorder="1" applyAlignment="1">
      <alignment horizontal="center" vertical="center" wrapText="1"/>
    </xf>
    <xf numFmtId="178" fontId="44" fillId="25" borderId="62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center" vertical="center" wrapText="1"/>
    </xf>
    <xf numFmtId="178" fontId="44" fillId="0" borderId="20" xfId="29" applyNumberFormat="1" applyFont="1" applyFill="1" applyBorder="1" applyAlignment="1">
      <alignment horizontal="center" vertical="center" wrapText="1"/>
    </xf>
    <xf numFmtId="178" fontId="44" fillId="0" borderId="19" xfId="29" applyNumberFormat="1" applyFont="1" applyFill="1" applyBorder="1" applyAlignment="1">
      <alignment horizontal="center" vertical="center" wrapText="1"/>
    </xf>
    <xf numFmtId="166" fontId="44" fillId="25" borderId="14" xfId="50" applyNumberFormat="1" applyFont="1" applyFill="1" applyBorder="1" applyAlignment="1">
      <alignment horizontal="center" vertical="center" wrapText="1"/>
    </xf>
    <xf numFmtId="166" fontId="44" fillId="25" borderId="62" xfId="50" applyNumberFormat="1" applyFont="1" applyFill="1" applyBorder="1" applyAlignment="1">
      <alignment horizontal="center" vertical="center" wrapText="1"/>
    </xf>
    <xf numFmtId="166" fontId="44" fillId="25" borderId="17" xfId="50" applyNumberFormat="1" applyFont="1" applyFill="1" applyBorder="1" applyAlignment="1">
      <alignment horizontal="center" vertical="center" wrapText="1"/>
    </xf>
    <xf numFmtId="178" fontId="44" fillId="0" borderId="62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178" fontId="44" fillId="0" borderId="11" xfId="29" applyNumberFormat="1" applyFont="1" applyFill="1" applyBorder="1" applyAlignment="1">
      <alignment horizontal="center" vertical="center" wrapText="1"/>
    </xf>
    <xf numFmtId="178" fontId="44" fillId="0" borderId="14" xfId="29" applyNumberFormat="1" applyFont="1" applyFill="1" applyBorder="1" applyAlignment="1">
      <alignment horizontal="center" vertical="center" wrapText="1"/>
    </xf>
    <xf numFmtId="164" fontId="44" fillId="0" borderId="58" xfId="29" applyFont="1" applyFill="1" applyBorder="1" applyAlignment="1">
      <alignment horizontal="center" vertical="center"/>
    </xf>
    <xf numFmtId="164" fontId="44" fillId="0" borderId="59" xfId="29" applyFont="1" applyFill="1" applyBorder="1" applyAlignment="1">
      <alignment horizontal="center" vertical="center"/>
    </xf>
    <xf numFmtId="164" fontId="44" fillId="0" borderId="31" xfId="29" applyFont="1" applyFill="1" applyBorder="1" applyAlignment="1">
      <alignment horizontal="center" vertical="center"/>
    </xf>
    <xf numFmtId="164" fontId="44" fillId="0" borderId="30" xfId="29" applyFont="1" applyFill="1" applyBorder="1" applyAlignment="1">
      <alignment horizontal="center" vertical="center"/>
    </xf>
    <xf numFmtId="164" fontId="44" fillId="0" borderId="61" xfId="29" applyFont="1" applyFill="1" applyBorder="1" applyAlignment="1">
      <alignment horizontal="center" vertical="center"/>
    </xf>
    <xf numFmtId="164" fontId="44" fillId="0" borderId="16" xfId="29" applyFont="1" applyFill="1" applyBorder="1" applyAlignment="1">
      <alignment horizontal="center" vertical="center"/>
    </xf>
    <xf numFmtId="177" fontId="44" fillId="0" borderId="58" xfId="0" applyNumberFormat="1" applyFont="1" applyBorder="1" applyAlignment="1">
      <alignment horizontal="center" vertical="center"/>
    </xf>
    <xf numFmtId="177" fontId="44" fillId="0" borderId="59" xfId="0" applyNumberFormat="1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177" fontId="44" fillId="0" borderId="30" xfId="0" applyNumberFormat="1" applyFont="1" applyBorder="1" applyAlignment="1">
      <alignment horizontal="center" vertical="center"/>
    </xf>
    <xf numFmtId="177" fontId="44" fillId="0" borderId="61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64" fontId="44" fillId="0" borderId="14" xfId="29" applyFont="1" applyFill="1" applyBorder="1" applyAlignment="1">
      <alignment horizontal="center" vertical="center" wrapText="1"/>
    </xf>
    <xf numFmtId="164" fontId="44" fillId="0" borderId="62" xfId="29" applyFont="1" applyFill="1" applyBorder="1" applyAlignment="1">
      <alignment horizontal="center" vertical="center" wrapText="1"/>
    </xf>
    <xf numFmtId="178" fontId="44" fillId="26" borderId="14" xfId="29" applyNumberFormat="1" applyFont="1" applyFill="1" applyBorder="1" applyAlignment="1">
      <alignment horizontal="center" vertical="center" wrapText="1"/>
    </xf>
    <xf numFmtId="178" fontId="44" fillId="26" borderId="62" xfId="29" applyNumberFormat="1" applyFont="1" applyFill="1" applyBorder="1" applyAlignment="1">
      <alignment horizontal="center" vertical="center" wrapText="1"/>
    </xf>
    <xf numFmtId="178" fontId="44" fillId="26" borderId="17" xfId="29" applyNumberFormat="1" applyFont="1" applyFill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right"/>
    </xf>
    <xf numFmtId="178" fontId="44" fillId="0" borderId="19" xfId="29" applyNumberFormat="1" applyFont="1" applyFill="1" applyBorder="1" applyAlignment="1">
      <alignment horizontal="right"/>
    </xf>
    <xf numFmtId="178" fontId="44" fillId="25" borderId="11" xfId="29" applyNumberFormat="1" applyFont="1" applyFill="1" applyBorder="1" applyAlignment="1">
      <alignment horizontal="center" vertical="center" wrapText="1"/>
    </xf>
    <xf numFmtId="178" fontId="44" fillId="4" borderId="58" xfId="29" applyNumberFormat="1" applyFont="1" applyFill="1" applyBorder="1" applyAlignment="1">
      <alignment horizontal="center" vertical="center" wrapText="1"/>
    </xf>
    <xf numFmtId="178" fontId="44" fillId="4" borderId="31" xfId="29" applyNumberFormat="1" applyFont="1" applyFill="1" applyBorder="1" applyAlignment="1">
      <alignment horizontal="center" vertical="center" wrapText="1"/>
    </xf>
    <xf numFmtId="178" fontId="44" fillId="4" borderId="30" xfId="29" applyNumberFormat="1" applyFont="1" applyFill="1" applyBorder="1" applyAlignment="1">
      <alignment horizontal="center" vertical="center" wrapText="1"/>
    </xf>
    <xf numFmtId="178" fontId="44" fillId="4" borderId="16" xfId="29" applyNumberFormat="1" applyFont="1" applyFill="1" applyBorder="1" applyAlignment="1">
      <alignment horizontal="center" vertical="center" wrapText="1"/>
    </xf>
    <xf numFmtId="178" fontId="44" fillId="22" borderId="14" xfId="29" applyNumberFormat="1" applyFont="1" applyFill="1" applyBorder="1" applyAlignment="1">
      <alignment horizontal="center" vertical="center" wrapText="1"/>
    </xf>
    <xf numFmtId="178" fontId="44" fillId="22" borderId="62" xfId="29" applyNumberFormat="1" applyFont="1" applyFill="1" applyBorder="1" applyAlignment="1">
      <alignment horizontal="center" vertical="center" wrapText="1"/>
    </xf>
    <xf numFmtId="178" fontId="44" fillId="22" borderId="17" xfId="29" applyNumberFormat="1" applyFont="1" applyFill="1" applyBorder="1" applyAlignment="1">
      <alignment horizontal="center" vertical="center" wrapText="1"/>
    </xf>
    <xf numFmtId="0" fontId="51" fillId="22" borderId="11" xfId="0" applyFont="1" applyFill="1" applyBorder="1" applyAlignment="1">
      <alignment horizontal="center"/>
    </xf>
    <xf numFmtId="178" fontId="44" fillId="40" borderId="58" xfId="60" applyNumberFormat="1" applyFont="1" applyFill="1" applyBorder="1" applyAlignment="1">
      <alignment horizontal="center" vertical="center" wrapText="1"/>
    </xf>
    <xf numFmtId="178" fontId="44" fillId="40" borderId="31" xfId="60" applyNumberFormat="1" applyFont="1" applyFill="1" applyBorder="1" applyAlignment="1">
      <alignment horizontal="center" vertical="center" wrapText="1"/>
    </xf>
    <xf numFmtId="178" fontId="44" fillId="26" borderId="13" xfId="60" applyNumberFormat="1" applyFont="1" applyFill="1" applyBorder="1" applyAlignment="1">
      <alignment horizontal="center" vertical="center" wrapText="1"/>
    </xf>
    <xf numFmtId="178" fontId="44" fillId="26" borderId="19" xfId="60" applyNumberFormat="1" applyFont="1" applyFill="1" applyBorder="1" applyAlignment="1">
      <alignment horizontal="center" vertical="center" wrapText="1"/>
    </xf>
    <xf numFmtId="178" fontId="45" fillId="25" borderId="11" xfId="29" applyNumberFormat="1" applyFont="1" applyFill="1" applyBorder="1" applyAlignment="1">
      <alignment horizontal="center"/>
    </xf>
    <xf numFmtId="178" fontId="44" fillId="4" borderId="11" xfId="29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0" fontId="29" fillId="0" borderId="44" xfId="41" applyFont="1" applyBorder="1" applyAlignment="1">
      <alignment horizontal="center" vertical="center"/>
    </xf>
    <xf numFmtId="0" fontId="29" fillId="0" borderId="75" xfId="41" applyFont="1" applyBorder="1" applyAlignment="1">
      <alignment horizontal="center" vertical="center"/>
    </xf>
    <xf numFmtId="0" fontId="29" fillId="0" borderId="46" xfId="41" applyFont="1" applyBorder="1" applyAlignment="1">
      <alignment horizontal="center" vertical="center"/>
    </xf>
    <xf numFmtId="0" fontId="29" fillId="0" borderId="54" xfId="41" applyFont="1" applyBorder="1" applyAlignment="1">
      <alignment horizontal="center" vertical="center"/>
    </xf>
    <xf numFmtId="0" fontId="29" fillId="0" borderId="62" xfId="41" applyFont="1" applyBorder="1" applyAlignment="1">
      <alignment horizontal="center" vertical="center"/>
    </xf>
    <xf numFmtId="0" fontId="29" fillId="0" borderId="29" xfId="4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11" borderId="54" xfId="41" applyFont="1" applyFill="1" applyBorder="1" applyAlignment="1">
      <alignment horizontal="center" vertical="center" wrapText="1"/>
    </xf>
    <xf numFmtId="0" fontId="29" fillId="11" borderId="62" xfId="41" applyFont="1" applyFill="1" applyBorder="1" applyAlignment="1">
      <alignment horizontal="center" vertical="center" wrapText="1"/>
    </xf>
    <xf numFmtId="0" fontId="29" fillId="11" borderId="29" xfId="41" applyFont="1" applyFill="1" applyBorder="1" applyAlignment="1">
      <alignment horizontal="center" vertical="center" wrapText="1"/>
    </xf>
    <xf numFmtId="2" fontId="29" fillId="0" borderId="13" xfId="28" applyNumberFormat="1" applyFont="1" applyBorder="1" applyAlignment="1">
      <alignment horizontal="center" vertical="center"/>
    </xf>
    <xf numFmtId="2" fontId="29" fillId="0" borderId="20" xfId="28" applyNumberFormat="1" applyFont="1" applyBorder="1" applyAlignment="1">
      <alignment horizontal="center" vertical="center"/>
    </xf>
    <xf numFmtId="2" fontId="29" fillId="0" borderId="19" xfId="28" applyNumberFormat="1" applyFont="1" applyBorder="1" applyAlignment="1">
      <alignment horizontal="center" vertical="center"/>
    </xf>
    <xf numFmtId="2" fontId="29" fillId="0" borderId="30" xfId="28" applyNumberFormat="1" applyFont="1" applyBorder="1" applyAlignment="1">
      <alignment horizontal="center" vertical="center"/>
    </xf>
    <xf numFmtId="2" fontId="29" fillId="0" borderId="61" xfId="28" applyNumberFormat="1" applyFont="1" applyBorder="1" applyAlignment="1">
      <alignment horizontal="center" vertical="center"/>
    </xf>
    <xf numFmtId="2" fontId="29" fillId="0" borderId="16" xfId="28" applyNumberFormat="1" applyFont="1" applyBorder="1" applyAlignment="1">
      <alignment horizontal="center" vertical="center"/>
    </xf>
    <xf numFmtId="2" fontId="29" fillId="0" borderId="11" xfId="28" applyNumberFormat="1" applyFont="1" applyBorder="1" applyAlignment="1">
      <alignment horizontal="center" vertical="center"/>
    </xf>
    <xf numFmtId="0" fontId="29" fillId="0" borderId="77" xfId="41" applyFont="1" applyBorder="1" applyAlignment="1">
      <alignment horizontal="center"/>
    </xf>
    <xf numFmtId="0" fontId="29" fillId="0" borderId="78" xfId="41" applyFont="1" applyBorder="1" applyAlignment="1">
      <alignment horizontal="center"/>
    </xf>
    <xf numFmtId="0" fontId="29" fillId="0" borderId="22" xfId="41" applyFont="1" applyBorder="1" applyAlignment="1">
      <alignment horizontal="center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4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/>
    </xf>
    <xf numFmtId="10" fontId="54" fillId="0" borderId="11" xfId="0" applyNumberFormat="1" applyFont="1" applyBorder="1" applyAlignment="1">
      <alignment horizontal="center" vertical="center"/>
    </xf>
    <xf numFmtId="0" fontId="54" fillId="0" borderId="84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4" fillId="0" borderId="84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84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10" fontId="54" fillId="0" borderId="84" xfId="50" applyNumberFormat="1" applyFont="1" applyFill="1" applyBorder="1" applyAlignment="1">
      <alignment horizontal="center" vertical="center"/>
    </xf>
    <xf numFmtId="10" fontId="54" fillId="0" borderId="17" xfId="50" applyNumberFormat="1" applyFont="1" applyFill="1" applyBorder="1" applyAlignment="1">
      <alignment horizontal="center" vertical="center"/>
    </xf>
    <xf numFmtId="0" fontId="28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6" fillId="0" borderId="75" xfId="0" applyFont="1" applyBorder="1" applyAlignment="1" applyProtection="1">
      <alignment horizontal="center" vertical="center" textRotation="180" wrapText="1"/>
      <protection locked="0"/>
    </xf>
    <xf numFmtId="0" fontId="46" fillId="0" borderId="46" xfId="0" applyFont="1" applyBorder="1" applyAlignment="1" applyProtection="1">
      <alignment horizontal="center" vertical="center" textRotation="180" wrapText="1"/>
      <protection locked="0"/>
    </xf>
    <xf numFmtId="0" fontId="28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5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8" fillId="24" borderId="69" xfId="0" applyFont="1" applyFill="1" applyBorder="1" applyAlignment="1">
      <alignment horizontal="center"/>
    </xf>
    <xf numFmtId="0" fontId="28" fillId="24" borderId="70" xfId="0" applyFont="1" applyFill="1" applyBorder="1" applyAlignment="1">
      <alignment horizontal="center"/>
    </xf>
    <xf numFmtId="0" fontId="28" fillId="24" borderId="35" xfId="0" applyFont="1" applyFill="1" applyBorder="1" applyAlignment="1">
      <alignment horizontal="center"/>
    </xf>
    <xf numFmtId="0" fontId="28" fillId="24" borderId="33" xfId="0" applyFont="1" applyFill="1" applyBorder="1" applyAlignment="1">
      <alignment horizontal="center"/>
    </xf>
    <xf numFmtId="0" fontId="28" fillId="24" borderId="76" xfId="0" applyFont="1" applyFill="1" applyBorder="1" applyAlignment="1">
      <alignment horizontal="center"/>
    </xf>
    <xf numFmtId="0" fontId="28" fillId="24" borderId="74" xfId="0" applyFont="1" applyFill="1" applyBorder="1" applyAlignment="1">
      <alignment horizontal="center"/>
    </xf>
    <xf numFmtId="0" fontId="28" fillId="24" borderId="27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77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4" fillId="24" borderId="77" xfId="0" applyFont="1" applyFill="1" applyBorder="1" applyAlignment="1">
      <alignment horizontal="center"/>
    </xf>
    <xf numFmtId="0" fontId="24" fillId="24" borderId="22" xfId="0" applyFont="1" applyFill="1" applyBorder="1" applyAlignment="1">
      <alignment horizontal="center"/>
    </xf>
    <xf numFmtId="0" fontId="47" fillId="24" borderId="27" xfId="0" applyFont="1" applyFill="1" applyBorder="1" applyAlignment="1">
      <alignment horizontal="center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60"/>
    <cellStyle name="Comma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5"/>
    <cellStyle name="Normal 5" xfId="57"/>
    <cellStyle name="Normal_April_3" xfId="43"/>
    <cellStyle name="Normal_DES 11_1" xfId="56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 2" xfId="59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148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[2]Report1!$A$9:$A$39</c:f>
              <c:numCache>
                <c:formatCode>General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34.951000000000001</c:v>
                </c:pt>
                <c:pt idx="1">
                  <c:v>37.249000000000002</c:v>
                </c:pt>
                <c:pt idx="2">
                  <c:v>37.430999999999997</c:v>
                </c:pt>
                <c:pt idx="3">
                  <c:v>41.97</c:v>
                </c:pt>
                <c:pt idx="4">
                  <c:v>39.289000000000001</c:v>
                </c:pt>
                <c:pt idx="5">
                  <c:v>39.037999999999997</c:v>
                </c:pt>
                <c:pt idx="6">
                  <c:v>39.841000000000001</c:v>
                </c:pt>
                <c:pt idx="7">
                  <c:v>44.162999999999997</c:v>
                </c:pt>
                <c:pt idx="8">
                  <c:v>4.0439999999999996</c:v>
                </c:pt>
                <c:pt idx="9">
                  <c:v>30.251000000000001</c:v>
                </c:pt>
                <c:pt idx="10">
                  <c:v>39.326999999999998</c:v>
                </c:pt>
                <c:pt idx="11">
                  <c:v>35.430999999999997</c:v>
                </c:pt>
                <c:pt idx="12">
                  <c:v>25.204000000000001</c:v>
                </c:pt>
                <c:pt idx="13">
                  <c:v>45.835000000000001</c:v>
                </c:pt>
                <c:pt idx="14">
                  <c:v>44.06</c:v>
                </c:pt>
                <c:pt idx="15">
                  <c:v>46.640999999999998</c:v>
                </c:pt>
                <c:pt idx="16">
                  <c:v>42.759</c:v>
                </c:pt>
                <c:pt idx="17">
                  <c:v>36.371000000000002</c:v>
                </c:pt>
                <c:pt idx="18">
                  <c:v>40.729999999999997</c:v>
                </c:pt>
                <c:pt idx="19">
                  <c:v>41.040999999999997</c:v>
                </c:pt>
                <c:pt idx="20">
                  <c:v>43.082999999999998</c:v>
                </c:pt>
                <c:pt idx="21">
                  <c:v>41.222000000000001</c:v>
                </c:pt>
                <c:pt idx="22">
                  <c:v>41.984000000000002</c:v>
                </c:pt>
                <c:pt idx="23">
                  <c:v>38.561999999999998</c:v>
                </c:pt>
                <c:pt idx="24">
                  <c:v>38.869</c:v>
                </c:pt>
                <c:pt idx="25">
                  <c:v>40.670999999999999</c:v>
                </c:pt>
                <c:pt idx="26">
                  <c:v>40.524000000000001</c:v>
                </c:pt>
                <c:pt idx="27">
                  <c:v>40.814</c:v>
                </c:pt>
                <c:pt idx="28">
                  <c:v>28.553000000000001</c:v>
                </c:pt>
                <c:pt idx="29">
                  <c:v>29.588000000000001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141120"/>
        <c:axId val="353142656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84D-4D4B-98D9-68728F9C0EDF}"/>
              </c:ext>
            </c:extLst>
          </c:dPt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0.83776420495737336</c:v>
                </c:pt>
                <c:pt idx="1">
                  <c:v>0.89284652428992595</c:v>
                </c:pt>
                <c:pt idx="2">
                  <c:v>0.89720900562957973</c:v>
                </c:pt>
                <c:pt idx="3">
                  <c:v>0.91752820960639481</c:v>
                </c:pt>
                <c:pt idx="4">
                  <c:v>0.94174466677835378</c:v>
                </c:pt>
                <c:pt idx="5">
                  <c:v>0.83363160760019694</c:v>
                </c:pt>
                <c:pt idx="6">
                  <c:v>0.80586375766861051</c:v>
                </c:pt>
                <c:pt idx="7">
                  <c:v>0.81688570620441436</c:v>
                </c:pt>
                <c:pt idx="8">
                  <c:v>7.6207396674792843E-2</c:v>
                </c:pt>
                <c:pt idx="9">
                  <c:v>0.67229957799797813</c:v>
                </c:pt>
                <c:pt idx="10">
                  <c:v>0.88267107079737062</c:v>
                </c:pt>
                <c:pt idx="11">
                  <c:v>0.79522767333947764</c:v>
                </c:pt>
                <c:pt idx="12">
                  <c:v>0.56789341976200725</c:v>
                </c:pt>
                <c:pt idx="13">
                  <c:v>1.0083233107335434</c:v>
                </c:pt>
                <c:pt idx="14">
                  <c:v>0.9564264209284794</c:v>
                </c:pt>
                <c:pt idx="15">
                  <c:v>1.0124531252502316</c:v>
                </c:pt>
                <c:pt idx="16">
                  <c:v>0.92818514145439968</c:v>
                </c:pt>
                <c:pt idx="17">
                  <c:v>0.83110066625776835</c:v>
                </c:pt>
                <c:pt idx="18">
                  <c:v>0.9045540267092278</c:v>
                </c:pt>
                <c:pt idx="19">
                  <c:v>0.89882204575769642</c:v>
                </c:pt>
                <c:pt idx="20">
                  <c:v>0.9408533994348196</c:v>
                </c:pt>
                <c:pt idx="21">
                  <c:v>0.89758805925248297</c:v>
                </c:pt>
                <c:pt idx="22">
                  <c:v>0.91038940820557634</c:v>
                </c:pt>
                <c:pt idx="23">
                  <c:v>0.85492535703840178</c:v>
                </c:pt>
                <c:pt idx="24">
                  <c:v>0.88028283824555942</c:v>
                </c:pt>
                <c:pt idx="25">
                  <c:v>0.83985882015978752</c:v>
                </c:pt>
                <c:pt idx="26">
                  <c:v>0.80918162988148223</c:v>
                </c:pt>
                <c:pt idx="27">
                  <c:v>0.92749025110347572</c:v>
                </c:pt>
                <c:pt idx="28">
                  <c:v>0.65466171970423248</c:v>
                </c:pt>
                <c:pt idx="29">
                  <c:v>0.68385242043650274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4D-4D4B-98D9-68728F9C0ED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0.83776420495737336</c:v>
                </c:pt>
                <c:pt idx="1">
                  <c:v>0.86530536462364971</c:v>
                </c:pt>
                <c:pt idx="2">
                  <c:v>0.87593991162562634</c:v>
                </c:pt>
                <c:pt idx="3">
                  <c:v>0.88707124335004905</c:v>
                </c:pt>
                <c:pt idx="4">
                  <c:v>0.89779902750586116</c:v>
                </c:pt>
                <c:pt idx="5">
                  <c:v>0.88621722146215776</c:v>
                </c:pt>
                <c:pt idx="6">
                  <c:v>0.8733562843039816</c:v>
                </c:pt>
                <c:pt idx="7">
                  <c:v>0.86494480631832837</c:v>
                </c:pt>
                <c:pt idx="8">
                  <c:v>0.76433591035556048</c:v>
                </c:pt>
                <c:pt idx="9">
                  <c:v>0.7553528640261109</c:v>
                </c:pt>
                <c:pt idx="10">
                  <c:v>0.7665731471738898</c:v>
                </c:pt>
                <c:pt idx="11">
                  <c:v>0.76889388776541223</c:v>
                </c:pt>
                <c:pt idx="12">
                  <c:v>0.75388855401956911</c:v>
                </c:pt>
                <c:pt idx="13">
                  <c:v>0.77196118077633546</c:v>
                </c:pt>
                <c:pt idx="14">
                  <c:v>0.78434818504000203</c:v>
                </c:pt>
                <c:pt idx="15">
                  <c:v>0.79870177737689774</c:v>
                </c:pt>
                <c:pt idx="16">
                  <c:v>0.8063672177425284</c:v>
                </c:pt>
                <c:pt idx="17">
                  <c:v>0.80768412320718586</c:v>
                </c:pt>
                <c:pt idx="18">
                  <c:v>0.8127153493091257</c:v>
                </c:pt>
                <c:pt idx="19">
                  <c:v>0.81702353754508739</c:v>
                </c:pt>
                <c:pt idx="20">
                  <c:v>0.82293998119846234</c:v>
                </c:pt>
                <c:pt idx="21">
                  <c:v>0.82635343850007348</c:v>
                </c:pt>
                <c:pt idx="22">
                  <c:v>0.83004277405187643</c:v>
                </c:pt>
                <c:pt idx="23">
                  <c:v>0.83106723166086804</c:v>
                </c:pt>
                <c:pt idx="24">
                  <c:v>0.83297396903539256</c:v>
                </c:pt>
                <c:pt idx="25">
                  <c:v>0.83325458228651816</c:v>
                </c:pt>
                <c:pt idx="26">
                  <c:v>0.83228093799443037</c:v>
                </c:pt>
                <c:pt idx="27">
                  <c:v>0.83554845214370077</c:v>
                </c:pt>
                <c:pt idx="28">
                  <c:v>0.82959796080946202</c:v>
                </c:pt>
                <c:pt idx="29">
                  <c:v>0.82499207068408442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154176"/>
        <c:axId val="353144192"/>
      </c:lineChart>
      <c:catAx>
        <c:axId val="35314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3142656"/>
        <c:crosses val="autoZero"/>
        <c:auto val="1"/>
        <c:lblAlgn val="ctr"/>
        <c:lblOffset val="100"/>
        <c:noMultiLvlLbl val="0"/>
      </c:catAx>
      <c:valAx>
        <c:axId val="35314265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353141120"/>
        <c:crosses val="autoZero"/>
        <c:crossBetween val="between"/>
      </c:valAx>
      <c:valAx>
        <c:axId val="3531441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53154176"/>
        <c:crosses val="max"/>
        <c:crossBetween val="between"/>
      </c:valAx>
      <c:catAx>
        <c:axId val="35315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531441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17</xdr:col>
      <xdr:colOff>504824</xdr:colOff>
      <xdr:row>28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s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Documents%20Network%20Produksi%20-%20PM\2025\5.%20MEI\Users\win7\Documents\PM%2014\5.%20MEI\DAILY%20REPORT%20PM%20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%error"/>
      <sheetName val="PGN"/>
    </sheetNames>
    <sheetDataSet>
      <sheetData sheetId="0" refreshError="1"/>
      <sheetData sheetId="1" refreshError="1"/>
      <sheetData sheetId="2" refreshError="1"/>
      <sheetData sheetId="3">
        <row r="4">
          <cell r="N4">
            <v>10876</v>
          </cell>
        </row>
        <row r="5">
          <cell r="N5">
            <v>13000</v>
          </cell>
        </row>
        <row r="6">
          <cell r="N6">
            <v>13043</v>
          </cell>
        </row>
        <row r="7">
          <cell r="N7">
            <v>14198</v>
          </cell>
        </row>
        <row r="8">
          <cell r="N8">
            <v>14108</v>
          </cell>
        </row>
        <row r="9">
          <cell r="N9">
            <v>14320</v>
          </cell>
        </row>
        <row r="10">
          <cell r="N10">
            <v>14449</v>
          </cell>
        </row>
        <row r="11">
          <cell r="N11">
            <v>13548</v>
          </cell>
        </row>
        <row r="12">
          <cell r="N12">
            <v>10361</v>
          </cell>
        </row>
        <row r="13">
          <cell r="N13">
            <v>14330</v>
          </cell>
        </row>
        <row r="14">
          <cell r="N14">
            <v>14858</v>
          </cell>
        </row>
        <row r="15">
          <cell r="N15">
            <v>14700</v>
          </cell>
        </row>
        <row r="16">
          <cell r="N16">
            <v>8532</v>
          </cell>
        </row>
        <row r="17">
          <cell r="N17">
            <v>13729</v>
          </cell>
        </row>
        <row r="18">
          <cell r="N18">
            <v>13949</v>
          </cell>
        </row>
        <row r="19">
          <cell r="N19">
            <v>14511</v>
          </cell>
        </row>
        <row r="20">
          <cell r="N20">
            <v>14660</v>
          </cell>
        </row>
        <row r="21">
          <cell r="N21">
            <v>14220</v>
          </cell>
        </row>
        <row r="22">
          <cell r="N22">
            <v>14209</v>
          </cell>
        </row>
        <row r="23">
          <cell r="N23">
            <v>14623</v>
          </cell>
        </row>
        <row r="24">
          <cell r="N24">
            <v>15052</v>
          </cell>
        </row>
        <row r="25">
          <cell r="N25">
            <v>15321</v>
          </cell>
        </row>
        <row r="26">
          <cell r="N26">
            <v>15018</v>
          </cell>
        </row>
        <row r="27">
          <cell r="N27">
            <v>13397</v>
          </cell>
        </row>
        <row r="28">
          <cell r="N28">
            <v>14290</v>
          </cell>
        </row>
        <row r="29">
          <cell r="N29">
            <v>14344</v>
          </cell>
        </row>
        <row r="30">
          <cell r="N30">
            <v>14858</v>
          </cell>
        </row>
        <row r="31">
          <cell r="N31">
            <v>13963</v>
          </cell>
        </row>
        <row r="32">
          <cell r="N32">
            <v>9292</v>
          </cell>
        </row>
        <row r="33">
          <cell r="N33">
            <v>12425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master"/>
      <sheetName val="VERSI PAK VENTJE"/>
      <sheetName val="Report1"/>
      <sheetName val="GRAFIK"/>
      <sheetName val="Listrik"/>
      <sheetName val="Trim Rwd"/>
      <sheetName val="Efficiency1"/>
      <sheetName val="Efficiency2"/>
      <sheetName val="Efficiency"/>
      <sheetName val="Problem"/>
      <sheetName val="prod"/>
      <sheetName val="BB"/>
      <sheetName val="Chem"/>
      <sheetName val="RBP"/>
      <sheetName val="Sheet1"/>
      <sheetName val="summary"/>
      <sheetName val="1"/>
      <sheetName val="2"/>
      <sheetName val="3"/>
      <sheetName val="4"/>
      <sheetName val="5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</sheetNames>
    <sheetDataSet>
      <sheetData sheetId="0"/>
      <sheetData sheetId="1"/>
      <sheetData sheetId="2"/>
      <sheetData sheetId="3">
        <row r="9">
          <cell r="A9">
            <v>45444</v>
          </cell>
        </row>
        <row r="10">
          <cell r="A10">
            <v>45445</v>
          </cell>
        </row>
        <row r="11">
          <cell r="A11">
            <v>45446</v>
          </cell>
        </row>
        <row r="12">
          <cell r="A12">
            <v>45447</v>
          </cell>
        </row>
        <row r="13">
          <cell r="A13">
            <v>45448</v>
          </cell>
        </row>
        <row r="14">
          <cell r="A14">
            <v>45449</v>
          </cell>
        </row>
        <row r="15">
          <cell r="A15">
            <v>45450</v>
          </cell>
        </row>
        <row r="16">
          <cell r="A16">
            <v>45451</v>
          </cell>
        </row>
        <row r="17">
          <cell r="A17">
            <v>45452</v>
          </cell>
        </row>
        <row r="18">
          <cell r="A18">
            <v>45453</v>
          </cell>
        </row>
        <row r="19">
          <cell r="A19">
            <v>45454</v>
          </cell>
        </row>
        <row r="20">
          <cell r="A20">
            <v>45455</v>
          </cell>
        </row>
        <row r="21">
          <cell r="A21">
            <v>45456</v>
          </cell>
        </row>
        <row r="22">
          <cell r="A22">
            <v>45457</v>
          </cell>
        </row>
        <row r="23">
          <cell r="A23">
            <v>45458</v>
          </cell>
        </row>
        <row r="24">
          <cell r="A24">
            <v>45459</v>
          </cell>
        </row>
        <row r="25">
          <cell r="A25">
            <v>45460</v>
          </cell>
        </row>
        <row r="26">
          <cell r="A26">
            <v>45461</v>
          </cell>
        </row>
        <row r="27">
          <cell r="A27">
            <v>45462</v>
          </cell>
        </row>
        <row r="28">
          <cell r="A28">
            <v>45463</v>
          </cell>
        </row>
        <row r="29">
          <cell r="A29">
            <v>45464</v>
          </cell>
        </row>
        <row r="30">
          <cell r="A30">
            <v>45465</v>
          </cell>
        </row>
        <row r="31">
          <cell r="A31">
            <v>45466</v>
          </cell>
        </row>
        <row r="32">
          <cell r="A32">
            <v>45467</v>
          </cell>
        </row>
        <row r="33">
          <cell r="A33">
            <v>45468</v>
          </cell>
        </row>
        <row r="34">
          <cell r="A34">
            <v>45469</v>
          </cell>
        </row>
        <row r="35">
          <cell r="A35">
            <v>45470</v>
          </cell>
        </row>
        <row r="36">
          <cell r="A36">
            <v>45471</v>
          </cell>
        </row>
        <row r="37">
          <cell r="A37">
            <v>45472</v>
          </cell>
        </row>
        <row r="38">
          <cell r="A38">
            <v>45473</v>
          </cell>
        </row>
        <row r="39">
          <cell r="A39">
            <v>45474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Apr 13"/>
      <sheetName val="DailyApr"/>
      <sheetName val="Mei"/>
      <sheetName val="DailyMe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7">
          <cell r="D7">
            <v>0</v>
          </cell>
          <cell r="AH7">
            <v>4600.0000000003638</v>
          </cell>
          <cell r="AI7">
            <v>7033.01</v>
          </cell>
          <cell r="AJ7">
            <v>25193.01</v>
          </cell>
        </row>
        <row r="8">
          <cell r="AH8">
            <v>4600.0000000003638</v>
          </cell>
          <cell r="AI8">
            <v>7005.21</v>
          </cell>
          <cell r="AJ8">
            <v>27165.21</v>
          </cell>
        </row>
        <row r="9">
          <cell r="AH9">
            <v>4700.0000000007276</v>
          </cell>
          <cell r="AI9">
            <v>7801.11</v>
          </cell>
          <cell r="AJ9">
            <v>26961.11</v>
          </cell>
        </row>
        <row r="10">
          <cell r="AH10">
            <v>4599.9999999985448</v>
          </cell>
          <cell r="AI10">
            <v>6813.69</v>
          </cell>
          <cell r="AJ10">
            <v>25973.69</v>
          </cell>
        </row>
        <row r="11">
          <cell r="AH11">
            <v>4800.0000000010914</v>
          </cell>
          <cell r="AI11">
            <v>7457.44</v>
          </cell>
          <cell r="AJ11">
            <v>26617.439999999999</v>
          </cell>
        </row>
        <row r="12">
          <cell r="AH12">
            <v>4799.9999999992724</v>
          </cell>
          <cell r="AI12">
            <v>6920.45</v>
          </cell>
          <cell r="AJ12">
            <v>26080.45</v>
          </cell>
        </row>
        <row r="13">
          <cell r="AH13">
            <v>4800.0000000010914</v>
          </cell>
          <cell r="AI13">
            <v>6991.15</v>
          </cell>
          <cell r="AJ13">
            <v>24151.15</v>
          </cell>
        </row>
        <row r="14">
          <cell r="AH14">
            <v>4299.9999999992724</v>
          </cell>
          <cell r="AI14">
            <v>7886.46</v>
          </cell>
          <cell r="AJ14">
            <v>22046.46</v>
          </cell>
        </row>
        <row r="15">
          <cell r="AH15">
            <v>2100.0000000003638</v>
          </cell>
          <cell r="AI15">
            <v>1677.3899999999999</v>
          </cell>
          <cell r="AJ15">
            <v>9837.39</v>
          </cell>
        </row>
        <row r="16">
          <cell r="AH16">
            <v>4699.9999999989086</v>
          </cell>
          <cell r="AI16">
            <v>4900.57</v>
          </cell>
          <cell r="AJ16">
            <v>24060.57</v>
          </cell>
        </row>
        <row r="17">
          <cell r="AH17">
            <v>4600.0000000003638</v>
          </cell>
          <cell r="AI17">
            <v>7019.83</v>
          </cell>
          <cell r="AJ17">
            <v>24179.83</v>
          </cell>
        </row>
        <row r="18">
          <cell r="AH18">
            <v>4800.0000000010914</v>
          </cell>
          <cell r="AI18">
            <v>6552.08</v>
          </cell>
          <cell r="AJ18">
            <v>25712.080000000002</v>
          </cell>
        </row>
        <row r="19">
          <cell r="AH19">
            <v>3699.9999999989086</v>
          </cell>
          <cell r="AI19">
            <v>4804.57</v>
          </cell>
          <cell r="AJ19">
            <v>22124.57</v>
          </cell>
        </row>
        <row r="20">
          <cell r="AH20">
            <v>4600.0000000003638</v>
          </cell>
          <cell r="AI20">
            <v>6811.17</v>
          </cell>
          <cell r="AJ20">
            <v>25971.17</v>
          </cell>
        </row>
        <row r="21">
          <cell r="AH21">
            <v>4100.0000000003638</v>
          </cell>
          <cell r="AI21">
            <v>6796.18</v>
          </cell>
          <cell r="AJ21">
            <v>24956.18</v>
          </cell>
        </row>
        <row r="22">
          <cell r="AH22">
            <v>4199.9999999989086</v>
          </cell>
          <cell r="AI22">
            <v>6903.17</v>
          </cell>
          <cell r="AJ22">
            <v>27063.17</v>
          </cell>
        </row>
        <row r="23">
          <cell r="AH23">
            <v>4200.0000000007276</v>
          </cell>
          <cell r="AI23">
            <v>6494.92</v>
          </cell>
          <cell r="AJ23">
            <v>24654.92</v>
          </cell>
        </row>
        <row r="24">
          <cell r="AH24">
            <v>4700.0000000007276</v>
          </cell>
          <cell r="AI24">
            <v>5016.8900000000003</v>
          </cell>
          <cell r="AJ24">
            <v>25176.89</v>
          </cell>
        </row>
        <row r="25">
          <cell r="AH25">
            <v>4699.9999999989086</v>
          </cell>
          <cell r="AI25">
            <v>7862.23</v>
          </cell>
          <cell r="AJ25">
            <v>26022.23</v>
          </cell>
        </row>
        <row r="26">
          <cell r="AH26">
            <v>4800.0000000010914</v>
          </cell>
          <cell r="AI26">
            <v>6792.09</v>
          </cell>
          <cell r="AJ26">
            <v>23952.09</v>
          </cell>
        </row>
        <row r="27">
          <cell r="AH27">
            <v>4599.9999999985448</v>
          </cell>
          <cell r="AI27">
            <v>6713.67</v>
          </cell>
          <cell r="AJ27">
            <v>24873.67</v>
          </cell>
        </row>
        <row r="28">
          <cell r="AH28">
            <v>4500</v>
          </cell>
          <cell r="AI28">
            <v>6893.1</v>
          </cell>
          <cell r="AJ28">
            <v>24053.1</v>
          </cell>
        </row>
        <row r="29">
          <cell r="AH29">
            <v>4500</v>
          </cell>
          <cell r="AI29">
            <v>6582.22</v>
          </cell>
          <cell r="AJ29">
            <v>23742.22</v>
          </cell>
        </row>
        <row r="30">
          <cell r="AH30">
            <v>4600.0000000003638</v>
          </cell>
          <cell r="AI30">
            <v>5913.81</v>
          </cell>
          <cell r="AJ30">
            <v>25073.81</v>
          </cell>
        </row>
        <row r="31">
          <cell r="AH31">
            <v>4600.0000000003638</v>
          </cell>
          <cell r="AI31">
            <v>7103.7</v>
          </cell>
          <cell r="AJ31">
            <v>25263.7</v>
          </cell>
        </row>
        <row r="32">
          <cell r="AH32">
            <v>4500</v>
          </cell>
          <cell r="AI32">
            <v>6559.61</v>
          </cell>
          <cell r="AJ32">
            <v>24719.61</v>
          </cell>
        </row>
        <row r="33">
          <cell r="AH33">
            <v>4500</v>
          </cell>
          <cell r="AI33">
            <v>6505.85</v>
          </cell>
          <cell r="AJ33">
            <v>24665.85</v>
          </cell>
        </row>
        <row r="34">
          <cell r="AH34">
            <v>4700.0000000007276</v>
          </cell>
          <cell r="AI34">
            <v>7117.06</v>
          </cell>
          <cell r="AJ34">
            <v>26277.06</v>
          </cell>
        </row>
        <row r="35">
          <cell r="AH35">
            <v>4199.9999999989086</v>
          </cell>
          <cell r="AI35">
            <v>6223.87</v>
          </cell>
          <cell r="AJ35">
            <v>22383.87</v>
          </cell>
        </row>
        <row r="36">
          <cell r="AH36">
            <v>4300.0000000010914</v>
          </cell>
          <cell r="AI36">
            <v>8113.09</v>
          </cell>
          <cell r="AJ36">
            <v>25273.09</v>
          </cell>
        </row>
        <row r="37">
          <cell r="AH37">
            <v>0</v>
          </cell>
          <cell r="AI37">
            <v>0</v>
          </cell>
          <cell r="AJ37">
            <v>0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52"/>
    </sheetView>
  </sheetViews>
  <sheetFormatPr defaultRowHeight="12.75"/>
  <cols>
    <col min="1" max="1" width="11.5703125" customWidth="1"/>
    <col min="2" max="57" width="0" hidden="1" customWidth="1"/>
    <col min="58" max="71" width="9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5536"/>
  <sheetViews>
    <sheetView zoomScaleNormal="100" workbookViewId="0">
      <pane xSplit="3" ySplit="8" topLeftCell="AN30" activePane="bottomRight" state="frozen"/>
      <selection pane="topRight" activeCell="E1" sqref="E1"/>
      <selection pane="bottomLeft" activeCell="A9" sqref="A9"/>
      <selection pane="bottomRight" activeCell="AY43" sqref="AY43"/>
    </sheetView>
  </sheetViews>
  <sheetFormatPr defaultColWidth="9.140625" defaultRowHeight="12.75"/>
  <cols>
    <col min="1" max="1" width="7.5703125" style="275" customWidth="1"/>
    <col min="2" max="2" width="12" style="274" customWidth="1"/>
    <col min="3" max="3" width="12.28515625" style="274" bestFit="1" customWidth="1"/>
    <col min="4" max="4" width="8.28515625" style="274" customWidth="1"/>
    <col min="5" max="5" width="8" style="274" customWidth="1"/>
    <col min="6" max="6" width="6.85546875" style="274" customWidth="1"/>
    <col min="7" max="11" width="8.7109375" style="274" customWidth="1"/>
    <col min="12" max="12" width="8.7109375" style="276" customWidth="1"/>
    <col min="13" max="15" width="8.7109375" style="277" customWidth="1"/>
    <col min="16" max="16" width="8.7109375" style="276" customWidth="1"/>
    <col min="17" max="17" width="8.7109375" style="277" customWidth="1"/>
    <col min="18" max="18" width="8.7109375" style="276" customWidth="1"/>
    <col min="19" max="19" width="8.7109375" style="278" customWidth="1"/>
    <col min="20" max="20" width="10.7109375" style="278" bestFit="1" customWidth="1"/>
    <col min="21" max="21" width="9.140625" style="278" bestFit="1" customWidth="1"/>
    <col min="22" max="25" width="8.7109375" style="278" customWidth="1"/>
    <col min="26" max="27" width="7.7109375" style="278" customWidth="1"/>
    <col min="28" max="29" width="7.7109375" style="279" customWidth="1"/>
    <col min="30" max="30" width="7.7109375" style="278" customWidth="1"/>
    <col min="31" max="31" width="7.7109375" style="279" customWidth="1"/>
    <col min="32" max="32" width="8.85546875" style="278" customWidth="1"/>
    <col min="33" max="33" width="11.140625" style="278" customWidth="1"/>
    <col min="34" max="37" width="7.5703125" style="279" customWidth="1"/>
    <col min="38" max="38" width="10.140625" bestFit="1" customWidth="1"/>
    <col min="42" max="42" width="10.28515625" style="449" bestFit="1" customWidth="1"/>
    <col min="43" max="43" width="9.7109375" style="473" bestFit="1" customWidth="1"/>
    <col min="50" max="52" width="9.5703125" bestFit="1" customWidth="1"/>
    <col min="53" max="53" width="8.7109375" style="276" customWidth="1"/>
    <col min="54" max="54" width="8.7109375" style="277" customWidth="1"/>
    <col min="55" max="56" width="8.7109375" style="274" customWidth="1"/>
  </cols>
  <sheetData>
    <row r="1" spans="1:56" ht="12.75" customHeight="1">
      <c r="A1" s="273"/>
    </row>
    <row r="2" spans="1:56">
      <c r="A2" s="273"/>
    </row>
    <row r="3" spans="1:56" ht="12.75" customHeight="1">
      <c r="A3" s="613" t="s">
        <v>184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  <c r="Q3" s="613"/>
      <c r="R3" s="613"/>
      <c r="S3" s="613"/>
      <c r="T3" s="613"/>
      <c r="U3" s="613"/>
      <c r="V3" s="613"/>
      <c r="W3" s="613"/>
      <c r="X3" s="613"/>
      <c r="Y3" s="613"/>
      <c r="Z3" s="613"/>
      <c r="AA3" s="613"/>
      <c r="AB3" s="613"/>
      <c r="AC3" s="613"/>
      <c r="AD3" s="613"/>
      <c r="AE3" s="613"/>
      <c r="AF3" s="613"/>
      <c r="AG3" s="613"/>
      <c r="AH3" s="613"/>
      <c r="AI3" s="613"/>
      <c r="AJ3" s="613"/>
      <c r="AK3" s="613"/>
      <c r="BA3"/>
      <c r="BB3"/>
      <c r="BC3"/>
      <c r="BD3"/>
    </row>
    <row r="4" spans="1:56" ht="12.75" customHeight="1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613"/>
      <c r="O4" s="613"/>
      <c r="P4" s="613"/>
      <c r="Q4" s="613"/>
      <c r="R4" s="613"/>
      <c r="S4" s="613"/>
      <c r="T4" s="613"/>
      <c r="U4" s="613"/>
      <c r="V4" s="613"/>
      <c r="W4" s="613"/>
      <c r="X4" s="613"/>
      <c r="Y4" s="613"/>
      <c r="Z4" s="613"/>
      <c r="AA4" s="613"/>
      <c r="AB4" s="613"/>
      <c r="AC4" s="613"/>
      <c r="AD4" s="613"/>
      <c r="AE4" s="613"/>
      <c r="AF4" s="613"/>
      <c r="AG4" s="613"/>
      <c r="AH4" s="613"/>
      <c r="AI4" s="613"/>
      <c r="AJ4" s="613"/>
      <c r="AK4" s="613"/>
      <c r="AL4" s="447"/>
      <c r="AM4" s="448"/>
      <c r="AN4" s="448"/>
      <c r="BA4"/>
      <c r="BB4"/>
      <c r="BC4"/>
      <c r="BD4"/>
    </row>
    <row r="5" spans="1:56">
      <c r="H5" s="276"/>
      <c r="I5" s="277"/>
      <c r="J5" s="277"/>
      <c r="K5" s="277"/>
      <c r="BC5" s="277"/>
      <c r="BD5" s="277"/>
    </row>
    <row r="6" spans="1:56" ht="22.7" customHeight="1">
      <c r="A6" s="614" t="s">
        <v>8</v>
      </c>
      <c r="B6" s="599" t="s">
        <v>9</v>
      </c>
      <c r="C6" s="599" t="s">
        <v>5</v>
      </c>
      <c r="D6" s="599" t="s">
        <v>177</v>
      </c>
      <c r="E6" s="599" t="s">
        <v>178</v>
      </c>
      <c r="F6" s="599" t="s">
        <v>174</v>
      </c>
      <c r="G6" s="599" t="s">
        <v>173</v>
      </c>
      <c r="H6" s="599" t="s">
        <v>175</v>
      </c>
      <c r="I6" s="599" t="s">
        <v>176</v>
      </c>
      <c r="J6" s="601" t="s">
        <v>180</v>
      </c>
      <c r="K6" s="602"/>
      <c r="L6" s="600" t="s">
        <v>179</v>
      </c>
      <c r="M6" s="600"/>
      <c r="N6" s="600" t="s">
        <v>181</v>
      </c>
      <c r="O6" s="600"/>
      <c r="P6" s="607" t="s">
        <v>30</v>
      </c>
      <c r="Q6" s="607"/>
      <c r="R6" s="605" t="s">
        <v>23</v>
      </c>
      <c r="S6" s="605"/>
      <c r="T6" s="605" t="s">
        <v>31</v>
      </c>
      <c r="U6" s="605"/>
      <c r="V6" s="605"/>
      <c r="W6" s="605"/>
      <c r="X6" s="605"/>
      <c r="Y6" s="605"/>
      <c r="Z6" s="605" t="s">
        <v>32</v>
      </c>
      <c r="AA6" s="605"/>
      <c r="AB6" s="605"/>
      <c r="AC6" s="605"/>
      <c r="AD6" s="605"/>
      <c r="AE6" s="605"/>
      <c r="AF6" s="605" t="s">
        <v>33</v>
      </c>
      <c r="AG6" s="605"/>
      <c r="AH6" s="605"/>
      <c r="AI6" s="605"/>
      <c r="AJ6" s="605"/>
      <c r="AK6" s="605"/>
      <c r="BA6" s="600" t="s">
        <v>375</v>
      </c>
      <c r="BB6" s="600"/>
      <c r="BC6" s="601" t="s">
        <v>376</v>
      </c>
      <c r="BD6" s="602"/>
    </row>
    <row r="7" spans="1:56" ht="22.7" customHeight="1">
      <c r="A7" s="615"/>
      <c r="B7" s="599"/>
      <c r="C7" s="599"/>
      <c r="D7" s="599"/>
      <c r="E7" s="599"/>
      <c r="F7" s="599"/>
      <c r="G7" s="599"/>
      <c r="H7" s="599"/>
      <c r="I7" s="599"/>
      <c r="J7" s="603"/>
      <c r="K7" s="604"/>
      <c r="L7" s="600"/>
      <c r="M7" s="600"/>
      <c r="N7" s="600"/>
      <c r="O7" s="600"/>
      <c r="P7" s="607"/>
      <c r="Q7" s="607"/>
      <c r="R7" s="605"/>
      <c r="S7" s="605"/>
      <c r="T7" s="605" t="s">
        <v>36</v>
      </c>
      <c r="U7" s="605"/>
      <c r="V7" s="605" t="s">
        <v>34</v>
      </c>
      <c r="W7" s="605"/>
      <c r="X7" s="605" t="s">
        <v>35</v>
      </c>
      <c r="Y7" s="605"/>
      <c r="Z7" s="605" t="s">
        <v>36</v>
      </c>
      <c r="AA7" s="605"/>
      <c r="AB7" s="606" t="s">
        <v>34</v>
      </c>
      <c r="AC7" s="606"/>
      <c r="AD7" s="605" t="s">
        <v>35</v>
      </c>
      <c r="AE7" s="605"/>
      <c r="AF7" s="605" t="s">
        <v>36</v>
      </c>
      <c r="AG7" s="605"/>
      <c r="AH7" s="605" t="s">
        <v>26</v>
      </c>
      <c r="AI7" s="605"/>
      <c r="AJ7" s="605" t="s">
        <v>27</v>
      </c>
      <c r="AK7" s="605"/>
      <c r="AL7" s="596" t="s">
        <v>271</v>
      </c>
      <c r="AM7" s="597"/>
      <c r="AN7" s="597"/>
      <c r="AO7" s="598" t="s">
        <v>226</v>
      </c>
      <c r="AP7" s="474" t="s">
        <v>272</v>
      </c>
      <c r="AQ7" s="475" t="s">
        <v>135</v>
      </c>
      <c r="AR7" s="608" t="s">
        <v>273</v>
      </c>
      <c r="AS7" s="609"/>
      <c r="AT7" s="609"/>
      <c r="AU7" s="610" t="s">
        <v>274</v>
      </c>
      <c r="AV7" s="611"/>
      <c r="AW7" s="611"/>
      <c r="AX7" s="612" t="s">
        <v>287</v>
      </c>
      <c r="AY7" s="612"/>
      <c r="AZ7" s="612"/>
      <c r="BA7" s="600"/>
      <c r="BB7" s="600"/>
      <c r="BC7" s="603"/>
      <c r="BD7" s="604"/>
    </row>
    <row r="8" spans="1:56" s="1" customFormat="1">
      <c r="A8" s="616"/>
      <c r="B8" s="599"/>
      <c r="C8" s="599"/>
      <c r="D8" s="599"/>
      <c r="E8" s="599"/>
      <c r="F8" s="599"/>
      <c r="G8" s="599"/>
      <c r="H8" s="599"/>
      <c r="I8" s="599"/>
      <c r="J8" s="420" t="s">
        <v>37</v>
      </c>
      <c r="K8" s="418" t="s">
        <v>38</v>
      </c>
      <c r="L8" s="280" t="s">
        <v>37</v>
      </c>
      <c r="M8" s="281" t="s">
        <v>38</v>
      </c>
      <c r="N8" s="280" t="s">
        <v>37</v>
      </c>
      <c r="O8" s="281" t="s">
        <v>38</v>
      </c>
      <c r="P8" s="280" t="s">
        <v>37</v>
      </c>
      <c r="Q8" s="281" t="s">
        <v>38</v>
      </c>
      <c r="R8" s="280" t="s">
        <v>37</v>
      </c>
      <c r="S8" s="282" t="s">
        <v>38</v>
      </c>
      <c r="T8" s="285" t="s">
        <v>37</v>
      </c>
      <c r="U8" s="281" t="s">
        <v>38</v>
      </c>
      <c r="V8" s="286" t="s">
        <v>37</v>
      </c>
      <c r="W8" s="281" t="s">
        <v>38</v>
      </c>
      <c r="X8" s="286" t="s">
        <v>37</v>
      </c>
      <c r="Y8" s="281" t="s">
        <v>38</v>
      </c>
      <c r="Z8" s="283" t="s">
        <v>37</v>
      </c>
      <c r="AA8" s="282" t="s">
        <v>38</v>
      </c>
      <c r="AB8" s="284" t="s">
        <v>37</v>
      </c>
      <c r="AC8" s="287" t="s">
        <v>38</v>
      </c>
      <c r="AD8" s="283" t="s">
        <v>37</v>
      </c>
      <c r="AE8" s="287" t="s">
        <v>38</v>
      </c>
      <c r="AF8" s="283" t="s">
        <v>37</v>
      </c>
      <c r="AG8" s="282" t="s">
        <v>38</v>
      </c>
      <c r="AH8" s="284" t="s">
        <v>37</v>
      </c>
      <c r="AI8" s="287" t="s">
        <v>38</v>
      </c>
      <c r="AJ8" s="284" t="s">
        <v>37</v>
      </c>
      <c r="AK8" s="287" t="s">
        <v>38</v>
      </c>
      <c r="AL8" s="1">
        <v>14</v>
      </c>
      <c r="AM8" s="1">
        <v>15</v>
      </c>
      <c r="AN8" s="1">
        <v>17</v>
      </c>
      <c r="AO8" s="598"/>
      <c r="AP8" s="476" t="s">
        <v>275</v>
      </c>
      <c r="AQ8" s="477"/>
      <c r="AU8" s="1">
        <v>14</v>
      </c>
      <c r="AV8" s="1">
        <v>15</v>
      </c>
      <c r="AW8" s="1">
        <v>17</v>
      </c>
      <c r="AX8" s="1">
        <v>14</v>
      </c>
      <c r="AY8" s="1">
        <v>15</v>
      </c>
      <c r="AZ8" s="1">
        <v>17</v>
      </c>
      <c r="BA8" s="280" t="s">
        <v>37</v>
      </c>
      <c r="BB8" s="281" t="s">
        <v>38</v>
      </c>
      <c r="BC8" s="420" t="s">
        <v>37</v>
      </c>
      <c r="BD8" s="418" t="s">
        <v>38</v>
      </c>
    </row>
    <row r="9" spans="1:56" s="393" customFormat="1" ht="12.75" customHeight="1">
      <c r="A9" s="407">
        <v>46113</v>
      </c>
      <c r="B9" s="416" t="s">
        <v>7</v>
      </c>
      <c r="C9" s="394">
        <v>11.5</v>
      </c>
      <c r="D9" s="386">
        <f>+'1'!F42</f>
        <v>1216.6666666666667</v>
      </c>
      <c r="E9" s="386">
        <f>+'1'!G42</f>
        <v>924.66666666666663</v>
      </c>
      <c r="F9" s="45">
        <f t="shared" ref="F9:F38" si="0">1-(E9/D9)</f>
        <v>0.2400000000000001</v>
      </c>
      <c r="G9" s="412">
        <f>+P9/N9</f>
        <v>0.90643052256200851</v>
      </c>
      <c r="H9" s="408">
        <f>+P9/L9</f>
        <v>0.88496050032978246</v>
      </c>
      <c r="I9" s="408">
        <f>+R9/P9</f>
        <v>0.94666847237269769</v>
      </c>
      <c r="J9" s="413">
        <f>+R9/L9</f>
        <v>0.83776420495737336</v>
      </c>
      <c r="K9" s="413">
        <f>+S9/M9</f>
        <v>0.83776420495737336</v>
      </c>
      <c r="L9" s="387">
        <f>+Efficiency1!K6</f>
        <v>41.719376160000003</v>
      </c>
      <c r="M9" s="388">
        <f>L9</f>
        <v>41.719376160000003</v>
      </c>
      <c r="N9" s="387">
        <f>+Efficiency1!C6</f>
        <v>40.731196799999992</v>
      </c>
      <c r="O9" s="388">
        <f>N9</f>
        <v>40.731196799999992</v>
      </c>
      <c r="P9" s="388">
        <f>'1'!I38</f>
        <v>36.92</v>
      </c>
      <c r="Q9" s="388">
        <f>P9</f>
        <v>36.92</v>
      </c>
      <c r="R9" s="388">
        <f>'1'!I40</f>
        <v>34.951000000000001</v>
      </c>
      <c r="S9" s="388">
        <f>R9</f>
        <v>34.951000000000001</v>
      </c>
      <c r="T9" s="94">
        <f t="shared" ref="T9:T38" si="1">+AX9</f>
        <v>5302.8350744734535</v>
      </c>
      <c r="U9" s="288">
        <f>T9</f>
        <v>5302.8350744734535</v>
      </c>
      <c r="V9" s="288">
        <f>T9/P9</f>
        <v>143.63041913525063</v>
      </c>
      <c r="W9" s="288">
        <f>U9/Q9</f>
        <v>143.63041913525063</v>
      </c>
      <c r="X9" s="289">
        <f>IF(AND(R9&gt;0,T9&gt;0),(T9/(R9*1000))*1000,0)</f>
        <v>151.7219843344526</v>
      </c>
      <c r="Y9" s="288">
        <f>IF(AND(S9&gt;0,U9&gt;0),U9/S9,0)</f>
        <v>151.72198433445263</v>
      </c>
      <c r="Z9" s="390">
        <v>54.2</v>
      </c>
      <c r="AA9" s="391">
        <f>Z9</f>
        <v>54.2</v>
      </c>
      <c r="AB9" s="392">
        <f t="shared" ref="AB9:AB38" si="2">Z9/(P9)</f>
        <v>1.4680390032502708</v>
      </c>
      <c r="AC9" s="392">
        <f t="shared" ref="AC9:AC38" si="3">AA9/(Q9)</f>
        <v>1.4680390032502708</v>
      </c>
      <c r="AD9" s="387">
        <f t="shared" ref="AD9:AD38" si="4">IF(AND(R9&gt;0,Z9&gt;0),Z9/(R9),0)</f>
        <v>1.5507424680266659</v>
      </c>
      <c r="AE9" s="392">
        <f t="shared" ref="AE9:AE38" si="5">IF(AND(S9&gt;0,AA9&gt;0),AA9/(S9),0)</f>
        <v>1.5507424680266659</v>
      </c>
      <c r="AF9" s="391">
        <f>'1'!I46</f>
        <v>36826.020000000361</v>
      </c>
      <c r="AG9" s="391">
        <f>AF9</f>
        <v>36826.020000000361</v>
      </c>
      <c r="AH9" s="392">
        <f t="shared" ref="AH9:AH38" si="6">IF(AND(L9&gt;0,AF9&gt;0),(AF9/(P9*1000)*1000),0)</f>
        <v>997.45449620802708</v>
      </c>
      <c r="AI9" s="392">
        <f t="shared" ref="AI9:AI38" si="7">IF(AND(M9&gt;0,AG9&gt;0),(AG9/(Q9*1000)*1000),0)</f>
        <v>997.45449620802708</v>
      </c>
      <c r="AJ9" s="392">
        <f t="shared" ref="AJ9:AJ38" si="8">IF(AND(R9&gt;0,AF9&gt;0),(AF9/(R9*1000)*1000),0)</f>
        <v>1053.6471059483379</v>
      </c>
      <c r="AK9" s="392">
        <f t="shared" ref="AK9:AK38" si="9">IF(AND(S9&gt;0,AG9&gt;0),(AG9/(S9*1000)*1000),0)</f>
        <v>1053.6471059483379</v>
      </c>
      <c r="AL9" s="478">
        <v>5217.8999999999996</v>
      </c>
      <c r="AM9" s="479">
        <v>1646.5</v>
      </c>
      <c r="AN9" s="448">
        <v>3837.4</v>
      </c>
      <c r="AO9" s="448">
        <f>SUM(AL9:AN9)</f>
        <v>10701.8</v>
      </c>
      <c r="AP9" s="535">
        <f>+[1]Apr!N4</f>
        <v>10876</v>
      </c>
      <c r="AQ9" s="480">
        <f t="shared" ref="AQ9:AQ38" si="10">+AP9-AO9</f>
        <v>174.20000000000073</v>
      </c>
      <c r="AR9" s="451">
        <f t="shared" ref="AR9:AR37" si="11">+AL9/AO9</f>
        <v>0.48757218411855952</v>
      </c>
      <c r="AS9" s="451">
        <f t="shared" ref="AS9:AS37" si="12">+AM9/AO9</f>
        <v>0.15385262292324656</v>
      </c>
      <c r="AT9" s="451">
        <f>1-AR9-AS9</f>
        <v>0.35857519295819396</v>
      </c>
      <c r="AU9" s="451">
        <f>+AR9*AQ9</f>
        <v>84.935074473453426</v>
      </c>
      <c r="AV9" s="451">
        <f>+AS9*AQ9</f>
        <v>26.801126913229663</v>
      </c>
      <c r="AW9" s="451">
        <f>+AT9*AQ9</f>
        <v>62.46379861331765</v>
      </c>
      <c r="AX9" s="593">
        <f>IFERROR(+AL9+AU9,"-")</f>
        <v>5302.8350744734535</v>
      </c>
      <c r="AY9" s="393">
        <f>IFERROR(+AM9+AV9,"-")</f>
        <v>1673.3011269132296</v>
      </c>
      <c r="AZ9" s="393">
        <f>IFERROR(+AN9+AW9,"-")</f>
        <v>3899.8637986133176</v>
      </c>
      <c r="BA9" s="387">
        <f>+Efficiency2!K6</f>
        <v>41.719376160000003</v>
      </c>
      <c r="BB9" s="388">
        <f>BA9</f>
        <v>41.719376160000003</v>
      </c>
      <c r="BC9" s="413">
        <f>+R9/BA9</f>
        <v>0.83776420495737336</v>
      </c>
      <c r="BD9" s="413">
        <f>+S9/BB9</f>
        <v>0.83776420495737336</v>
      </c>
    </row>
    <row r="10" spans="1:56" s="393" customFormat="1" ht="12.75" customHeight="1">
      <c r="A10" s="407">
        <f t="shared" ref="A10:A38" si="13">A9+1</f>
        <v>46114</v>
      </c>
      <c r="B10" s="416" t="s">
        <v>7</v>
      </c>
      <c r="C10" s="394">
        <v>11.5</v>
      </c>
      <c r="D10" s="386">
        <f>+'2'!F42</f>
        <v>1230</v>
      </c>
      <c r="E10" s="386">
        <f>+'2'!G42</f>
        <v>934.8</v>
      </c>
      <c r="F10" s="45">
        <f t="shared" si="0"/>
        <v>0.24</v>
      </c>
      <c r="G10" s="412">
        <f t="shared" ref="G10:G41" si="14">+P10/N10</f>
        <v>0.9311623694685357</v>
      </c>
      <c r="H10" s="408">
        <f t="shared" ref="H10:H41" si="15">+P10/L10</f>
        <v>0.91906935168323001</v>
      </c>
      <c r="I10" s="408">
        <f t="shared" ref="I10:I41" si="16">+R10/P10</f>
        <v>0.97146806457502022</v>
      </c>
      <c r="J10" s="413">
        <f t="shared" ref="J10:J41" si="17">+R10/L10</f>
        <v>0.89284652428992595</v>
      </c>
      <c r="K10" s="413">
        <f t="shared" ref="K10:K38" si="18">+S10/M10</f>
        <v>0.86530536462364971</v>
      </c>
      <c r="L10" s="387">
        <f>+Efficiency1!K11</f>
        <v>41.719376160000003</v>
      </c>
      <c r="M10" s="388">
        <f t="shared" ref="M10:O38" si="19">M9+L10</f>
        <v>83.438752320000006</v>
      </c>
      <c r="N10" s="387">
        <f>+Efficiency1!C11</f>
        <v>41.177566079999998</v>
      </c>
      <c r="O10" s="388">
        <f t="shared" si="19"/>
        <v>81.908762879999983</v>
      </c>
      <c r="P10" s="388">
        <f>'2'!I38</f>
        <v>38.343000000000004</v>
      </c>
      <c r="Q10" s="388">
        <f t="shared" ref="Q10:Q38" si="20">Q9+P10</f>
        <v>75.263000000000005</v>
      </c>
      <c r="R10" s="388">
        <f>'2'!I40</f>
        <v>37.249000000000002</v>
      </c>
      <c r="S10" s="388">
        <f t="shared" ref="S10:S38" si="21">S9+R10</f>
        <v>72.2</v>
      </c>
      <c r="T10" s="94">
        <f t="shared" si="1"/>
        <v>5521.5771626071928</v>
      </c>
      <c r="U10" s="12">
        <f t="shared" ref="U10:U38" si="22">T10+U9</f>
        <v>10824.412237080647</v>
      </c>
      <c r="V10" s="288">
        <f t="shared" ref="V10:V38" si="23">T10/P10</f>
        <v>144.00482911110743</v>
      </c>
      <c r="W10" s="288">
        <f t="shared" ref="W10:W38" si="24">U10/Q10</f>
        <v>143.82116361400219</v>
      </c>
      <c r="X10" s="289">
        <f t="shared" ref="X10:X38" si="25">IF(AND(R10&gt;0,T10&gt;0),(T10/(R10*1000))*1000,0)</f>
        <v>148.23423884150426</v>
      </c>
      <c r="Y10" s="288">
        <f t="shared" ref="Y10:Y38" si="26">IF(AND(S10&gt;0,U10&gt;0),U10/S10,0)</f>
        <v>149.9226071617818</v>
      </c>
      <c r="Z10" s="390">
        <v>53.3</v>
      </c>
      <c r="AA10" s="389">
        <f t="shared" ref="AA10:AA38" si="27">Z10+AA9</f>
        <v>107.5</v>
      </c>
      <c r="AB10" s="392">
        <f t="shared" si="2"/>
        <v>1.3900842396265287</v>
      </c>
      <c r="AC10" s="392">
        <f t="shared" si="3"/>
        <v>1.42832467480701</v>
      </c>
      <c r="AD10" s="387">
        <f t="shared" si="4"/>
        <v>1.4309108969368303</v>
      </c>
      <c r="AE10" s="392">
        <f t="shared" si="5"/>
        <v>1.4889196675900276</v>
      </c>
      <c r="AF10" s="391">
        <f>'2'!I46</f>
        <v>38770.420000000362</v>
      </c>
      <c r="AG10" s="389">
        <f t="shared" ref="AG10:AG38" si="28">AF10+AG9</f>
        <v>75596.44000000073</v>
      </c>
      <c r="AH10" s="392">
        <f t="shared" si="6"/>
        <v>1011.1472759043468</v>
      </c>
      <c r="AI10" s="392">
        <f t="shared" si="7"/>
        <v>1004.430330972732</v>
      </c>
      <c r="AJ10" s="392">
        <f t="shared" si="8"/>
        <v>1040.8445864318603</v>
      </c>
      <c r="AK10" s="392">
        <f t="shared" si="9"/>
        <v>1047.042105263168</v>
      </c>
      <c r="AL10" s="447">
        <v>5210.5</v>
      </c>
      <c r="AM10" s="448">
        <v>5072.3999999999996</v>
      </c>
      <c r="AN10" s="448">
        <v>1984.7</v>
      </c>
      <c r="AO10" s="448">
        <f t="shared" ref="AO10:AO11" si="29">SUM(AL10:AN10)</f>
        <v>12267.6</v>
      </c>
      <c r="AP10" s="567">
        <f>+[1]Apr!N5</f>
        <v>13000</v>
      </c>
      <c r="AQ10" s="480">
        <f t="shared" si="10"/>
        <v>732.39999999999964</v>
      </c>
      <c r="AR10" s="451">
        <f t="shared" si="11"/>
        <v>0.42473670481593789</v>
      </c>
      <c r="AS10" s="451">
        <f t="shared" si="12"/>
        <v>0.41347940917538878</v>
      </c>
      <c r="AT10" s="451">
        <f t="shared" ref="AT10:AT37" si="30">1-AR10-AS10</f>
        <v>0.16178388600867338</v>
      </c>
      <c r="AU10" s="451">
        <f t="shared" ref="AU10:AU37" si="31">+AR10*AQ10</f>
        <v>311.07716260719275</v>
      </c>
      <c r="AV10" s="451">
        <f t="shared" ref="AV10:AV37" si="32">+AS10*AQ10</f>
        <v>302.83231928005461</v>
      </c>
      <c r="AW10" s="451">
        <f>+AT10*AQ10</f>
        <v>118.49051811275233</v>
      </c>
      <c r="AX10" s="593">
        <f t="shared" ref="AX10:AX38" si="33">IFERROR(+AL10+AU10,"-")</f>
        <v>5521.5771626071928</v>
      </c>
      <c r="AY10" s="393">
        <f t="shared" ref="AY10:AY38" si="34">IFERROR(+AM10+AV10,"-")</f>
        <v>5375.2323192800541</v>
      </c>
      <c r="AZ10" s="393">
        <f t="shared" ref="AZ10:AZ38" si="35">IFERROR(+AN10+AW10,"-")</f>
        <v>2103.1905181127522</v>
      </c>
      <c r="BA10" s="387">
        <f>+Efficiency2!K11</f>
        <v>41.719376160000003</v>
      </c>
      <c r="BB10" s="388">
        <f t="shared" ref="BB10:BB38" si="36">BB9+BA10</f>
        <v>83.438752320000006</v>
      </c>
      <c r="BC10" s="413">
        <f t="shared" ref="BC10:BC41" si="37">+R10/BA10</f>
        <v>0.89284652428992595</v>
      </c>
      <c r="BD10" s="413">
        <f t="shared" ref="BD10:BD38" si="38">+S10/BB10</f>
        <v>0.86530536462364971</v>
      </c>
    </row>
    <row r="11" spans="1:56" s="393" customFormat="1" ht="12.75" customHeight="1">
      <c r="A11" s="407">
        <f t="shared" si="13"/>
        <v>46115</v>
      </c>
      <c r="B11" s="416" t="s">
        <v>7</v>
      </c>
      <c r="C11" s="394">
        <v>11.5</v>
      </c>
      <c r="D11" s="386">
        <f>+'3'!F42</f>
        <v>1230</v>
      </c>
      <c r="E11" s="386">
        <f>+'3'!G42</f>
        <v>934.8</v>
      </c>
      <c r="F11" s="45">
        <f t="shared" si="0"/>
        <v>0.24</v>
      </c>
      <c r="G11" s="412">
        <f t="shared" si="14"/>
        <v>0.91001007507824039</v>
      </c>
      <c r="H11" s="408">
        <f>+P11/L11</f>
        <v>0.89819176241488652</v>
      </c>
      <c r="I11" s="408">
        <f t="shared" si="16"/>
        <v>0.99890584970111007</v>
      </c>
      <c r="J11" s="413">
        <f t="shared" si="17"/>
        <v>0.89720900562957973</v>
      </c>
      <c r="K11" s="413">
        <f t="shared" si="18"/>
        <v>0.87593991162562634</v>
      </c>
      <c r="L11" s="387">
        <f>+Efficiency1!K16</f>
        <v>41.719376160000003</v>
      </c>
      <c r="M11" s="388">
        <f t="shared" si="19"/>
        <v>125.15812848000002</v>
      </c>
      <c r="N11" s="387">
        <f>+Efficiency1!C16</f>
        <v>41.177566079999998</v>
      </c>
      <c r="O11" s="388">
        <f t="shared" si="19"/>
        <v>123.08632895999997</v>
      </c>
      <c r="P11" s="388">
        <f>'3'!I38</f>
        <v>37.472000000000001</v>
      </c>
      <c r="Q11" s="388">
        <f t="shared" si="20"/>
        <v>112.73500000000001</v>
      </c>
      <c r="R11" s="388">
        <f>'3'!I40</f>
        <v>37.430999999999997</v>
      </c>
      <c r="S11" s="388">
        <f t="shared" si="21"/>
        <v>109.631</v>
      </c>
      <c r="T11" s="94">
        <f t="shared" si="1"/>
        <v>4681.4609956288796</v>
      </c>
      <c r="U11" s="12">
        <f t="shared" si="22"/>
        <v>15505.873232709528</v>
      </c>
      <c r="V11" s="288">
        <f t="shared" si="23"/>
        <v>124.93224262459648</v>
      </c>
      <c r="W11" s="288">
        <f t="shared" si="24"/>
        <v>137.54267292952079</v>
      </c>
      <c r="X11" s="289">
        <f t="shared" si="25"/>
        <v>125.06908700352326</v>
      </c>
      <c r="Y11" s="288">
        <f t="shared" si="26"/>
        <v>141.43694057984993</v>
      </c>
      <c r="Z11" s="390">
        <v>57.9</v>
      </c>
      <c r="AA11" s="389">
        <f t="shared" si="27"/>
        <v>165.4</v>
      </c>
      <c r="AB11" s="392">
        <f t="shared" si="2"/>
        <v>1.5451537147736976</v>
      </c>
      <c r="AC11" s="392">
        <f t="shared" si="3"/>
        <v>1.4671574932363507</v>
      </c>
      <c r="AD11" s="387">
        <f t="shared" si="4"/>
        <v>1.5468461970024847</v>
      </c>
      <c r="AE11" s="392">
        <f t="shared" si="5"/>
        <v>1.5086973574992475</v>
      </c>
      <c r="AF11" s="391">
        <f>'3'!I46</f>
        <v>39462.220000000729</v>
      </c>
      <c r="AG11" s="389">
        <f t="shared" si="28"/>
        <v>115058.66000000146</v>
      </c>
      <c r="AH11" s="392">
        <f t="shared" si="6"/>
        <v>1053.1121904355448</v>
      </c>
      <c r="AI11" s="392">
        <f t="shared" si="7"/>
        <v>1020.6117000044479</v>
      </c>
      <c r="AJ11" s="392">
        <f t="shared" si="8"/>
        <v>1054.2657155833595</v>
      </c>
      <c r="AK11" s="392">
        <f t="shared" si="9"/>
        <v>1049.5084419552995</v>
      </c>
      <c r="AL11" s="447">
        <v>5238.8</v>
      </c>
      <c r="AM11" s="448">
        <v>5942.4</v>
      </c>
      <c r="AN11" s="448">
        <v>3414.6</v>
      </c>
      <c r="AO11" s="448">
        <f t="shared" si="29"/>
        <v>14595.800000000001</v>
      </c>
      <c r="AP11" s="567">
        <f>+[1]Apr!N6</f>
        <v>13043</v>
      </c>
      <c r="AQ11" s="480">
        <f t="shared" si="10"/>
        <v>-1552.8000000000011</v>
      </c>
      <c r="AR11" s="451">
        <f t="shared" si="11"/>
        <v>0.35892517025445675</v>
      </c>
      <c r="AS11" s="451">
        <f t="shared" si="12"/>
        <v>0.4071308184546239</v>
      </c>
      <c r="AT11" s="451">
        <f t="shared" si="30"/>
        <v>0.23394401129091941</v>
      </c>
      <c r="AU11" s="451">
        <f t="shared" si="31"/>
        <v>-557.33900437112084</v>
      </c>
      <c r="AV11" s="451">
        <f t="shared" si="32"/>
        <v>-632.19273489634043</v>
      </c>
      <c r="AW11" s="451">
        <f t="shared" ref="AW11:AW37" si="39">+AT11*AQ11</f>
        <v>-363.26826073253989</v>
      </c>
      <c r="AX11" s="593">
        <f t="shared" si="33"/>
        <v>4681.4609956288796</v>
      </c>
      <c r="AY11" s="393">
        <f t="shared" si="34"/>
        <v>5310.2072651036597</v>
      </c>
      <c r="AZ11" s="393">
        <f t="shared" si="35"/>
        <v>3051.3317392674599</v>
      </c>
      <c r="BA11" s="387">
        <f>+Efficiency2!K16</f>
        <v>41.719376160000003</v>
      </c>
      <c r="BB11" s="388">
        <f t="shared" si="36"/>
        <v>125.15812848000002</v>
      </c>
      <c r="BC11" s="413">
        <f t="shared" si="37"/>
        <v>0.89720900562957973</v>
      </c>
      <c r="BD11" s="413">
        <f t="shared" si="38"/>
        <v>0.87593991162562634</v>
      </c>
    </row>
    <row r="12" spans="1:56" s="393" customFormat="1" ht="12.75" customHeight="1">
      <c r="A12" s="407">
        <f t="shared" si="13"/>
        <v>46116</v>
      </c>
      <c r="B12" s="416" t="s">
        <v>7</v>
      </c>
      <c r="C12" s="394" t="s">
        <v>451</v>
      </c>
      <c r="D12" s="386">
        <f>+'4'!F42</f>
        <v>1212.8958333333333</v>
      </c>
      <c r="E12" s="386">
        <f>+'4'!G42</f>
        <v>915.86805555555554</v>
      </c>
      <c r="F12" s="45">
        <f t="shared" si="0"/>
        <v>0.24489141574629125</v>
      </c>
      <c r="G12" s="412">
        <f t="shared" si="14"/>
        <v>0.9618417549612932</v>
      </c>
      <c r="H12" s="408">
        <f t="shared" si="15"/>
        <v>0.92834966454456891</v>
      </c>
      <c r="I12" s="408">
        <f t="shared" si="16"/>
        <v>0.98834334157541492</v>
      </c>
      <c r="J12" s="413">
        <f t="shared" si="17"/>
        <v>0.91752820960639481</v>
      </c>
      <c r="K12" s="413">
        <f t="shared" si="18"/>
        <v>0.88707124335004905</v>
      </c>
      <c r="L12" s="387">
        <f>+SUM(Efficiency1!K21:K23)</f>
        <v>45.742462804500008</v>
      </c>
      <c r="M12" s="388">
        <f t="shared" si="19"/>
        <v>170.90059128450002</v>
      </c>
      <c r="N12" s="387">
        <f>+SUM(Efficiency1!C21:C23)</f>
        <v>44.149674082000004</v>
      </c>
      <c r="O12" s="388">
        <f t="shared" si="19"/>
        <v>167.23600304199999</v>
      </c>
      <c r="P12" s="388">
        <f>'4'!I38</f>
        <v>42.465000000000003</v>
      </c>
      <c r="Q12" s="388">
        <f t="shared" si="20"/>
        <v>155.20000000000002</v>
      </c>
      <c r="R12" s="388">
        <f>'4'!I40</f>
        <v>41.97</v>
      </c>
      <c r="S12" s="388">
        <f t="shared" si="21"/>
        <v>151.601</v>
      </c>
      <c r="T12" s="94">
        <f t="shared" si="1"/>
        <v>5076.3320903432068</v>
      </c>
      <c r="U12" s="12">
        <f t="shared" si="22"/>
        <v>20582.205323052734</v>
      </c>
      <c r="V12" s="288">
        <f t="shared" si="23"/>
        <v>119.54155399371733</v>
      </c>
      <c r="W12" s="288">
        <f t="shared" si="24"/>
        <v>132.61730233925729</v>
      </c>
      <c r="X12" s="289">
        <f t="shared" si="25"/>
        <v>120.95144365840378</v>
      </c>
      <c r="Y12" s="288">
        <f t="shared" si="26"/>
        <v>135.76563032600532</v>
      </c>
      <c r="Z12" s="390">
        <v>57.8</v>
      </c>
      <c r="AA12" s="389">
        <f t="shared" si="27"/>
        <v>223.2</v>
      </c>
      <c r="AB12" s="392">
        <f t="shared" si="2"/>
        <v>1.3611209231131518</v>
      </c>
      <c r="AC12" s="392">
        <f t="shared" si="3"/>
        <v>1.438144329896907</v>
      </c>
      <c r="AD12" s="387">
        <f t="shared" si="4"/>
        <v>1.3771741720276387</v>
      </c>
      <c r="AE12" s="392">
        <f t="shared" si="5"/>
        <v>1.472285802864097</v>
      </c>
      <c r="AF12" s="391">
        <f>'4'!I46</f>
        <v>37387.379999998542</v>
      </c>
      <c r="AG12" s="389">
        <f t="shared" si="28"/>
        <v>152446.04</v>
      </c>
      <c r="AH12" s="392">
        <f t="shared" si="6"/>
        <v>880.4281172730141</v>
      </c>
      <c r="AI12" s="392">
        <f t="shared" si="7"/>
        <v>982.25541237113384</v>
      </c>
      <c r="AJ12" s="392">
        <f t="shared" si="8"/>
        <v>890.8120085775206</v>
      </c>
      <c r="AK12" s="392">
        <f t="shared" si="9"/>
        <v>1005.5741057117039</v>
      </c>
      <c r="AL12" s="447">
        <v>5363.6</v>
      </c>
      <c r="AM12" s="448">
        <v>5901.6</v>
      </c>
      <c r="AN12" s="448">
        <f>1214.4+1249.46+1272.4</f>
        <v>3736.26</v>
      </c>
      <c r="AO12" s="448">
        <f>SUM(AL12:AN12)</f>
        <v>15001.460000000001</v>
      </c>
      <c r="AP12" s="567">
        <f>+[1]Apr!N7</f>
        <v>14198</v>
      </c>
      <c r="AQ12" s="480">
        <f t="shared" si="10"/>
        <v>-803.46000000000095</v>
      </c>
      <c r="AR12" s="451">
        <f t="shared" si="11"/>
        <v>0.35753853291612953</v>
      </c>
      <c r="AS12" s="451">
        <f t="shared" si="12"/>
        <v>0.39340170890033371</v>
      </c>
      <c r="AT12" s="451">
        <f t="shared" si="30"/>
        <v>0.24905975818353671</v>
      </c>
      <c r="AU12" s="451">
        <f t="shared" si="31"/>
        <v>-287.26790965679379</v>
      </c>
      <c r="AV12" s="451">
        <f t="shared" si="32"/>
        <v>-316.08253703306252</v>
      </c>
      <c r="AW12" s="451">
        <f t="shared" si="39"/>
        <v>-200.10955331014463</v>
      </c>
      <c r="AX12" s="593">
        <f t="shared" si="33"/>
        <v>5076.3320903432068</v>
      </c>
      <c r="AY12" s="393">
        <f t="shared" si="34"/>
        <v>5585.5174629669382</v>
      </c>
      <c r="AZ12" s="393">
        <f t="shared" si="35"/>
        <v>3536.1504466898555</v>
      </c>
      <c r="BA12" s="387">
        <f>+SUM(Efficiency2!K21:K23)</f>
        <v>45.742462804500008</v>
      </c>
      <c r="BB12" s="388">
        <f t="shared" si="36"/>
        <v>170.90059128450002</v>
      </c>
      <c r="BC12" s="413">
        <f t="shared" si="37"/>
        <v>0.91752820960639481</v>
      </c>
      <c r="BD12" s="413">
        <f t="shared" si="38"/>
        <v>0.88707124335004905</v>
      </c>
    </row>
    <row r="13" spans="1:56" s="393" customFormat="1" ht="12.75" customHeight="1">
      <c r="A13" s="407">
        <f t="shared" si="13"/>
        <v>46117</v>
      </c>
      <c r="B13" s="416" t="s">
        <v>7</v>
      </c>
      <c r="C13" s="394" t="s">
        <v>452</v>
      </c>
      <c r="D13" s="386">
        <f>+'5'!F42</f>
        <v>1230</v>
      </c>
      <c r="E13" s="386">
        <f>+'5'!G42</f>
        <v>934.8</v>
      </c>
      <c r="F13" s="45">
        <f t="shared" si="0"/>
        <v>0.24</v>
      </c>
      <c r="G13" s="412">
        <f t="shared" si="14"/>
        <v>0.94808906199440923</v>
      </c>
      <c r="H13" s="408">
        <f t="shared" si="15"/>
        <v>0.93577621703344271</v>
      </c>
      <c r="I13" s="408">
        <f t="shared" si="16"/>
        <v>1.0063780737704919</v>
      </c>
      <c r="J13" s="413">
        <f t="shared" si="17"/>
        <v>0.94174466677835378</v>
      </c>
      <c r="K13" s="413">
        <f t="shared" si="18"/>
        <v>0.89779902750586116</v>
      </c>
      <c r="L13" s="387">
        <f>+Efficiency1!K26</f>
        <v>41.719376160000003</v>
      </c>
      <c r="M13" s="388">
        <f t="shared" si="19"/>
        <v>212.61996744450002</v>
      </c>
      <c r="N13" s="387">
        <f>+Efficiency1!C26</f>
        <v>41.177566079999998</v>
      </c>
      <c r="O13" s="388">
        <f t="shared" si="19"/>
        <v>208.41356912199998</v>
      </c>
      <c r="P13" s="388">
        <f>'5'!I38</f>
        <v>39.04</v>
      </c>
      <c r="Q13" s="388">
        <f t="shared" si="20"/>
        <v>194.24</v>
      </c>
      <c r="R13" s="388">
        <f>'5'!I40</f>
        <v>39.289000000000001</v>
      </c>
      <c r="S13" s="388">
        <f t="shared" si="21"/>
        <v>190.89</v>
      </c>
      <c r="T13" s="94">
        <f t="shared" si="1"/>
        <v>5122.2748482041707</v>
      </c>
      <c r="U13" s="12">
        <f t="shared" si="22"/>
        <v>25704.480171256906</v>
      </c>
      <c r="V13" s="288">
        <f t="shared" si="23"/>
        <v>131.2058106609675</v>
      </c>
      <c r="W13" s="288">
        <f t="shared" si="24"/>
        <v>132.33360878941983</v>
      </c>
      <c r="X13" s="289">
        <f t="shared" si="25"/>
        <v>130.37427392410524</v>
      </c>
      <c r="Y13" s="288">
        <f t="shared" si="26"/>
        <v>134.65598078085236</v>
      </c>
      <c r="Z13" s="390">
        <v>57.5</v>
      </c>
      <c r="AA13" s="389">
        <f t="shared" si="27"/>
        <v>280.7</v>
      </c>
      <c r="AB13" s="392">
        <f t="shared" si="2"/>
        <v>1.4728483606557377</v>
      </c>
      <c r="AC13" s="392">
        <f t="shared" si="3"/>
        <v>1.4451194398682041</v>
      </c>
      <c r="AD13" s="387">
        <f t="shared" si="4"/>
        <v>1.4635139606505636</v>
      </c>
      <c r="AE13" s="392">
        <f t="shared" si="5"/>
        <v>1.4704803813714706</v>
      </c>
      <c r="AF13" s="391">
        <f>'5'!I46</f>
        <v>38874.880000001089</v>
      </c>
      <c r="AG13" s="389">
        <f t="shared" si="28"/>
        <v>191320.92000000109</v>
      </c>
      <c r="AH13" s="392">
        <f t="shared" si="6"/>
        <v>995.77049180330653</v>
      </c>
      <c r="AI13" s="392">
        <f t="shared" si="7"/>
        <v>984.97178747941246</v>
      </c>
      <c r="AJ13" s="392">
        <f t="shared" si="8"/>
        <v>989.45964519333882</v>
      </c>
      <c r="AK13" s="392">
        <f t="shared" si="9"/>
        <v>1002.25742574258</v>
      </c>
      <c r="AL13" s="447">
        <v>5413.4</v>
      </c>
      <c r="AM13" s="448">
        <v>5904.6</v>
      </c>
      <c r="AN13" s="448">
        <f>1221.41+1098.43+1271.99</f>
        <v>3591.83</v>
      </c>
      <c r="AO13" s="448">
        <f t="shared" ref="AO13:AO38" si="40">SUM(AL13:AN13)</f>
        <v>14909.83</v>
      </c>
      <c r="AP13" s="567">
        <f>+[1]Apr!N8</f>
        <v>14108</v>
      </c>
      <c r="AQ13" s="480">
        <f t="shared" si="10"/>
        <v>-801.82999999999993</v>
      </c>
      <c r="AR13" s="451">
        <f t="shared" si="11"/>
        <v>0.36307590361526587</v>
      </c>
      <c r="AS13" s="451">
        <f t="shared" si="12"/>
        <v>0.39602061190503179</v>
      </c>
      <c r="AT13" s="451">
        <f t="shared" si="30"/>
        <v>0.24090348447970233</v>
      </c>
      <c r="AU13" s="451">
        <f t="shared" si="31"/>
        <v>-291.12515179582863</v>
      </c>
      <c r="AV13" s="451">
        <f t="shared" si="32"/>
        <v>-317.54120724381164</v>
      </c>
      <c r="AW13" s="451">
        <f t="shared" si="39"/>
        <v>-193.16364096035971</v>
      </c>
      <c r="AX13" s="593">
        <f t="shared" si="33"/>
        <v>5122.2748482041707</v>
      </c>
      <c r="AY13" s="393">
        <f t="shared" si="34"/>
        <v>5587.0587927561883</v>
      </c>
      <c r="AZ13" s="393">
        <f t="shared" si="35"/>
        <v>3398.6663590396402</v>
      </c>
      <c r="BA13" s="387">
        <f>+Efficiency2!K26</f>
        <v>41.719376160000003</v>
      </c>
      <c r="BB13" s="388">
        <f t="shared" si="36"/>
        <v>212.61996744450002</v>
      </c>
      <c r="BC13" s="413">
        <f t="shared" si="37"/>
        <v>0.94174466677835378</v>
      </c>
      <c r="BD13" s="413">
        <f t="shared" si="38"/>
        <v>0.89779902750586116</v>
      </c>
    </row>
    <row r="14" spans="1:56" s="393" customFormat="1" ht="12.75" customHeight="1">
      <c r="A14" s="407">
        <f t="shared" si="13"/>
        <v>46118</v>
      </c>
      <c r="B14" s="416" t="s">
        <v>7</v>
      </c>
      <c r="C14" s="394" t="s">
        <v>466</v>
      </c>
      <c r="D14" s="386">
        <f>+'6'!F42</f>
        <v>1170.5</v>
      </c>
      <c r="E14" s="386">
        <f>+'6'!G42</f>
        <v>881.02687500000002</v>
      </c>
      <c r="F14" s="45">
        <f t="shared" si="0"/>
        <v>0.24730724049551467</v>
      </c>
      <c r="G14" s="412">
        <f t="shared" si="14"/>
        <v>0.93506328149002615</v>
      </c>
      <c r="H14" s="408">
        <f t="shared" si="15"/>
        <v>0.88710293157762654</v>
      </c>
      <c r="I14" s="408">
        <f t="shared" si="16"/>
        <v>0.93972365317028539</v>
      </c>
      <c r="J14" s="413">
        <f t="shared" si="17"/>
        <v>0.83363160760019694</v>
      </c>
      <c r="K14" s="413">
        <f t="shared" si="18"/>
        <v>0.88621722146215776</v>
      </c>
      <c r="L14" s="387">
        <f>+SUM(Efficiency1!K31:K33)</f>
        <v>46.828838595000001</v>
      </c>
      <c r="M14" s="388">
        <f t="shared" si="19"/>
        <v>259.44880603950003</v>
      </c>
      <c r="N14" s="387">
        <f>+SUM(Efficiency1!C31:C33)</f>
        <v>44.426939676000003</v>
      </c>
      <c r="O14" s="388">
        <f t="shared" si="19"/>
        <v>252.84050879799997</v>
      </c>
      <c r="P14" s="388">
        <f>'6'!I38</f>
        <v>41.542000000000002</v>
      </c>
      <c r="Q14" s="388">
        <f t="shared" si="20"/>
        <v>235.78200000000001</v>
      </c>
      <c r="R14" s="388">
        <f>'6'!I40</f>
        <v>39.037999999999997</v>
      </c>
      <c r="S14" s="388">
        <f t="shared" si="21"/>
        <v>229.928</v>
      </c>
      <c r="T14" s="94">
        <f t="shared" si="1"/>
        <v>5263.1642940102865</v>
      </c>
      <c r="U14" s="12">
        <f t="shared" si="22"/>
        <v>30967.644465267193</v>
      </c>
      <c r="V14" s="288">
        <f t="shared" si="23"/>
        <v>126.69501453974981</v>
      </c>
      <c r="W14" s="288">
        <f t="shared" si="24"/>
        <v>131.34015516564958</v>
      </c>
      <c r="X14" s="289">
        <f t="shared" si="25"/>
        <v>134.82156601286661</v>
      </c>
      <c r="Y14" s="288">
        <f t="shared" si="26"/>
        <v>134.68409443507181</v>
      </c>
      <c r="Z14" s="390">
        <v>55.5</v>
      </c>
      <c r="AA14" s="389">
        <f t="shared" si="27"/>
        <v>336.2</v>
      </c>
      <c r="AB14" s="392">
        <f t="shared" si="2"/>
        <v>1.3359973039333686</v>
      </c>
      <c r="AC14" s="392">
        <f t="shared" si="3"/>
        <v>1.4258934100143352</v>
      </c>
      <c r="AD14" s="387">
        <f t="shared" si="4"/>
        <v>1.4216916850248478</v>
      </c>
      <c r="AE14" s="392">
        <f t="shared" si="5"/>
        <v>1.4621968616262482</v>
      </c>
      <c r="AF14" s="391">
        <f>'6'!I46</f>
        <v>37800.899999999274</v>
      </c>
      <c r="AG14" s="389">
        <f t="shared" si="28"/>
        <v>229121.82000000036</v>
      </c>
      <c r="AH14" s="392">
        <f t="shared" si="6"/>
        <v>909.94415290547579</v>
      </c>
      <c r="AI14" s="392">
        <f t="shared" si="7"/>
        <v>971.75280555767768</v>
      </c>
      <c r="AJ14" s="392">
        <f t="shared" si="8"/>
        <v>968.31036426044557</v>
      </c>
      <c r="AK14" s="392">
        <f t="shared" si="9"/>
        <v>996.49377196339879</v>
      </c>
      <c r="AL14" s="447">
        <v>5537.9</v>
      </c>
      <c r="AM14" s="448">
        <v>5781.1</v>
      </c>
      <c r="AN14" s="448">
        <v>3748.5</v>
      </c>
      <c r="AO14" s="448">
        <f t="shared" si="40"/>
        <v>15067.5</v>
      </c>
      <c r="AP14" s="567">
        <f>+[1]Apr!N9</f>
        <v>14320</v>
      </c>
      <c r="AQ14" s="480">
        <f t="shared" si="10"/>
        <v>-747.5</v>
      </c>
      <c r="AR14" s="451">
        <f t="shared" si="11"/>
        <v>0.36753940600630491</v>
      </c>
      <c r="AS14" s="451">
        <f t="shared" si="12"/>
        <v>0.38368010618881704</v>
      </c>
      <c r="AT14" s="451">
        <f>1-AR14-AS14</f>
        <v>0.2487804878048781</v>
      </c>
      <c r="AU14" s="451">
        <f t="shared" si="31"/>
        <v>-274.73570598971293</v>
      </c>
      <c r="AV14" s="451">
        <f t="shared" si="32"/>
        <v>-286.80087937614076</v>
      </c>
      <c r="AW14" s="451">
        <f t="shared" si="39"/>
        <v>-185.96341463414637</v>
      </c>
      <c r="AX14" s="593">
        <f t="shared" si="33"/>
        <v>5263.1642940102865</v>
      </c>
      <c r="AY14" s="393">
        <f t="shared" si="34"/>
        <v>5494.2991206238594</v>
      </c>
      <c r="AZ14" s="393">
        <f t="shared" si="35"/>
        <v>3562.5365853658536</v>
      </c>
      <c r="BA14" s="387">
        <f>+SUM(Efficiency2!K31:K33)</f>
        <v>46.828838595000001</v>
      </c>
      <c r="BB14" s="388">
        <f t="shared" si="36"/>
        <v>259.44880603950003</v>
      </c>
      <c r="BC14" s="413">
        <f t="shared" si="37"/>
        <v>0.83363160760019694</v>
      </c>
      <c r="BD14" s="413">
        <f t="shared" si="38"/>
        <v>0.88621722146215776</v>
      </c>
    </row>
    <row r="15" spans="1:56" s="393" customFormat="1" ht="12.75" customHeight="1">
      <c r="A15" s="407">
        <f t="shared" si="13"/>
        <v>46119</v>
      </c>
      <c r="B15" s="416" t="s">
        <v>7</v>
      </c>
      <c r="C15" s="394" t="s">
        <v>479</v>
      </c>
      <c r="D15" s="386">
        <f>+'7'!F42</f>
        <v>1142.2569444444443</v>
      </c>
      <c r="E15" s="386">
        <f>+'7'!G42</f>
        <v>856.69270833333337</v>
      </c>
      <c r="F15" s="45">
        <f t="shared" si="0"/>
        <v>0.24999999999999989</v>
      </c>
      <c r="G15" s="412">
        <f t="shared" si="14"/>
        <v>0.93800317757431195</v>
      </c>
      <c r="H15" s="408">
        <f t="shared" si="15"/>
        <v>0.87849890120888263</v>
      </c>
      <c r="I15" s="408">
        <f t="shared" si="16"/>
        <v>0.91731902744520166</v>
      </c>
      <c r="J15" s="413">
        <f t="shared" si="17"/>
        <v>0.80586375766861051</v>
      </c>
      <c r="K15" s="413">
        <f t="shared" si="18"/>
        <v>0.8733562843039816</v>
      </c>
      <c r="L15" s="387">
        <f>+SUM(Efficiency1!K36:K37)</f>
        <v>49.438878000000003</v>
      </c>
      <c r="M15" s="388">
        <f t="shared" si="19"/>
        <v>308.88768403950002</v>
      </c>
      <c r="N15" s="387">
        <f>+SUM(Efficiency1!C36:C37)</f>
        <v>46.302615000000003</v>
      </c>
      <c r="O15" s="388">
        <f t="shared" si="19"/>
        <v>299.14312379799998</v>
      </c>
      <c r="P15" s="388">
        <f>'7'!I38</f>
        <v>43.432000000000002</v>
      </c>
      <c r="Q15" s="388">
        <f t="shared" si="20"/>
        <v>279.214</v>
      </c>
      <c r="R15" s="388">
        <f>'7'!I40</f>
        <v>39.841000000000001</v>
      </c>
      <c r="S15" s="388">
        <f t="shared" si="21"/>
        <v>269.76900000000001</v>
      </c>
      <c r="T15" s="94">
        <f t="shared" si="1"/>
        <v>5253.6523132636812</v>
      </c>
      <c r="U15" s="12">
        <f t="shared" si="22"/>
        <v>36221.296778530872</v>
      </c>
      <c r="V15" s="288">
        <f t="shared" si="23"/>
        <v>120.96270752587219</v>
      </c>
      <c r="W15" s="288">
        <f t="shared" si="24"/>
        <v>129.72593343647122</v>
      </c>
      <c r="X15" s="289">
        <f t="shared" si="25"/>
        <v>131.86547308711329</v>
      </c>
      <c r="Y15" s="288">
        <f t="shared" si="26"/>
        <v>134.26782461487744</v>
      </c>
      <c r="Z15" s="390">
        <v>53.2</v>
      </c>
      <c r="AA15" s="389">
        <f t="shared" si="27"/>
        <v>389.4</v>
      </c>
      <c r="AB15" s="392">
        <f t="shared" si="2"/>
        <v>1.2249032971081231</v>
      </c>
      <c r="AC15" s="392">
        <f t="shared" si="3"/>
        <v>1.3946292091370776</v>
      </c>
      <c r="AD15" s="387">
        <f t="shared" si="4"/>
        <v>1.3353078486985768</v>
      </c>
      <c r="AE15" s="392">
        <f t="shared" si="5"/>
        <v>1.4434571800318048</v>
      </c>
      <c r="AF15" s="391">
        <f>'7'!I46</f>
        <v>35942.300000001094</v>
      </c>
      <c r="AG15" s="389">
        <f t="shared" si="28"/>
        <v>265064.12000000145</v>
      </c>
      <c r="AH15" s="392">
        <f t="shared" si="6"/>
        <v>827.5534168355382</v>
      </c>
      <c r="AI15" s="392">
        <f t="shared" si="7"/>
        <v>949.32245517775414</v>
      </c>
      <c r="AJ15" s="392">
        <f t="shared" si="8"/>
        <v>902.14352049399099</v>
      </c>
      <c r="AK15" s="392">
        <f t="shared" si="9"/>
        <v>982.55959728509004</v>
      </c>
      <c r="AL15" s="447">
        <v>5502.1</v>
      </c>
      <c r="AM15" s="448">
        <v>5893.7</v>
      </c>
      <c r="AN15" s="448">
        <v>3736.5</v>
      </c>
      <c r="AO15" s="448">
        <f t="shared" si="40"/>
        <v>15132.3</v>
      </c>
      <c r="AP15" s="567">
        <f>+[1]Apr!N10</f>
        <v>14449</v>
      </c>
      <c r="AQ15" s="480">
        <f t="shared" si="10"/>
        <v>-683.29999999999927</v>
      </c>
      <c r="AR15" s="451">
        <f t="shared" si="11"/>
        <v>0.36359971716130401</v>
      </c>
      <c r="AS15" s="451">
        <f t="shared" si="12"/>
        <v>0.38947813617229371</v>
      </c>
      <c r="AT15" s="451">
        <f>1-AR15-AS15</f>
        <v>0.24692214666640228</v>
      </c>
      <c r="AU15" s="451">
        <f t="shared" si="31"/>
        <v>-248.44768673631876</v>
      </c>
      <c r="AV15" s="451">
        <f t="shared" si="32"/>
        <v>-266.130410446528</v>
      </c>
      <c r="AW15" s="451">
        <f t="shared" si="39"/>
        <v>-168.72190281715248</v>
      </c>
      <c r="AX15" s="593">
        <f t="shared" si="33"/>
        <v>5253.6523132636812</v>
      </c>
      <c r="AY15" s="393">
        <f t="shared" si="34"/>
        <v>5627.5695895534718</v>
      </c>
      <c r="AZ15" s="393">
        <f t="shared" si="35"/>
        <v>3567.7780971828474</v>
      </c>
      <c r="BA15" s="387">
        <f>+SUM(Efficiency2!K36:K37)</f>
        <v>49.438878000000003</v>
      </c>
      <c r="BB15" s="388">
        <f t="shared" si="36"/>
        <v>308.88768403950002</v>
      </c>
      <c r="BC15" s="413">
        <f t="shared" si="37"/>
        <v>0.80586375766861051</v>
      </c>
      <c r="BD15" s="413">
        <f t="shared" si="38"/>
        <v>0.8733562843039816</v>
      </c>
    </row>
    <row r="16" spans="1:56" s="393" customFormat="1" ht="12.75" customHeight="1">
      <c r="A16" s="407">
        <f t="shared" si="13"/>
        <v>46120</v>
      </c>
      <c r="B16" s="416" t="s">
        <v>7</v>
      </c>
      <c r="C16" s="394" t="s">
        <v>503</v>
      </c>
      <c r="D16" s="386">
        <f>+'8'!F42</f>
        <v>1068.4305555555557</v>
      </c>
      <c r="E16" s="386">
        <f>+'8'!G42</f>
        <v>801.32291666666663</v>
      </c>
      <c r="F16" s="45">
        <f t="shared" si="0"/>
        <v>0.25000000000000011</v>
      </c>
      <c r="G16" s="412">
        <f t="shared" si="14"/>
        <v>0.88555597290747234</v>
      </c>
      <c r="H16" s="408">
        <f t="shared" si="15"/>
        <v>0.8024395015411071</v>
      </c>
      <c r="I16" s="408">
        <f t="shared" si="16"/>
        <v>1.0180028583283387</v>
      </c>
      <c r="J16" s="413">
        <f t="shared" si="17"/>
        <v>0.81688570620441436</v>
      </c>
      <c r="K16" s="413">
        <f t="shared" si="18"/>
        <v>0.86494480631832837</v>
      </c>
      <c r="L16" s="387">
        <f>+SUM(Efficiency1!K41:K43)</f>
        <v>54.062642624999995</v>
      </c>
      <c r="M16" s="388">
        <f t="shared" si="19"/>
        <v>362.95032666450004</v>
      </c>
      <c r="N16" s="387">
        <f>+SUM(Efficiency1!C41:C43)</f>
        <v>48.988433624999999</v>
      </c>
      <c r="O16" s="388">
        <f t="shared" si="19"/>
        <v>348.131557423</v>
      </c>
      <c r="P16" s="388">
        <f>'8'!I38</f>
        <v>43.382000000000005</v>
      </c>
      <c r="Q16" s="388">
        <f t="shared" si="20"/>
        <v>322.596</v>
      </c>
      <c r="R16" s="388">
        <f>'8'!I40</f>
        <v>44.162999999999997</v>
      </c>
      <c r="S16" s="388">
        <f t="shared" si="21"/>
        <v>313.93200000000002</v>
      </c>
      <c r="T16" s="94">
        <f t="shared" si="1"/>
        <v>4908.8077406674092</v>
      </c>
      <c r="U16" s="12">
        <f t="shared" si="22"/>
        <v>41130.104519198285</v>
      </c>
      <c r="V16" s="288">
        <f t="shared" si="23"/>
        <v>113.15309899652871</v>
      </c>
      <c r="W16" s="288">
        <f t="shared" si="24"/>
        <v>127.49725514017001</v>
      </c>
      <c r="X16" s="289">
        <f t="shared" si="25"/>
        <v>111.15204448672891</v>
      </c>
      <c r="Y16" s="288">
        <f t="shared" si="26"/>
        <v>131.01596689473607</v>
      </c>
      <c r="Z16" s="390">
        <v>53</v>
      </c>
      <c r="AA16" s="389">
        <f t="shared" si="27"/>
        <v>442.4</v>
      </c>
      <c r="AB16" s="392">
        <f t="shared" si="2"/>
        <v>1.221704854547969</v>
      </c>
      <c r="AC16" s="392">
        <f t="shared" si="3"/>
        <v>1.3713747225632058</v>
      </c>
      <c r="AD16" s="387">
        <f t="shared" si="4"/>
        <v>1.2000996309127552</v>
      </c>
      <c r="AE16" s="392">
        <f t="shared" si="5"/>
        <v>1.4092223793687804</v>
      </c>
      <c r="AF16" s="391">
        <f>'8'!I46</f>
        <v>34232.919999999271</v>
      </c>
      <c r="AG16" s="389">
        <f t="shared" si="28"/>
        <v>299297.04000000074</v>
      </c>
      <c r="AH16" s="392">
        <f t="shared" si="6"/>
        <v>789.10423678021448</v>
      </c>
      <c r="AI16" s="392">
        <f t="shared" si="7"/>
        <v>927.77666183089912</v>
      </c>
      <c r="AJ16" s="392">
        <f t="shared" si="8"/>
        <v>775.14933315216967</v>
      </c>
      <c r="AK16" s="392">
        <f t="shared" si="9"/>
        <v>953.38175146210244</v>
      </c>
      <c r="AL16" s="447">
        <v>5014.1000000000004</v>
      </c>
      <c r="AM16" s="448">
        <v>5359.2</v>
      </c>
      <c r="AN16" s="448">
        <v>3465.3</v>
      </c>
      <c r="AO16" s="448">
        <f t="shared" si="40"/>
        <v>13838.599999999999</v>
      </c>
      <c r="AP16" s="567">
        <f>+[1]Apr!N11</f>
        <v>13548</v>
      </c>
      <c r="AQ16" s="480">
        <f t="shared" si="10"/>
        <v>-290.59999999999854</v>
      </c>
      <c r="AR16" s="451">
        <f t="shared" si="11"/>
        <v>0.36232711401442347</v>
      </c>
      <c r="AS16" s="451">
        <f t="shared" si="12"/>
        <v>0.38726460769152954</v>
      </c>
      <c r="AT16" s="451">
        <f>1-AR16-AS16</f>
        <v>0.25040827829404694</v>
      </c>
      <c r="AU16" s="451">
        <f>+AR16*AQ16</f>
        <v>-105.29225933259093</v>
      </c>
      <c r="AV16" s="451">
        <f t="shared" si="32"/>
        <v>-112.53909499515792</v>
      </c>
      <c r="AW16" s="451">
        <f t="shared" si="39"/>
        <v>-72.768645672249676</v>
      </c>
      <c r="AX16" s="593">
        <f t="shared" si="33"/>
        <v>4908.8077406674092</v>
      </c>
      <c r="AY16" s="393">
        <f t="shared" si="34"/>
        <v>5246.6609050048419</v>
      </c>
      <c r="AZ16" s="393">
        <f t="shared" si="35"/>
        <v>3392.5313543277507</v>
      </c>
      <c r="BA16" s="387">
        <f>+SUM(Efficiency2!K41:K43)</f>
        <v>54.062642624999995</v>
      </c>
      <c r="BB16" s="388">
        <f t="shared" si="36"/>
        <v>362.95032666450004</v>
      </c>
      <c r="BC16" s="413">
        <f t="shared" si="37"/>
        <v>0.81688570620441436</v>
      </c>
      <c r="BD16" s="413">
        <f t="shared" si="38"/>
        <v>0.86494480631832837</v>
      </c>
    </row>
    <row r="17" spans="1:56" s="393" customFormat="1" ht="12.75" customHeight="1">
      <c r="A17" s="407">
        <f t="shared" si="13"/>
        <v>46121</v>
      </c>
      <c r="B17" s="416" t="s">
        <v>511</v>
      </c>
      <c r="C17" s="394" t="s">
        <v>512</v>
      </c>
      <c r="D17" s="386">
        <f>+'9'!F42</f>
        <v>828.96193771626292</v>
      </c>
      <c r="E17" s="386">
        <f>+'9'!G42</f>
        <v>627.53044982698952</v>
      </c>
      <c r="F17" s="45">
        <f t="shared" si="0"/>
        <v>0.24299244479692794</v>
      </c>
      <c r="G17" s="412">
        <f t="shared" si="14"/>
        <v>0.12979926719697496</v>
      </c>
      <c r="H17" s="408">
        <f t="shared" si="15"/>
        <v>0.1080923905357596</v>
      </c>
      <c r="I17" s="408">
        <f t="shared" si="16"/>
        <v>0.70502092050209186</v>
      </c>
      <c r="J17" s="413">
        <f t="shared" si="17"/>
        <v>7.6207396674792843E-2</v>
      </c>
      <c r="K17" s="413">
        <f t="shared" si="18"/>
        <v>0.76433591035556048</v>
      </c>
      <c r="L17" s="387">
        <f>+SUM(Efficiency1!K46:K47)</f>
        <v>53.065715093999998</v>
      </c>
      <c r="M17" s="388">
        <f t="shared" si="19"/>
        <v>416.01604175850002</v>
      </c>
      <c r="N17" s="387">
        <f>+SUM(Efficiency1!C46:C47)</f>
        <v>44.191312662000001</v>
      </c>
      <c r="O17" s="388">
        <f t="shared" si="19"/>
        <v>392.32287008499998</v>
      </c>
      <c r="P17" s="388">
        <f>'9'!I38</f>
        <v>5.7360000000000007</v>
      </c>
      <c r="Q17" s="388">
        <f t="shared" si="20"/>
        <v>328.33199999999999</v>
      </c>
      <c r="R17" s="388">
        <f>'9'!I40</f>
        <v>4.0439999999999996</v>
      </c>
      <c r="S17" s="388">
        <f t="shared" si="21"/>
        <v>317.976</v>
      </c>
      <c r="T17" s="94">
        <f t="shared" si="1"/>
        <v>1236.6417082422593</v>
      </c>
      <c r="U17" s="12">
        <f t="shared" si="22"/>
        <v>42366.746227440541</v>
      </c>
      <c r="V17" s="288">
        <f t="shared" si="23"/>
        <v>215.5930453699894</v>
      </c>
      <c r="W17" s="288">
        <f t="shared" si="24"/>
        <v>129.03629931727806</v>
      </c>
      <c r="X17" s="289">
        <f t="shared" si="25"/>
        <v>305.79666375921352</v>
      </c>
      <c r="Y17" s="288">
        <f t="shared" si="26"/>
        <v>133.23881748132104</v>
      </c>
      <c r="Z17" s="390">
        <v>18.8</v>
      </c>
      <c r="AA17" s="389">
        <f t="shared" si="27"/>
        <v>461.2</v>
      </c>
      <c r="AB17" s="392">
        <f t="shared" si="2"/>
        <v>3.2775453277545323</v>
      </c>
      <c r="AC17" s="392">
        <f t="shared" si="3"/>
        <v>1.4046757550284468</v>
      </c>
      <c r="AD17" s="387">
        <f t="shared" si="4"/>
        <v>4.6488625123639968</v>
      </c>
      <c r="AE17" s="392">
        <f t="shared" si="5"/>
        <v>1.4504239313658893</v>
      </c>
      <c r="AF17" s="391">
        <f>'9'!I46</f>
        <v>13614.780000000363</v>
      </c>
      <c r="AG17" s="389">
        <f t="shared" si="28"/>
        <v>312911.82000000111</v>
      </c>
      <c r="AH17" s="392">
        <f t="shared" si="6"/>
        <v>2373.5669456067571</v>
      </c>
      <c r="AI17" s="392">
        <f t="shared" si="7"/>
        <v>953.03479404992845</v>
      </c>
      <c r="AJ17" s="392">
        <f t="shared" si="8"/>
        <v>3366.6617210683394</v>
      </c>
      <c r="AK17" s="392">
        <f t="shared" si="9"/>
        <v>984.07370367575265</v>
      </c>
      <c r="AL17" s="447">
        <v>1217.7</v>
      </c>
      <c r="AM17" s="448">
        <v>5022.5</v>
      </c>
      <c r="AN17" s="448">
        <v>3962.1</v>
      </c>
      <c r="AO17" s="448">
        <f t="shared" si="40"/>
        <v>10202.299999999999</v>
      </c>
      <c r="AP17" s="567">
        <f>+[1]Apr!N12</f>
        <v>10361</v>
      </c>
      <c r="AQ17" s="480">
        <f t="shared" si="10"/>
        <v>158.70000000000073</v>
      </c>
      <c r="AR17" s="451">
        <f t="shared" si="11"/>
        <v>0.11935543945972968</v>
      </c>
      <c r="AS17" s="451">
        <f t="shared" si="12"/>
        <v>0.49229095400056855</v>
      </c>
      <c r="AT17" s="451">
        <f>1-AR17-AS17</f>
        <v>0.38835360653970175</v>
      </c>
      <c r="AU17" s="451">
        <f>+AR17*AQ17</f>
        <v>18.941708242259185</v>
      </c>
      <c r="AV17" s="451">
        <f>+AS17*AQ17</f>
        <v>78.126574399890586</v>
      </c>
      <c r="AW17" s="451">
        <f t="shared" si="39"/>
        <v>61.631717357850953</v>
      </c>
      <c r="AX17" s="593">
        <f t="shared" si="33"/>
        <v>1236.6417082422593</v>
      </c>
      <c r="AY17" s="393">
        <f t="shared" si="34"/>
        <v>5100.6265743998902</v>
      </c>
      <c r="AZ17" s="393">
        <f t="shared" si="35"/>
        <v>4023.7317173578508</v>
      </c>
      <c r="BA17" s="387">
        <f>+SUM(Efficiency2!K46:K47)</f>
        <v>53.065715093999998</v>
      </c>
      <c r="BB17" s="388">
        <f t="shared" si="36"/>
        <v>416.01604175850002</v>
      </c>
      <c r="BC17" s="413">
        <f t="shared" si="37"/>
        <v>7.6207396674792843E-2</v>
      </c>
      <c r="BD17" s="413">
        <f t="shared" si="38"/>
        <v>0.76433591035556048</v>
      </c>
    </row>
    <row r="18" spans="1:56" s="393" customFormat="1" ht="12.75" customHeight="1">
      <c r="A18" s="407">
        <f t="shared" si="13"/>
        <v>46122</v>
      </c>
      <c r="B18" s="416" t="s">
        <v>513</v>
      </c>
      <c r="C18" s="394" t="s">
        <v>531</v>
      </c>
      <c r="D18" s="386">
        <f>+'10'!F42</f>
        <v>1061.6319444444443</v>
      </c>
      <c r="E18" s="386">
        <f>+'10'!G42</f>
        <v>795.16340277777783</v>
      </c>
      <c r="F18" s="45">
        <f t="shared" si="0"/>
        <v>0.25099898609975457</v>
      </c>
      <c r="G18" s="412">
        <f t="shared" si="14"/>
        <v>0.93970913092282615</v>
      </c>
      <c r="H18" s="408">
        <f t="shared" si="15"/>
        <v>0.80862186854835971</v>
      </c>
      <c r="I18" s="408">
        <f>+R18/P18</f>
        <v>0.83141404424900378</v>
      </c>
      <c r="J18" s="413">
        <f t="shared" si="17"/>
        <v>0.67229957799797813</v>
      </c>
      <c r="K18" s="413">
        <f t="shared" si="18"/>
        <v>0.7553528640261109</v>
      </c>
      <c r="L18" s="387">
        <f>+SUM(Efficiency1!K54:K55)</f>
        <v>44.996309666121761</v>
      </c>
      <c r="M18" s="388">
        <f t="shared" si="19"/>
        <v>461.01235142462178</v>
      </c>
      <c r="N18" s="387">
        <f>+SUM(Efficiency1!C54:C55)</f>
        <v>38.719427962000005</v>
      </c>
      <c r="O18" s="388">
        <f t="shared" si="19"/>
        <v>431.04229804699997</v>
      </c>
      <c r="P18" s="388">
        <f>'10'!I38</f>
        <v>36.384999999999998</v>
      </c>
      <c r="Q18" s="388">
        <f t="shared" si="20"/>
        <v>364.71699999999998</v>
      </c>
      <c r="R18" s="388">
        <f>'10'!I40</f>
        <v>30.251000000000001</v>
      </c>
      <c r="S18" s="388">
        <f t="shared" si="21"/>
        <v>348.22699999999998</v>
      </c>
      <c r="T18" s="94">
        <f t="shared" si="1"/>
        <v>4963.7774938274069</v>
      </c>
      <c r="U18" s="12">
        <f t="shared" si="22"/>
        <v>47330.523721267949</v>
      </c>
      <c r="V18" s="288">
        <f t="shared" si="23"/>
        <v>136.42373213762284</v>
      </c>
      <c r="W18" s="288">
        <f t="shared" si="24"/>
        <v>129.77328646942135</v>
      </c>
      <c r="X18" s="289">
        <f t="shared" si="25"/>
        <v>164.0863936341743</v>
      </c>
      <c r="Y18" s="288">
        <f t="shared" si="26"/>
        <v>135.9185925309294</v>
      </c>
      <c r="Z18" s="390">
        <v>59.3</v>
      </c>
      <c r="AA18" s="389">
        <f t="shared" si="27"/>
        <v>520.5</v>
      </c>
      <c r="AB18" s="392">
        <f t="shared" si="2"/>
        <v>1.6297924969080666</v>
      </c>
      <c r="AC18" s="392">
        <f t="shared" si="3"/>
        <v>1.4271339147887268</v>
      </c>
      <c r="AD18" s="387">
        <f t="shared" si="4"/>
        <v>1.9602657763379721</v>
      </c>
      <c r="AE18" s="392">
        <f t="shared" si="5"/>
        <v>1.4947146545213326</v>
      </c>
      <c r="AF18" s="391">
        <f>'10'!I46</f>
        <v>33661.139999998908</v>
      </c>
      <c r="AG18" s="389">
        <f t="shared" si="28"/>
        <v>346572.96</v>
      </c>
      <c r="AH18" s="392">
        <f t="shared" si="6"/>
        <v>925.13783152394967</v>
      </c>
      <c r="AI18" s="392">
        <f t="shared" si="7"/>
        <v>950.251729423087</v>
      </c>
      <c r="AJ18" s="392">
        <f t="shared" si="8"/>
        <v>1112.7281742751945</v>
      </c>
      <c r="AK18" s="392">
        <f t="shared" si="9"/>
        <v>995.25010984214327</v>
      </c>
      <c r="AL18" s="447">
        <v>5204.8999999999996</v>
      </c>
      <c r="AM18" s="448">
        <v>5839</v>
      </c>
      <c r="AN18" s="448">
        <v>3982.2</v>
      </c>
      <c r="AO18" s="448">
        <f t="shared" si="40"/>
        <v>15026.099999999999</v>
      </c>
      <c r="AP18" s="567">
        <f>+[1]Apr!N13</f>
        <v>14330</v>
      </c>
      <c r="AQ18" s="480">
        <f t="shared" si="10"/>
        <v>-696.09999999999854</v>
      </c>
      <c r="AR18" s="451">
        <f t="shared" si="11"/>
        <v>0.34639061366555529</v>
      </c>
      <c r="AS18" s="451">
        <f t="shared" si="12"/>
        <v>0.38859051916332255</v>
      </c>
      <c r="AT18" s="451">
        <f t="shared" si="30"/>
        <v>0.26501886717112222</v>
      </c>
      <c r="AU18" s="451">
        <f t="shared" si="31"/>
        <v>-241.12250617259252</v>
      </c>
      <c r="AV18" s="451">
        <f t="shared" si="32"/>
        <v>-270.49786038958825</v>
      </c>
      <c r="AW18" s="451">
        <f t="shared" si="39"/>
        <v>-184.4796334378178</v>
      </c>
      <c r="AX18" s="593">
        <f t="shared" si="33"/>
        <v>4963.7774938274069</v>
      </c>
      <c r="AY18" s="393">
        <f t="shared" si="34"/>
        <v>5568.5021396104121</v>
      </c>
      <c r="AZ18" s="393">
        <f t="shared" si="35"/>
        <v>3797.7203665621819</v>
      </c>
      <c r="BA18" s="387">
        <f>+SUM(Efficiency2!K54:K55)</f>
        <v>44.996309666121761</v>
      </c>
      <c r="BB18" s="388">
        <f t="shared" si="36"/>
        <v>461.01235142462178</v>
      </c>
      <c r="BC18" s="413">
        <f t="shared" si="37"/>
        <v>0.67229957799797813</v>
      </c>
      <c r="BD18" s="413">
        <f t="shared" si="38"/>
        <v>0.7553528640261109</v>
      </c>
    </row>
    <row r="19" spans="1:56" s="393" customFormat="1" ht="12.75" customHeight="1">
      <c r="A19" s="407">
        <f t="shared" si="13"/>
        <v>46123</v>
      </c>
      <c r="B19" s="416" t="s">
        <v>513</v>
      </c>
      <c r="C19" s="394" t="s">
        <v>554</v>
      </c>
      <c r="D19" s="386">
        <f>+'11'!F42</f>
        <v>1150.3402777777778</v>
      </c>
      <c r="E19" s="386">
        <f>+'11'!G42</f>
        <v>862.75520833333337</v>
      </c>
      <c r="F19" s="45">
        <f t="shared" si="0"/>
        <v>0.25</v>
      </c>
      <c r="G19" s="412">
        <f t="shared" si="14"/>
        <v>0.90342927895067771</v>
      </c>
      <c r="H19" s="408">
        <f t="shared" si="15"/>
        <v>0.84491958349650409</v>
      </c>
      <c r="I19" s="408">
        <f t="shared" si="16"/>
        <v>1.0446805684685883</v>
      </c>
      <c r="J19" s="413">
        <f t="shared" si="17"/>
        <v>0.88267107079737062</v>
      </c>
      <c r="K19" s="413">
        <f t="shared" si="18"/>
        <v>0.7665731471738898</v>
      </c>
      <c r="L19" s="387">
        <f>+Efficiency1!K59</f>
        <v>44.554535999999999</v>
      </c>
      <c r="M19" s="388">
        <f t="shared" si="19"/>
        <v>505.56688742462177</v>
      </c>
      <c r="N19" s="387">
        <f>+Efficiency1!C59</f>
        <v>41.669005949999999</v>
      </c>
      <c r="O19" s="388">
        <f t="shared" si="19"/>
        <v>472.71130399699996</v>
      </c>
      <c r="P19" s="388">
        <f>'11'!I38</f>
        <v>37.644999999999996</v>
      </c>
      <c r="Q19" s="388">
        <f t="shared" si="20"/>
        <v>402.36199999999997</v>
      </c>
      <c r="R19" s="388">
        <f>'11'!I40</f>
        <v>39.326999999999998</v>
      </c>
      <c r="S19" s="388">
        <f t="shared" si="21"/>
        <v>387.55399999999997</v>
      </c>
      <c r="T19" s="94">
        <f t="shared" si="1"/>
        <v>5423.9287369788344</v>
      </c>
      <c r="U19" s="12">
        <f t="shared" si="22"/>
        <v>52754.452458246786</v>
      </c>
      <c r="V19" s="288">
        <f t="shared" si="23"/>
        <v>144.08098650494981</v>
      </c>
      <c r="W19" s="288">
        <f t="shared" si="24"/>
        <v>131.111915285854</v>
      </c>
      <c r="X19" s="289">
        <f t="shared" si="25"/>
        <v>137.9187005614167</v>
      </c>
      <c r="Y19" s="288">
        <f t="shared" si="26"/>
        <v>136.12155327579327</v>
      </c>
      <c r="Z19" s="390">
        <v>58</v>
      </c>
      <c r="AA19" s="389">
        <f t="shared" si="27"/>
        <v>578.5</v>
      </c>
      <c r="AB19" s="392">
        <f t="shared" si="2"/>
        <v>1.5407092575375216</v>
      </c>
      <c r="AC19" s="392">
        <f t="shared" si="3"/>
        <v>1.437760027040327</v>
      </c>
      <c r="AD19" s="387">
        <f t="shared" si="4"/>
        <v>1.4748137411956164</v>
      </c>
      <c r="AE19" s="392">
        <f t="shared" si="5"/>
        <v>1.4926952115060095</v>
      </c>
      <c r="AF19" s="391">
        <f>'11'!I46</f>
        <v>35799.660000000367</v>
      </c>
      <c r="AG19" s="389">
        <f t="shared" si="28"/>
        <v>382372.6200000004</v>
      </c>
      <c r="AH19" s="392">
        <f t="shared" si="6"/>
        <v>950.9804754947636</v>
      </c>
      <c r="AI19" s="392">
        <f t="shared" si="7"/>
        <v>950.31991092598321</v>
      </c>
      <c r="AJ19" s="392">
        <f t="shared" si="8"/>
        <v>910.30742238157927</v>
      </c>
      <c r="AK19" s="392">
        <f t="shared" si="9"/>
        <v>986.63055987036751</v>
      </c>
      <c r="AL19" s="447">
        <v>5733.2</v>
      </c>
      <c r="AM19" s="448">
        <v>5877.2</v>
      </c>
      <c r="AN19" s="448">
        <v>4094.8</v>
      </c>
      <c r="AO19" s="448">
        <f t="shared" si="40"/>
        <v>15705.2</v>
      </c>
      <c r="AP19" s="568">
        <f>+[1]Apr!N14</f>
        <v>14858</v>
      </c>
      <c r="AQ19" s="480">
        <f t="shared" si="10"/>
        <v>-847.20000000000073</v>
      </c>
      <c r="AR19" s="451">
        <f t="shared" si="11"/>
        <v>0.36505106588900488</v>
      </c>
      <c r="AS19" s="451">
        <f t="shared" si="12"/>
        <v>0.37422000356569796</v>
      </c>
      <c r="AT19" s="451">
        <f>1-AR19-AS19</f>
        <v>0.26072893054529711</v>
      </c>
      <c r="AU19" s="451">
        <f t="shared" si="31"/>
        <v>-309.27126302116523</v>
      </c>
      <c r="AV19" s="451">
        <f t="shared" si="32"/>
        <v>-317.03918702085957</v>
      </c>
      <c r="AW19" s="451">
        <f>+AT19*AQ19</f>
        <v>-220.8895499579759</v>
      </c>
      <c r="AX19" s="593">
        <f t="shared" si="33"/>
        <v>5423.9287369788344</v>
      </c>
      <c r="AY19" s="393">
        <f t="shared" si="34"/>
        <v>5560.1608129791402</v>
      </c>
      <c r="AZ19" s="393">
        <f t="shared" si="35"/>
        <v>3873.9104500420244</v>
      </c>
      <c r="BA19" s="387">
        <f>+Efficiency2!K59</f>
        <v>44.554535999999999</v>
      </c>
      <c r="BB19" s="388">
        <f t="shared" si="36"/>
        <v>505.56688742462177</v>
      </c>
      <c r="BC19" s="413">
        <f t="shared" si="37"/>
        <v>0.88267107079737062</v>
      </c>
      <c r="BD19" s="413">
        <f t="shared" si="38"/>
        <v>0.7665731471738898</v>
      </c>
    </row>
    <row r="20" spans="1:56" s="393" customFormat="1" ht="12.75" customHeight="1">
      <c r="A20" s="407">
        <f t="shared" si="13"/>
        <v>46124</v>
      </c>
      <c r="B20" s="416" t="s">
        <v>513</v>
      </c>
      <c r="C20" s="394" t="s">
        <v>554</v>
      </c>
      <c r="D20" s="386">
        <f>+'12'!F42</f>
        <v>1153.3333333333333</v>
      </c>
      <c r="E20" s="386">
        <f>+'12'!G42</f>
        <v>865</v>
      </c>
      <c r="F20" s="45">
        <f t="shared" si="0"/>
        <v>0.25</v>
      </c>
      <c r="G20" s="412">
        <f t="shared" si="14"/>
        <v>0.92329771218062651</v>
      </c>
      <c r="H20" s="408">
        <f t="shared" si="15"/>
        <v>0.86574799028318916</v>
      </c>
      <c r="I20" s="408">
        <f t="shared" si="16"/>
        <v>0.91854405931610184</v>
      </c>
      <c r="J20" s="413">
        <f t="shared" si="17"/>
        <v>0.79522767333947764</v>
      </c>
      <c r="K20" s="413">
        <f t="shared" si="18"/>
        <v>0.76889388776541223</v>
      </c>
      <c r="L20" s="387">
        <f>+Efficiency1!K64</f>
        <v>44.554535999999999</v>
      </c>
      <c r="M20" s="388">
        <f t="shared" si="19"/>
        <v>550.12142342462175</v>
      </c>
      <c r="N20" s="387">
        <f>+Efficiency1!C64</f>
        <v>41.777424000000003</v>
      </c>
      <c r="O20" s="388">
        <f t="shared" si="19"/>
        <v>514.48872799699996</v>
      </c>
      <c r="P20" s="388">
        <f>'12'!I38</f>
        <v>38.573</v>
      </c>
      <c r="Q20" s="388">
        <f t="shared" si="20"/>
        <v>440.93499999999995</v>
      </c>
      <c r="R20" s="388">
        <f>'12'!I40</f>
        <v>35.430999999999997</v>
      </c>
      <c r="S20" s="388">
        <f t="shared" si="21"/>
        <v>422.98499999999996</v>
      </c>
      <c r="T20" s="94">
        <f t="shared" si="1"/>
        <v>5412.6630315118709</v>
      </c>
      <c r="U20" s="12">
        <f t="shared" si="22"/>
        <v>58167.115489758653</v>
      </c>
      <c r="V20" s="288">
        <f t="shared" si="23"/>
        <v>140.32258397096081</v>
      </c>
      <c r="W20" s="288">
        <f t="shared" si="24"/>
        <v>131.91766471193864</v>
      </c>
      <c r="X20" s="289">
        <f t="shared" si="25"/>
        <v>152.76630723129097</v>
      </c>
      <c r="Y20" s="288">
        <f t="shared" si="26"/>
        <v>137.51578776968134</v>
      </c>
      <c r="Z20" s="390">
        <v>57.9</v>
      </c>
      <c r="AA20" s="389">
        <f t="shared" si="27"/>
        <v>636.4</v>
      </c>
      <c r="AB20" s="392">
        <f t="shared" si="2"/>
        <v>1.5010499572239648</v>
      </c>
      <c r="AC20" s="392">
        <f t="shared" si="3"/>
        <v>1.4432966310227133</v>
      </c>
      <c r="AD20" s="387">
        <f t="shared" si="4"/>
        <v>1.6341621743670798</v>
      </c>
      <c r="AE20" s="392">
        <f t="shared" si="5"/>
        <v>1.5045450784306773</v>
      </c>
      <c r="AF20" s="391">
        <f>'12'!I46</f>
        <v>37064.160000001095</v>
      </c>
      <c r="AG20" s="389">
        <f t="shared" si="28"/>
        <v>419436.78000000148</v>
      </c>
      <c r="AH20" s="392">
        <f t="shared" si="6"/>
        <v>960.88351956034262</v>
      </c>
      <c r="AI20" s="392">
        <f t="shared" si="7"/>
        <v>951.24401555785209</v>
      </c>
      <c r="AJ20" s="392">
        <f t="shared" si="8"/>
        <v>1046.0940983884479</v>
      </c>
      <c r="AK20" s="392">
        <f t="shared" si="9"/>
        <v>991.6114755842442</v>
      </c>
      <c r="AL20" s="447">
        <v>5685.8</v>
      </c>
      <c r="AM20" s="448">
        <v>5708.2</v>
      </c>
      <c r="AN20" s="448">
        <v>4047.8</v>
      </c>
      <c r="AO20" s="448">
        <f t="shared" si="40"/>
        <v>15441.8</v>
      </c>
      <c r="AP20" s="568">
        <f>+[1]Apr!N15</f>
        <v>14700</v>
      </c>
      <c r="AQ20" s="480">
        <f t="shared" si="10"/>
        <v>-741.79999999999927</v>
      </c>
      <c r="AR20" s="451">
        <f t="shared" si="11"/>
        <v>0.36820836949060348</v>
      </c>
      <c r="AS20" s="451">
        <f t="shared" si="12"/>
        <v>0.36965897758033389</v>
      </c>
      <c r="AT20" s="451">
        <f t="shared" si="30"/>
        <v>0.26213265292906257</v>
      </c>
      <c r="AU20" s="451">
        <f t="shared" si="31"/>
        <v>-273.13696848812941</v>
      </c>
      <c r="AV20" s="451">
        <f t="shared" si="32"/>
        <v>-274.21302956909142</v>
      </c>
      <c r="AW20" s="451">
        <f t="shared" si="39"/>
        <v>-194.45000194277841</v>
      </c>
      <c r="AX20" s="593">
        <f t="shared" si="33"/>
        <v>5412.6630315118709</v>
      </c>
      <c r="AY20" s="393">
        <f t="shared" si="34"/>
        <v>5433.9869704309085</v>
      </c>
      <c r="AZ20" s="393">
        <f t="shared" si="35"/>
        <v>3853.3499980572219</v>
      </c>
      <c r="BA20" s="387">
        <f>+Efficiency2!K64</f>
        <v>44.554535999999999</v>
      </c>
      <c r="BB20" s="388">
        <f t="shared" si="36"/>
        <v>550.12142342462175</v>
      </c>
      <c r="BC20" s="413">
        <f t="shared" si="37"/>
        <v>0.79522767333947764</v>
      </c>
      <c r="BD20" s="413">
        <f t="shared" si="38"/>
        <v>0.76889388776541223</v>
      </c>
    </row>
    <row r="21" spans="1:56" s="393" customFormat="1" ht="12.75" customHeight="1">
      <c r="A21" s="407">
        <f t="shared" si="13"/>
        <v>46125</v>
      </c>
      <c r="B21" s="416" t="s">
        <v>513</v>
      </c>
      <c r="C21" s="394" t="s">
        <v>581</v>
      </c>
      <c r="D21" s="386">
        <f>+'13'!F42</f>
        <v>1175.6071076011847</v>
      </c>
      <c r="E21" s="386">
        <f>+'13'!G42</f>
        <v>881.70533070088845</v>
      </c>
      <c r="F21" s="45">
        <f t="shared" si="0"/>
        <v>0.25</v>
      </c>
      <c r="G21" s="412">
        <f t="shared" si="14"/>
        <v>0.65726539232097292</v>
      </c>
      <c r="H21" s="408">
        <f t="shared" si="15"/>
        <v>0.62760289295552085</v>
      </c>
      <c r="I21" s="408">
        <f t="shared" si="16"/>
        <v>0.90486106124793575</v>
      </c>
      <c r="J21" s="413">
        <f t="shared" si="17"/>
        <v>0.56789341976200725</v>
      </c>
      <c r="K21" s="413">
        <f t="shared" si="18"/>
        <v>0.75388855401956911</v>
      </c>
      <c r="L21" s="387">
        <f>+SUM(Efficiency1!K69:K70)</f>
        <v>44.381567249999996</v>
      </c>
      <c r="M21" s="388">
        <f t="shared" si="19"/>
        <v>594.50299067462174</v>
      </c>
      <c r="N21" s="387">
        <f>+SUM(Efficiency1!C69:C70)</f>
        <v>42.378619543074329</v>
      </c>
      <c r="O21" s="388">
        <f t="shared" si="19"/>
        <v>556.86734754007432</v>
      </c>
      <c r="P21" s="388">
        <f>'13'!I38</f>
        <v>27.853999999999999</v>
      </c>
      <c r="Q21" s="388">
        <f t="shared" si="20"/>
        <v>468.78899999999993</v>
      </c>
      <c r="R21" s="388">
        <f>'13'!I40</f>
        <v>25.204000000000001</v>
      </c>
      <c r="S21" s="388">
        <f t="shared" si="21"/>
        <v>448.18899999999996</v>
      </c>
      <c r="T21" s="94">
        <f t="shared" si="1"/>
        <v>4004.4802883218044</v>
      </c>
      <c r="U21" s="12">
        <f t="shared" si="22"/>
        <v>62171.59577808046</v>
      </c>
      <c r="V21" s="288">
        <f t="shared" si="23"/>
        <v>143.76679429603664</v>
      </c>
      <c r="W21" s="288">
        <f t="shared" si="24"/>
        <v>132.62170353417096</v>
      </c>
      <c r="X21" s="289">
        <f t="shared" si="25"/>
        <v>158.88272846856864</v>
      </c>
      <c r="Y21" s="288">
        <f t="shared" si="26"/>
        <v>138.71736204610212</v>
      </c>
      <c r="Z21" s="390">
        <v>41.6</v>
      </c>
      <c r="AA21" s="389">
        <f t="shared" si="27"/>
        <v>678</v>
      </c>
      <c r="AB21" s="392">
        <f t="shared" si="2"/>
        <v>1.4935018309758026</v>
      </c>
      <c r="AC21" s="392">
        <f t="shared" si="3"/>
        <v>1.4462796695314952</v>
      </c>
      <c r="AD21" s="387">
        <f t="shared" si="4"/>
        <v>1.6505316616410093</v>
      </c>
      <c r="AE21" s="392">
        <f t="shared" si="5"/>
        <v>1.5127546637690796</v>
      </c>
      <c r="AF21" s="574">
        <f>'13'!I46</f>
        <v>30629.139999998908</v>
      </c>
      <c r="AG21" s="389">
        <f t="shared" si="28"/>
        <v>450065.92000000039</v>
      </c>
      <c r="AH21" s="392">
        <f t="shared" si="6"/>
        <v>1099.6316507503018</v>
      </c>
      <c r="AI21" s="392">
        <f t="shared" si="7"/>
        <v>960.06075227874464</v>
      </c>
      <c r="AJ21" s="392">
        <f t="shared" si="8"/>
        <v>1215.2491667988775</v>
      </c>
      <c r="AK21" s="392">
        <f t="shared" si="9"/>
        <v>1004.1877868488527</v>
      </c>
      <c r="AL21" s="447">
        <v>4037.1</v>
      </c>
      <c r="AM21" s="448">
        <v>3057.9</v>
      </c>
      <c r="AN21" s="448">
        <v>1506.5</v>
      </c>
      <c r="AO21" s="448">
        <f t="shared" si="40"/>
        <v>8601.5</v>
      </c>
      <c r="AP21" s="572">
        <f>+[1]Apr!N16</f>
        <v>8532</v>
      </c>
      <c r="AQ21" s="480">
        <f t="shared" si="10"/>
        <v>-69.5</v>
      </c>
      <c r="AR21" s="451">
        <f t="shared" si="11"/>
        <v>0.46934836947044117</v>
      </c>
      <c r="AS21" s="451">
        <f t="shared" si="12"/>
        <v>0.35550776027437075</v>
      </c>
      <c r="AT21" s="451">
        <f t="shared" si="30"/>
        <v>0.17514387025518802</v>
      </c>
      <c r="AU21" s="451">
        <f t="shared" si="31"/>
        <v>-32.619711678195664</v>
      </c>
      <c r="AV21" s="451">
        <f t="shared" si="32"/>
        <v>-24.707789339068768</v>
      </c>
      <c r="AW21" s="451">
        <f t="shared" si="39"/>
        <v>-12.172498982735567</v>
      </c>
      <c r="AX21" s="593">
        <f t="shared" si="33"/>
        <v>4004.4802883218044</v>
      </c>
      <c r="AY21" s="393">
        <f t="shared" si="34"/>
        <v>3033.1922106609313</v>
      </c>
      <c r="AZ21" s="393">
        <f t="shared" si="35"/>
        <v>1494.3275010172645</v>
      </c>
      <c r="BA21" s="387">
        <f>+SUM(Efficiency2!K69:K70)</f>
        <v>37.512742949999996</v>
      </c>
      <c r="BB21" s="388">
        <f t="shared" si="36"/>
        <v>587.63416637462171</v>
      </c>
      <c r="BC21" s="413">
        <f t="shared" si="37"/>
        <v>0.67187835433932197</v>
      </c>
      <c r="BD21" s="413">
        <f t="shared" si="38"/>
        <v>0.76270071695299579</v>
      </c>
    </row>
    <row r="22" spans="1:56" s="393" customFormat="1" ht="12.75" customHeight="1">
      <c r="A22" s="407">
        <f t="shared" si="13"/>
        <v>46126</v>
      </c>
      <c r="B22" s="416" t="s">
        <v>513</v>
      </c>
      <c r="C22" s="394" t="s">
        <v>582</v>
      </c>
      <c r="D22" s="386">
        <f>+'14'!F42</f>
        <v>1197.6666666666667</v>
      </c>
      <c r="E22" s="386">
        <f>+'14'!G42</f>
        <v>927.80499999999995</v>
      </c>
      <c r="F22" s="45">
        <f t="shared" si="0"/>
        <v>0.22532284998608409</v>
      </c>
      <c r="G22" s="412">
        <f t="shared" si="14"/>
        <v>0.97434424326844571</v>
      </c>
      <c r="H22" s="408">
        <f t="shared" si="15"/>
        <v>0.94870607124215256</v>
      </c>
      <c r="I22" s="408">
        <f t="shared" si="16"/>
        <v>1.062840579710145</v>
      </c>
      <c r="J22" s="413">
        <f t="shared" si="17"/>
        <v>1.0083233107335434</v>
      </c>
      <c r="K22" s="413">
        <f t="shared" si="18"/>
        <v>0.77196118077633546</v>
      </c>
      <c r="L22" s="387">
        <f>+SUM(Efficiency1!K75:K76)</f>
        <v>45.456650175681816</v>
      </c>
      <c r="M22" s="388">
        <f t="shared" si="19"/>
        <v>639.95964085030357</v>
      </c>
      <c r="N22" s="387">
        <f>+SUM(Efficiency1!C75:C76)</f>
        <v>44.260537585090908</v>
      </c>
      <c r="O22" s="388">
        <f t="shared" si="19"/>
        <v>601.12788512516522</v>
      </c>
      <c r="P22" s="388">
        <f>'14'!I38</f>
        <v>43.125</v>
      </c>
      <c r="Q22" s="388">
        <f t="shared" si="20"/>
        <v>511.91399999999993</v>
      </c>
      <c r="R22" s="388">
        <f>'14'!I40</f>
        <v>45.835000000000001</v>
      </c>
      <c r="S22" s="388">
        <f t="shared" si="21"/>
        <v>494.02399999999994</v>
      </c>
      <c r="T22" s="94">
        <f t="shared" si="1"/>
        <v>5600.2625241284159</v>
      </c>
      <c r="U22" s="12">
        <f t="shared" si="22"/>
        <v>67771.858302208871</v>
      </c>
      <c r="V22" s="288">
        <f t="shared" si="23"/>
        <v>129.86115997978936</v>
      </c>
      <c r="W22" s="288">
        <f t="shared" si="24"/>
        <v>132.38914798620252</v>
      </c>
      <c r="X22" s="289">
        <f t="shared" si="25"/>
        <v>122.18310295905783</v>
      </c>
      <c r="Y22" s="288">
        <f t="shared" si="26"/>
        <v>137.18333178592312</v>
      </c>
      <c r="Z22" s="390">
        <v>57.1</v>
      </c>
      <c r="AA22" s="389">
        <f t="shared" si="27"/>
        <v>735.1</v>
      </c>
      <c r="AB22" s="392">
        <f t="shared" si="2"/>
        <v>1.3240579710144929</v>
      </c>
      <c r="AC22" s="392">
        <f t="shared" si="3"/>
        <v>1.4359833878346755</v>
      </c>
      <c r="AD22" s="387">
        <f t="shared" si="4"/>
        <v>1.2457728809861459</v>
      </c>
      <c r="AE22" s="392">
        <f t="shared" si="5"/>
        <v>1.4879843894223765</v>
      </c>
      <c r="AF22" s="391">
        <f>'14'!I46</f>
        <v>37382.34000000036</v>
      </c>
      <c r="AG22" s="389">
        <f t="shared" si="28"/>
        <v>487448.26000000077</v>
      </c>
      <c r="AH22" s="392">
        <f t="shared" si="6"/>
        <v>866.83686956522581</v>
      </c>
      <c r="AI22" s="392">
        <f t="shared" si="7"/>
        <v>952.20732388643569</v>
      </c>
      <c r="AJ22" s="392">
        <f t="shared" si="8"/>
        <v>815.58503327152516</v>
      </c>
      <c r="AK22" s="392">
        <f t="shared" si="9"/>
        <v>986.68943209236966</v>
      </c>
      <c r="AL22" s="447">
        <v>5853.7</v>
      </c>
      <c r="AM22" s="448">
        <v>4960.8</v>
      </c>
      <c r="AN22" s="448">
        <v>3535.8</v>
      </c>
      <c r="AO22" s="448">
        <f t="shared" si="40"/>
        <v>14350.3</v>
      </c>
      <c r="AP22" s="573">
        <f>+[1]Apr!N17</f>
        <v>13729</v>
      </c>
      <c r="AQ22" s="480">
        <f t="shared" si="10"/>
        <v>-621.29999999999927</v>
      </c>
      <c r="AR22" s="451">
        <f t="shared" si="11"/>
        <v>0.40791481711183741</v>
      </c>
      <c r="AS22" s="451">
        <f t="shared" si="12"/>
        <v>0.34569312139815894</v>
      </c>
      <c r="AT22" s="451">
        <f t="shared" si="30"/>
        <v>0.24639206149000364</v>
      </c>
      <c r="AU22" s="451">
        <f t="shared" si="31"/>
        <v>-253.4374758715843</v>
      </c>
      <c r="AV22" s="451">
        <f t="shared" si="32"/>
        <v>-214.7791363246759</v>
      </c>
      <c r="AW22" s="451">
        <f t="shared" si="39"/>
        <v>-153.08338780373907</v>
      </c>
      <c r="AX22" s="593">
        <f t="shared" si="33"/>
        <v>5600.2625241284159</v>
      </c>
      <c r="AY22" s="393">
        <f t="shared" si="34"/>
        <v>4746.0208636753241</v>
      </c>
      <c r="AZ22" s="393">
        <f t="shared" si="35"/>
        <v>3382.7166121962609</v>
      </c>
      <c r="BA22" s="387">
        <f>+SUM(Efficiency2!K75:K76)</f>
        <v>45.456650175681816</v>
      </c>
      <c r="BB22" s="388">
        <f t="shared" si="36"/>
        <v>633.09081655030354</v>
      </c>
      <c r="BC22" s="413">
        <f t="shared" si="37"/>
        <v>1.0083233107335434</v>
      </c>
      <c r="BD22" s="413">
        <f t="shared" si="38"/>
        <v>0.78033670223163987</v>
      </c>
    </row>
    <row r="23" spans="1:56" s="393" customFormat="1" ht="12.75" customHeight="1">
      <c r="A23" s="407">
        <f t="shared" si="13"/>
        <v>46127</v>
      </c>
      <c r="B23" s="416" t="s">
        <v>513</v>
      </c>
      <c r="C23" s="394" t="s">
        <v>554</v>
      </c>
      <c r="D23" s="386">
        <f>+'15'!F42</f>
        <v>1200</v>
      </c>
      <c r="E23" s="386">
        <f>+'15'!G42</f>
        <v>936</v>
      </c>
      <c r="F23" s="45">
        <f t="shared" si="0"/>
        <v>0.21999999999999997</v>
      </c>
      <c r="G23" s="412">
        <f t="shared" si="14"/>
        <v>1.024169674517053</v>
      </c>
      <c r="H23" s="408">
        <f t="shared" si="15"/>
        <v>0.99918992635810044</v>
      </c>
      <c r="I23" s="408">
        <f t="shared" si="16"/>
        <v>0.9572018248968065</v>
      </c>
      <c r="J23" s="413">
        <f t="shared" si="17"/>
        <v>0.9564264209284794</v>
      </c>
      <c r="K23" s="413">
        <f t="shared" si="18"/>
        <v>0.78434818504000203</v>
      </c>
      <c r="L23" s="387">
        <f>+Efficiency1!K80</f>
        <v>46.067317920000001</v>
      </c>
      <c r="M23" s="388">
        <f t="shared" si="19"/>
        <v>686.02695877030362</v>
      </c>
      <c r="N23" s="387">
        <f>+Efficiency1!C80</f>
        <v>44.943724799999998</v>
      </c>
      <c r="O23" s="388">
        <f t="shared" si="19"/>
        <v>646.07160992516526</v>
      </c>
      <c r="P23" s="388">
        <f>'15'!I38</f>
        <v>46.03</v>
      </c>
      <c r="Q23" s="388">
        <f t="shared" si="20"/>
        <v>557.94399999999996</v>
      </c>
      <c r="R23" s="388">
        <f>'15'!I40</f>
        <v>44.06</v>
      </c>
      <c r="S23" s="388">
        <f t="shared" si="21"/>
        <v>538.08399999999995</v>
      </c>
      <c r="T23" s="94">
        <f t="shared" si="1"/>
        <v>5610.6426469276739</v>
      </c>
      <c r="U23" s="12">
        <f t="shared" si="22"/>
        <v>73382.500949136549</v>
      </c>
      <c r="V23" s="288">
        <f t="shared" si="23"/>
        <v>121.89099819525687</v>
      </c>
      <c r="W23" s="288">
        <f t="shared" si="24"/>
        <v>131.5230577784447</v>
      </c>
      <c r="X23" s="289">
        <f t="shared" si="25"/>
        <v>127.34095884992452</v>
      </c>
      <c r="Y23" s="288">
        <f t="shared" si="26"/>
        <v>136.3774075221277</v>
      </c>
      <c r="Z23" s="390">
        <v>59.4</v>
      </c>
      <c r="AA23" s="389">
        <f t="shared" si="27"/>
        <v>794.5</v>
      </c>
      <c r="AB23" s="392">
        <f t="shared" si="2"/>
        <v>1.2904627416902019</v>
      </c>
      <c r="AC23" s="392">
        <f t="shared" si="3"/>
        <v>1.4239780336377845</v>
      </c>
      <c r="AD23" s="387">
        <f t="shared" si="4"/>
        <v>1.348161597821153</v>
      </c>
      <c r="AE23" s="392">
        <f t="shared" si="5"/>
        <v>1.4765352621523777</v>
      </c>
      <c r="AF23" s="391">
        <f>'15'!I46</f>
        <v>35852.360000000364</v>
      </c>
      <c r="AG23" s="389">
        <f t="shared" si="28"/>
        <v>523300.62000000116</v>
      </c>
      <c r="AH23" s="392">
        <f t="shared" si="6"/>
        <v>778.89115794048143</v>
      </c>
      <c r="AI23" s="392">
        <f t="shared" si="7"/>
        <v>937.90885823667099</v>
      </c>
      <c r="AJ23" s="392">
        <f t="shared" si="8"/>
        <v>813.7167498865266</v>
      </c>
      <c r="AK23" s="392">
        <f t="shared" si="9"/>
        <v>972.52588815129445</v>
      </c>
      <c r="AL23" s="447">
        <v>5863.2</v>
      </c>
      <c r="AM23" s="448">
        <v>4593.8999999999996</v>
      </c>
      <c r="AN23" s="448">
        <v>4119.8</v>
      </c>
      <c r="AO23" s="448">
        <f t="shared" si="40"/>
        <v>14576.899999999998</v>
      </c>
      <c r="AP23" s="575">
        <f>+[1]Apr!N18</f>
        <v>13949</v>
      </c>
      <c r="AQ23" s="480">
        <f t="shared" si="10"/>
        <v>-627.89999999999782</v>
      </c>
      <c r="AR23" s="451">
        <f t="shared" si="11"/>
        <v>0.40222543887932283</v>
      </c>
      <c r="AS23" s="451">
        <f t="shared" si="12"/>
        <v>0.31514931158202364</v>
      </c>
      <c r="AT23" s="451">
        <f t="shared" si="30"/>
        <v>0.28262524953865353</v>
      </c>
      <c r="AU23" s="451">
        <f t="shared" si="31"/>
        <v>-252.55735307232592</v>
      </c>
      <c r="AV23" s="451">
        <f t="shared" si="32"/>
        <v>-197.88225274235197</v>
      </c>
      <c r="AW23" s="451">
        <f t="shared" si="39"/>
        <v>-177.46039418531993</v>
      </c>
      <c r="AX23" s="593">
        <f t="shared" si="33"/>
        <v>5610.6426469276739</v>
      </c>
      <c r="AY23" s="393">
        <f t="shared" si="34"/>
        <v>4396.0177472576479</v>
      </c>
      <c r="AZ23" s="393">
        <f t="shared" si="35"/>
        <v>3942.3396058146805</v>
      </c>
      <c r="BA23" s="387">
        <f>+Efficiency2!K80</f>
        <v>46.067317920000001</v>
      </c>
      <c r="BB23" s="388">
        <f t="shared" si="36"/>
        <v>679.15813447030359</v>
      </c>
      <c r="BC23" s="413">
        <f t="shared" si="37"/>
        <v>0.9564264209284794</v>
      </c>
      <c r="BD23" s="413">
        <f t="shared" si="38"/>
        <v>0.79228087346648401</v>
      </c>
    </row>
    <row r="24" spans="1:56" s="393" customFormat="1" ht="12.75" customHeight="1">
      <c r="A24" s="407">
        <f t="shared" si="13"/>
        <v>46128</v>
      </c>
      <c r="B24" s="416" t="s">
        <v>513</v>
      </c>
      <c r="C24" s="394" t="s">
        <v>554</v>
      </c>
      <c r="D24" s="386">
        <f>+'16'!F42</f>
        <v>1200</v>
      </c>
      <c r="E24" s="386">
        <f>+'16'!G42</f>
        <v>936</v>
      </c>
      <c r="F24" s="45">
        <f t="shared" si="0"/>
        <v>0.21999999999999997</v>
      </c>
      <c r="G24" s="412">
        <f t="shared" si="14"/>
        <v>1.0023423781733374</v>
      </c>
      <c r="H24" s="408">
        <f t="shared" si="15"/>
        <v>0.9778950030959388</v>
      </c>
      <c r="I24" s="408">
        <f t="shared" si="16"/>
        <v>1.0353392972097049</v>
      </c>
      <c r="J24" s="413">
        <f t="shared" si="17"/>
        <v>1.0124531252502316</v>
      </c>
      <c r="K24" s="413">
        <f t="shared" si="18"/>
        <v>0.79870177737689774</v>
      </c>
      <c r="L24" s="387">
        <f>+Efficiency1!K85</f>
        <v>46.067317920000001</v>
      </c>
      <c r="M24" s="388">
        <f t="shared" si="19"/>
        <v>732.09427669030367</v>
      </c>
      <c r="N24" s="387">
        <f>+Efficiency1!C85</f>
        <v>44.943724799999998</v>
      </c>
      <c r="O24" s="388">
        <f t="shared" si="19"/>
        <v>691.0153347251653</v>
      </c>
      <c r="P24" s="388">
        <f>'16'!I38</f>
        <v>45.048999999999999</v>
      </c>
      <c r="Q24" s="388">
        <f t="shared" si="20"/>
        <v>602.99299999999994</v>
      </c>
      <c r="R24" s="388">
        <f>'16'!I40</f>
        <v>46.640999999999998</v>
      </c>
      <c r="S24" s="388">
        <f t="shared" si="21"/>
        <v>584.72499999999991</v>
      </c>
      <c r="T24" s="94">
        <f t="shared" si="1"/>
        <v>5525.4347586965487</v>
      </c>
      <c r="U24" s="12">
        <f t="shared" si="22"/>
        <v>78907.935707833094</v>
      </c>
      <c r="V24" s="288">
        <f t="shared" si="23"/>
        <v>122.65388263216828</v>
      </c>
      <c r="W24" s="288">
        <f t="shared" si="24"/>
        <v>130.8604506318201</v>
      </c>
      <c r="X24" s="289">
        <f t="shared" si="25"/>
        <v>118.46733043237815</v>
      </c>
      <c r="Y24" s="288">
        <f t="shared" si="26"/>
        <v>134.94879765331243</v>
      </c>
      <c r="Z24" s="390">
        <v>59.6</v>
      </c>
      <c r="AA24" s="389">
        <f t="shared" si="27"/>
        <v>854.1</v>
      </c>
      <c r="AB24" s="392">
        <f t="shared" si="2"/>
        <v>1.323003840262825</v>
      </c>
      <c r="AC24" s="392">
        <f t="shared" si="3"/>
        <v>1.4164343533009507</v>
      </c>
      <c r="AD24" s="387">
        <f t="shared" si="4"/>
        <v>1.2778456722626017</v>
      </c>
      <c r="AE24" s="392">
        <f t="shared" si="5"/>
        <v>1.4606866475693705</v>
      </c>
      <c r="AF24" s="391">
        <f>'16'!I46</f>
        <v>38166.339999998905</v>
      </c>
      <c r="AG24" s="389">
        <f t="shared" si="28"/>
        <v>561466.96000000008</v>
      </c>
      <c r="AH24" s="392">
        <f t="shared" si="6"/>
        <v>847.2183622277721</v>
      </c>
      <c r="AI24" s="392">
        <f t="shared" si="7"/>
        <v>931.13346257750948</v>
      </c>
      <c r="AJ24" s="392">
        <f t="shared" si="8"/>
        <v>818.30020797150371</v>
      </c>
      <c r="AK24" s="392">
        <f t="shared" si="9"/>
        <v>960.22396853221642</v>
      </c>
      <c r="AL24" s="447">
        <v>5815.7</v>
      </c>
      <c r="AM24" s="448">
        <v>5255.2</v>
      </c>
      <c r="AN24" s="448">
        <v>4202.3999999999996</v>
      </c>
      <c r="AO24" s="448">
        <f t="shared" si="40"/>
        <v>15273.3</v>
      </c>
      <c r="AP24" s="576">
        <f>+[1]Apr!N19</f>
        <v>14511</v>
      </c>
      <c r="AQ24" s="480">
        <f t="shared" si="10"/>
        <v>-762.29999999999927</v>
      </c>
      <c r="AR24" s="451">
        <f t="shared" si="11"/>
        <v>0.38077560186731091</v>
      </c>
      <c r="AS24" s="451">
        <f t="shared" si="12"/>
        <v>0.34407757328147814</v>
      </c>
      <c r="AT24" s="451">
        <f t="shared" si="30"/>
        <v>0.27514682485121089</v>
      </c>
      <c r="AU24" s="451">
        <f t="shared" si="31"/>
        <v>-290.26524130345081</v>
      </c>
      <c r="AV24" s="451">
        <f t="shared" si="32"/>
        <v>-262.29033411247053</v>
      </c>
      <c r="AW24" s="451">
        <f t="shared" si="39"/>
        <v>-209.74442458407788</v>
      </c>
      <c r="AX24" s="593">
        <f t="shared" si="33"/>
        <v>5525.4347586965487</v>
      </c>
      <c r="AY24" s="393">
        <f t="shared" si="34"/>
        <v>4992.9096658875296</v>
      </c>
      <c r="AZ24" s="393">
        <f t="shared" si="35"/>
        <v>3992.6555754159217</v>
      </c>
      <c r="BA24" s="387">
        <f>+Efficiency2!K85</f>
        <v>46.067317920000001</v>
      </c>
      <c r="BB24" s="388">
        <f t="shared" si="36"/>
        <v>725.22545239030364</v>
      </c>
      <c r="BC24" s="413">
        <f t="shared" si="37"/>
        <v>1.0124531252502316</v>
      </c>
      <c r="BD24" s="413">
        <f t="shared" si="38"/>
        <v>0.80626651763638202</v>
      </c>
    </row>
    <row r="25" spans="1:56" s="393" customFormat="1" ht="12.75" customHeight="1">
      <c r="A25" s="407">
        <f t="shared" si="13"/>
        <v>46129</v>
      </c>
      <c r="B25" s="416" t="s">
        <v>513</v>
      </c>
      <c r="C25" s="394" t="s">
        <v>554</v>
      </c>
      <c r="D25" s="386">
        <f>+'17'!F42</f>
        <v>1200</v>
      </c>
      <c r="E25" s="386">
        <f>+'17'!G42</f>
        <v>936</v>
      </c>
      <c r="F25" s="45">
        <f t="shared" si="0"/>
        <v>0.21999999999999997</v>
      </c>
      <c r="G25" s="412">
        <f t="shared" si="14"/>
        <v>0.96013403855659074</v>
      </c>
      <c r="H25" s="408">
        <f t="shared" si="15"/>
        <v>0.93671613517716168</v>
      </c>
      <c r="I25" s="408">
        <f t="shared" si="16"/>
        <v>0.99089265850945496</v>
      </c>
      <c r="J25" s="413">
        <f t="shared" si="17"/>
        <v>0.92818514145439968</v>
      </c>
      <c r="K25" s="413">
        <f t="shared" si="18"/>
        <v>0.8063672177425284</v>
      </c>
      <c r="L25" s="387">
        <f>+Efficiency1!K90</f>
        <v>46.067317920000001</v>
      </c>
      <c r="M25" s="388">
        <f t="shared" si="19"/>
        <v>778.16159461030372</v>
      </c>
      <c r="N25" s="387">
        <f>+Efficiency1!C90</f>
        <v>44.943724799999998</v>
      </c>
      <c r="O25" s="388">
        <f t="shared" si="19"/>
        <v>735.95905952516534</v>
      </c>
      <c r="P25" s="388">
        <f>'17'!I38</f>
        <v>43.152000000000001</v>
      </c>
      <c r="Q25" s="388">
        <f t="shared" si="20"/>
        <v>646.14499999999998</v>
      </c>
      <c r="R25" s="388">
        <f>'17'!I40</f>
        <v>42.759</v>
      </c>
      <c r="S25" s="388">
        <f t="shared" si="21"/>
        <v>627.48399999999992</v>
      </c>
      <c r="T25" s="94">
        <f t="shared" si="1"/>
        <v>5611.4258626735418</v>
      </c>
      <c r="U25" s="12">
        <f t="shared" si="22"/>
        <v>84519.361570506633</v>
      </c>
      <c r="V25" s="288">
        <f t="shared" si="23"/>
        <v>130.03860452988371</v>
      </c>
      <c r="W25" s="288">
        <f t="shared" si="24"/>
        <v>130.80556464958582</v>
      </c>
      <c r="X25" s="289">
        <f t="shared" si="25"/>
        <v>131.23379552079192</v>
      </c>
      <c r="Y25" s="288">
        <f t="shared" si="26"/>
        <v>134.69564414472185</v>
      </c>
      <c r="Z25" s="390">
        <v>60.1</v>
      </c>
      <c r="AA25" s="389">
        <f t="shared" si="27"/>
        <v>914.2</v>
      </c>
      <c r="AB25" s="392">
        <f t="shared" si="2"/>
        <v>1.3927512050426401</v>
      </c>
      <c r="AC25" s="392">
        <f t="shared" si="3"/>
        <v>1.4148527033405816</v>
      </c>
      <c r="AD25" s="387">
        <f t="shared" si="4"/>
        <v>1.405552047522159</v>
      </c>
      <c r="AE25" s="392">
        <f t="shared" si="5"/>
        <v>1.4569295790809011</v>
      </c>
      <c r="AF25" s="391">
        <f>'17'!I46</f>
        <v>35349.840000000724</v>
      </c>
      <c r="AG25" s="389">
        <f t="shared" si="28"/>
        <v>596816.80000000075</v>
      </c>
      <c r="AH25" s="392">
        <f t="shared" si="6"/>
        <v>819.19354838711354</v>
      </c>
      <c r="AI25" s="392">
        <f t="shared" si="7"/>
        <v>923.65769293270205</v>
      </c>
      <c r="AJ25" s="392">
        <f t="shared" si="8"/>
        <v>826.72279520102722</v>
      </c>
      <c r="AK25" s="392">
        <f t="shared" si="9"/>
        <v>951.12672195625851</v>
      </c>
      <c r="AL25" s="447">
        <v>5894.6</v>
      </c>
      <c r="AM25" s="448">
        <v>5313.4</v>
      </c>
      <c r="AN25" s="448">
        <v>4191.8</v>
      </c>
      <c r="AO25" s="448">
        <f t="shared" si="40"/>
        <v>15399.8</v>
      </c>
      <c r="AP25" s="577">
        <f>+[1]Apr!N20</f>
        <v>14660</v>
      </c>
      <c r="AQ25" s="480">
        <f t="shared" si="10"/>
        <v>-739.79999999999927</v>
      </c>
      <c r="AR25" s="451">
        <f t="shared" si="11"/>
        <v>0.38277120482084187</v>
      </c>
      <c r="AS25" s="451">
        <f t="shared" si="12"/>
        <v>0.34503045494097323</v>
      </c>
      <c r="AT25" s="451">
        <f t="shared" si="30"/>
        <v>0.27219834023818495</v>
      </c>
      <c r="AU25" s="451">
        <f t="shared" si="31"/>
        <v>-283.17413732645855</v>
      </c>
      <c r="AV25" s="451">
        <f>+AS25*AQ25</f>
        <v>-255.25353056533174</v>
      </c>
      <c r="AW25" s="451">
        <f t="shared" si="39"/>
        <v>-201.37233210820904</v>
      </c>
      <c r="AX25" s="593">
        <f t="shared" si="33"/>
        <v>5611.4258626735418</v>
      </c>
      <c r="AY25" s="393">
        <f t="shared" si="34"/>
        <v>5058.1464694346678</v>
      </c>
      <c r="AZ25" s="393">
        <f t="shared" si="35"/>
        <v>3990.4276678917913</v>
      </c>
      <c r="BA25" s="387">
        <f>+Efficiency2!K85</f>
        <v>46.067317920000001</v>
      </c>
      <c r="BB25" s="388">
        <f t="shared" si="36"/>
        <v>771.29277031030369</v>
      </c>
      <c r="BC25" s="413">
        <f t="shared" si="37"/>
        <v>0.92818514145439968</v>
      </c>
      <c r="BD25" s="413">
        <f t="shared" si="38"/>
        <v>0.81354840101451076</v>
      </c>
    </row>
    <row r="26" spans="1:56" s="393" customFormat="1" ht="12.75" customHeight="1">
      <c r="A26" s="407">
        <f t="shared" si="13"/>
        <v>46130</v>
      </c>
      <c r="B26" s="416" t="s">
        <v>513</v>
      </c>
      <c r="C26" s="394" t="s">
        <v>652</v>
      </c>
      <c r="D26" s="386">
        <f>+'18'!F42</f>
        <v>1196.9930555555557</v>
      </c>
      <c r="E26" s="386">
        <f>+'18'!G42</f>
        <v>913.44586805555559</v>
      </c>
      <c r="F26" s="45">
        <f t="shared" si="0"/>
        <v>0.23688290101933673</v>
      </c>
      <c r="G26" s="412">
        <f t="shared" si="14"/>
        <v>0.95271096476084904</v>
      </c>
      <c r="H26" s="408">
        <f t="shared" si="15"/>
        <v>0.92714191066351459</v>
      </c>
      <c r="I26" s="408">
        <f t="shared" si="16"/>
        <v>0.89641149504608875</v>
      </c>
      <c r="J26" s="413">
        <f t="shared" si="17"/>
        <v>0.83110066625776835</v>
      </c>
      <c r="K26" s="413">
        <f t="shared" si="18"/>
        <v>0.80768412320718586</v>
      </c>
      <c r="L26" s="387">
        <f>+SUM(Efficiency1!K95:K97)</f>
        <v>43.762448373154626</v>
      </c>
      <c r="M26" s="388">
        <f t="shared" si="19"/>
        <v>821.92404298345832</v>
      </c>
      <c r="N26" s="387">
        <f>+SUM(Efficiency1!C95:C97)</f>
        <v>42.587942724249999</v>
      </c>
      <c r="O26" s="388">
        <f t="shared" si="19"/>
        <v>778.5470022494153</v>
      </c>
      <c r="P26" s="388">
        <f>'18'!I38</f>
        <v>40.573999999999998</v>
      </c>
      <c r="Q26" s="388">
        <f t="shared" si="20"/>
        <v>686.71899999999994</v>
      </c>
      <c r="R26" s="388">
        <f>'18'!I40</f>
        <v>36.371000000000002</v>
      </c>
      <c r="S26" s="388">
        <f t="shared" si="21"/>
        <v>663.8549999999999</v>
      </c>
      <c r="T26" s="94">
        <f t="shared" si="1"/>
        <v>5628.2594412691624</v>
      </c>
      <c r="U26" s="12">
        <f t="shared" si="22"/>
        <v>90147.621011775802</v>
      </c>
      <c r="V26" s="288">
        <f t="shared" si="23"/>
        <v>138.71591268470357</v>
      </c>
      <c r="W26" s="288">
        <f t="shared" si="24"/>
        <v>131.27293843883132</v>
      </c>
      <c r="X26" s="289">
        <f t="shared" si="25"/>
        <v>154.74579861068329</v>
      </c>
      <c r="Y26" s="288">
        <f t="shared" si="26"/>
        <v>135.79414331710362</v>
      </c>
      <c r="Z26" s="390">
        <v>58.8</v>
      </c>
      <c r="AA26" s="389">
        <f t="shared" si="27"/>
        <v>973</v>
      </c>
      <c r="AB26" s="392">
        <f t="shared" si="2"/>
        <v>1.449203923694977</v>
      </c>
      <c r="AC26" s="392">
        <f t="shared" si="3"/>
        <v>1.4168823055718571</v>
      </c>
      <c r="AD26" s="387">
        <f t="shared" si="4"/>
        <v>1.6166726237936817</v>
      </c>
      <c r="AE26" s="392">
        <f t="shared" si="5"/>
        <v>1.4656815117759152</v>
      </c>
      <c r="AF26" s="391">
        <f>'18'!I46</f>
        <v>34893.780000000726</v>
      </c>
      <c r="AG26" s="389">
        <f t="shared" si="28"/>
        <v>631710.58000000147</v>
      </c>
      <c r="AH26" s="392">
        <f t="shared" si="6"/>
        <v>860.0034504855505</v>
      </c>
      <c r="AI26" s="392">
        <f t="shared" si="7"/>
        <v>919.89675544145655</v>
      </c>
      <c r="AJ26" s="392">
        <f t="shared" si="8"/>
        <v>959.3846746034128</v>
      </c>
      <c r="AK26" s="392">
        <f t="shared" si="9"/>
        <v>951.57915508657993</v>
      </c>
      <c r="AL26" s="447">
        <v>5927.8</v>
      </c>
      <c r="AM26" s="448">
        <v>5580.6</v>
      </c>
      <c r="AN26" s="448">
        <v>3468.4</v>
      </c>
      <c r="AO26" s="448">
        <f t="shared" si="40"/>
        <v>14976.800000000001</v>
      </c>
      <c r="AP26" s="578">
        <f>+[1]Apr!N21</f>
        <v>14220</v>
      </c>
      <c r="AQ26" s="480">
        <f t="shared" si="10"/>
        <v>-756.80000000000109</v>
      </c>
      <c r="AR26" s="451">
        <f t="shared" si="11"/>
        <v>0.39579883553228995</v>
      </c>
      <c r="AS26" s="451">
        <f t="shared" si="12"/>
        <v>0.37261631323113081</v>
      </c>
      <c r="AT26" s="451">
        <f t="shared" si="30"/>
        <v>0.23158485123657929</v>
      </c>
      <c r="AU26" s="451">
        <f t="shared" si="31"/>
        <v>-299.54055873083746</v>
      </c>
      <c r="AV26" s="451">
        <f t="shared" si="32"/>
        <v>-281.99602585332019</v>
      </c>
      <c r="AW26" s="451">
        <f t="shared" si="39"/>
        <v>-175.26341541584347</v>
      </c>
      <c r="AX26" s="593">
        <f t="shared" si="33"/>
        <v>5628.2594412691624</v>
      </c>
      <c r="AY26" s="393">
        <f t="shared" si="34"/>
        <v>5298.6039741466802</v>
      </c>
      <c r="AZ26" s="393">
        <f t="shared" si="35"/>
        <v>3293.1365845841565</v>
      </c>
      <c r="BA26" s="387">
        <f>+SUM(Efficiency2!K95:K97)</f>
        <v>43.762448373154626</v>
      </c>
      <c r="BB26" s="388">
        <f t="shared" si="36"/>
        <v>815.05521868345829</v>
      </c>
      <c r="BC26" s="413">
        <f t="shared" si="37"/>
        <v>0.83110066625776835</v>
      </c>
      <c r="BD26" s="413">
        <f t="shared" si="38"/>
        <v>0.81449082808439788</v>
      </c>
    </row>
    <row r="27" spans="1:56" s="393" customFormat="1" ht="12.75" customHeight="1">
      <c r="A27" s="407">
        <f t="shared" si="13"/>
        <v>46131</v>
      </c>
      <c r="B27" s="416" t="s">
        <v>513</v>
      </c>
      <c r="C27" s="394" t="s">
        <v>653</v>
      </c>
      <c r="D27" s="386">
        <f>+'19'!F42</f>
        <v>1161.1805555555557</v>
      </c>
      <c r="E27" s="386">
        <f>+'19'!G42</f>
        <v>891.03750000000002</v>
      </c>
      <c r="F27" s="45">
        <f t="shared" si="0"/>
        <v>0.23264517672388019</v>
      </c>
      <c r="G27" s="412">
        <f t="shared" si="14"/>
        <v>1.0056188865706006</v>
      </c>
      <c r="H27" s="408">
        <f t="shared" si="15"/>
        <v>0.94737210094186708</v>
      </c>
      <c r="I27" s="408">
        <f t="shared" si="16"/>
        <v>0.954803319424258</v>
      </c>
      <c r="J27" s="413">
        <f t="shared" si="17"/>
        <v>0.9045540267092278</v>
      </c>
      <c r="K27" s="413">
        <f t="shared" si="18"/>
        <v>0.8127153493091257</v>
      </c>
      <c r="L27" s="387">
        <f>+SUM(Efficiency1!K100:K101)</f>
        <v>45.027713986500004</v>
      </c>
      <c r="M27" s="388">
        <f t="shared" si="19"/>
        <v>866.9517569699583</v>
      </c>
      <c r="N27" s="387">
        <f>+SUM(Efficiency1!C100:C101)</f>
        <v>42.419648804999994</v>
      </c>
      <c r="O27" s="388">
        <f t="shared" si="19"/>
        <v>820.96665105441525</v>
      </c>
      <c r="P27" s="388">
        <f>'19'!I38</f>
        <v>42.658000000000001</v>
      </c>
      <c r="Q27" s="388">
        <f t="shared" si="20"/>
        <v>729.37699999999995</v>
      </c>
      <c r="R27" s="388">
        <f>'19'!I40</f>
        <v>40.729999999999997</v>
      </c>
      <c r="S27" s="388">
        <f t="shared" si="21"/>
        <v>704.58499999999992</v>
      </c>
      <c r="T27" s="94">
        <f t="shared" si="1"/>
        <v>5750.4909043098332</v>
      </c>
      <c r="U27" s="12">
        <f t="shared" si="22"/>
        <v>95898.111916085632</v>
      </c>
      <c r="V27" s="288">
        <f t="shared" si="23"/>
        <v>134.80451273641128</v>
      </c>
      <c r="W27" s="288">
        <f t="shared" si="24"/>
        <v>131.47948443135118</v>
      </c>
      <c r="X27" s="289">
        <f t="shared" si="25"/>
        <v>141.18563477313609</v>
      </c>
      <c r="Y27" s="288">
        <f t="shared" si="26"/>
        <v>136.10580968383607</v>
      </c>
      <c r="Z27" s="390">
        <v>58.1</v>
      </c>
      <c r="AA27" s="389">
        <f t="shared" si="27"/>
        <v>1031.0999999999999</v>
      </c>
      <c r="AB27" s="392">
        <f t="shared" si="2"/>
        <v>1.3619954053167049</v>
      </c>
      <c r="AC27" s="392">
        <f t="shared" si="3"/>
        <v>1.4136722161515924</v>
      </c>
      <c r="AD27" s="387">
        <f t="shared" si="4"/>
        <v>1.4264669776577463</v>
      </c>
      <c r="AE27" s="392">
        <f t="shared" si="5"/>
        <v>1.4634146341463414</v>
      </c>
      <c r="AF27" s="391">
        <f>'19'!I46</f>
        <v>38584.459999998908</v>
      </c>
      <c r="AG27" s="389">
        <f t="shared" si="28"/>
        <v>670295.04000000039</v>
      </c>
      <c r="AH27" s="392">
        <f t="shared" si="6"/>
        <v>904.50700923622549</v>
      </c>
      <c r="AI27" s="392">
        <f t="shared" si="7"/>
        <v>918.99667798683038</v>
      </c>
      <c r="AJ27" s="392">
        <f t="shared" si="8"/>
        <v>947.32285784431394</v>
      </c>
      <c r="AK27" s="392">
        <f t="shared" si="9"/>
        <v>951.33311098022307</v>
      </c>
      <c r="AL27" s="447">
        <v>6002.3</v>
      </c>
      <c r="AM27" s="448">
        <v>5304.9</v>
      </c>
      <c r="AN27" s="448">
        <v>3524</v>
      </c>
      <c r="AO27" s="448">
        <f t="shared" si="40"/>
        <v>14831.2</v>
      </c>
      <c r="AP27" s="578">
        <f>+[1]Apr!N22</f>
        <v>14209</v>
      </c>
      <c r="AQ27" s="480">
        <f t="shared" si="10"/>
        <v>-622.20000000000073</v>
      </c>
      <c r="AR27" s="451">
        <f t="shared" si="11"/>
        <v>0.40470764334645881</v>
      </c>
      <c r="AS27" s="451">
        <f t="shared" si="12"/>
        <v>0.35768515022385239</v>
      </c>
      <c r="AT27" s="451">
        <f t="shared" si="30"/>
        <v>0.2376072064296888</v>
      </c>
      <c r="AU27" s="451">
        <f t="shared" si="31"/>
        <v>-251.80909569016697</v>
      </c>
      <c r="AV27" s="451">
        <f t="shared" si="32"/>
        <v>-222.55170046928123</v>
      </c>
      <c r="AW27" s="451">
        <f>+AT27*AQ27</f>
        <v>-147.83920384055256</v>
      </c>
      <c r="AX27" s="593">
        <f t="shared" si="33"/>
        <v>5750.4909043098332</v>
      </c>
      <c r="AY27" s="393">
        <f t="shared" si="34"/>
        <v>5082.3482995307186</v>
      </c>
      <c r="AZ27" s="393">
        <f t="shared" si="35"/>
        <v>3376.1607961594473</v>
      </c>
      <c r="BA27" s="387">
        <f>+SUM(Efficiency2!K100:K101)</f>
        <v>45.027713986500004</v>
      </c>
      <c r="BB27" s="388">
        <f t="shared" si="36"/>
        <v>860.08293266995827</v>
      </c>
      <c r="BC27" s="413">
        <f t="shared" si="37"/>
        <v>0.9045540267092278</v>
      </c>
      <c r="BD27" s="413">
        <f t="shared" si="38"/>
        <v>0.81920588496362134</v>
      </c>
    </row>
    <row r="28" spans="1:56" s="393" customFormat="1" ht="12.75" customHeight="1">
      <c r="A28" s="407">
        <f t="shared" si="13"/>
        <v>46132</v>
      </c>
      <c r="B28" s="416" t="s">
        <v>668</v>
      </c>
      <c r="C28" s="394" t="s">
        <v>669</v>
      </c>
      <c r="D28" s="386">
        <f>+'20'!F42</f>
        <v>1151.8194444444443</v>
      </c>
      <c r="E28" s="386">
        <f>+'20'!G42</f>
        <v>864.58524305555557</v>
      </c>
      <c r="F28" s="45">
        <f t="shared" si="0"/>
        <v>0.24937432926167524</v>
      </c>
      <c r="G28" s="412">
        <f t="shared" si="14"/>
        <v>0.93833126646252696</v>
      </c>
      <c r="H28" s="408">
        <f t="shared" si="15"/>
        <v>0.93344687591151621</v>
      </c>
      <c r="I28" s="408">
        <f t="shared" si="16"/>
        <v>0.96290648022148184</v>
      </c>
      <c r="J28" s="413">
        <f t="shared" si="17"/>
        <v>0.89882204575769642</v>
      </c>
      <c r="K28" s="413">
        <f t="shared" si="18"/>
        <v>0.81702353754508739</v>
      </c>
      <c r="L28" s="387">
        <f>+SUM(Efficiency1!K105:K107)</f>
        <v>45.660873799999997</v>
      </c>
      <c r="M28" s="388">
        <f t="shared" si="19"/>
        <v>912.61263076995829</v>
      </c>
      <c r="N28" s="387">
        <f>+SUM(Efficiency1!C105:C107)</f>
        <v>45.423190640000001</v>
      </c>
      <c r="O28" s="388">
        <f t="shared" si="19"/>
        <v>866.38984169441528</v>
      </c>
      <c r="P28" s="388">
        <f>'20'!I38</f>
        <v>42.622</v>
      </c>
      <c r="Q28" s="388">
        <f t="shared" si="20"/>
        <v>771.99899999999991</v>
      </c>
      <c r="R28" s="388">
        <f>'20'!I40</f>
        <v>41.040999999999997</v>
      </c>
      <c r="S28" s="388">
        <f t="shared" si="21"/>
        <v>745.62599999999998</v>
      </c>
      <c r="T28" s="94">
        <f t="shared" si="1"/>
        <v>5611.1478501431939</v>
      </c>
      <c r="U28" s="12">
        <f t="shared" si="22"/>
        <v>101509.25976622883</v>
      </c>
      <c r="V28" s="288">
        <f t="shared" si="23"/>
        <v>131.64909788708164</v>
      </c>
      <c r="W28" s="288">
        <f t="shared" si="24"/>
        <v>131.48884877600727</v>
      </c>
      <c r="X28" s="289">
        <f t="shared" si="25"/>
        <v>136.72054409354533</v>
      </c>
      <c r="Y28" s="288">
        <f t="shared" si="26"/>
        <v>136.13964610438589</v>
      </c>
      <c r="Z28" s="390">
        <v>57.1</v>
      </c>
      <c r="AA28" s="389">
        <f t="shared" si="27"/>
        <v>1088.1999999999998</v>
      </c>
      <c r="AB28" s="392">
        <f t="shared" si="2"/>
        <v>1.3396837314063159</v>
      </c>
      <c r="AC28" s="392">
        <f t="shared" si="3"/>
        <v>1.4095873181182876</v>
      </c>
      <c r="AD28" s="387">
        <f t="shared" si="4"/>
        <v>1.3912916351940743</v>
      </c>
      <c r="AE28" s="392">
        <f t="shared" si="5"/>
        <v>1.4594448154973134</v>
      </c>
      <c r="AF28" s="391">
        <f>'20'!I46</f>
        <v>35544.180000001092</v>
      </c>
      <c r="AG28" s="389">
        <f t="shared" si="28"/>
        <v>705839.22000000149</v>
      </c>
      <c r="AH28" s="392">
        <f t="shared" si="6"/>
        <v>833.93974942520515</v>
      </c>
      <c r="AI28" s="392">
        <f t="shared" si="7"/>
        <v>914.30069209934413</v>
      </c>
      <c r="AJ28" s="392">
        <f t="shared" si="8"/>
        <v>866.06515435786389</v>
      </c>
      <c r="AK28" s="392">
        <f t="shared" si="9"/>
        <v>946.63976309839177</v>
      </c>
      <c r="AL28" s="482">
        <v>5908.8</v>
      </c>
      <c r="AM28" s="483">
        <v>5987.3</v>
      </c>
      <c r="AN28" s="448">
        <v>3502.6</v>
      </c>
      <c r="AO28" s="448">
        <f t="shared" si="40"/>
        <v>15398.7</v>
      </c>
      <c r="AP28" s="579">
        <f>+[1]Apr!N23</f>
        <v>14623</v>
      </c>
      <c r="AQ28" s="480">
        <f t="shared" si="10"/>
        <v>-775.70000000000073</v>
      </c>
      <c r="AR28" s="451">
        <f t="shared" si="11"/>
        <v>0.3837207036957665</v>
      </c>
      <c r="AS28" s="451">
        <f t="shared" si="12"/>
        <v>0.38881853662971549</v>
      </c>
      <c r="AT28" s="451">
        <f t="shared" si="30"/>
        <v>0.22746075967451801</v>
      </c>
      <c r="AU28" s="451">
        <f t="shared" si="31"/>
        <v>-297.65214985680637</v>
      </c>
      <c r="AV28" s="451">
        <f t="shared" si="32"/>
        <v>-301.60653886367061</v>
      </c>
      <c r="AW28" s="451">
        <f t="shared" si="39"/>
        <v>-176.44131127952377</v>
      </c>
      <c r="AX28" s="593">
        <f t="shared" si="33"/>
        <v>5611.1478501431939</v>
      </c>
      <c r="AY28" s="393">
        <f t="shared" si="34"/>
        <v>5685.6934611363295</v>
      </c>
      <c r="AZ28" s="393">
        <f t="shared" si="35"/>
        <v>3326.1586887204762</v>
      </c>
      <c r="BA28" s="387">
        <f>+SUM(Efficiency2!K105:K107)</f>
        <v>45.660873799999997</v>
      </c>
      <c r="BB28" s="388">
        <f t="shared" si="36"/>
        <v>905.74380646995826</v>
      </c>
      <c r="BC28" s="413">
        <f t="shared" si="37"/>
        <v>0.89882204575769642</v>
      </c>
      <c r="BD28" s="413">
        <f t="shared" si="38"/>
        <v>0.82321954030908506</v>
      </c>
    </row>
    <row r="29" spans="1:56" s="393" customFormat="1" ht="12.75" customHeight="1">
      <c r="A29" s="407">
        <f t="shared" si="13"/>
        <v>46133</v>
      </c>
      <c r="B29" s="416" t="s">
        <v>7</v>
      </c>
      <c r="C29" s="394" t="s">
        <v>679</v>
      </c>
      <c r="D29" s="386">
        <f>+'21'!F42</f>
        <v>1140</v>
      </c>
      <c r="E29" s="386">
        <f>+'21'!G42</f>
        <v>855</v>
      </c>
      <c r="F29" s="45">
        <f t="shared" si="0"/>
        <v>0.25</v>
      </c>
      <c r="G29" s="412">
        <f t="shared" si="14"/>
        <v>0.96232030962316362</v>
      </c>
      <c r="H29" s="408">
        <f t="shared" si="15"/>
        <v>0.96232030962316362</v>
      </c>
      <c r="I29" s="408">
        <f t="shared" si="16"/>
        <v>0.9776925520809695</v>
      </c>
      <c r="J29" s="413">
        <f t="shared" si="17"/>
        <v>0.9408533994348196</v>
      </c>
      <c r="K29" s="413">
        <f t="shared" si="18"/>
        <v>0.82293998119846234</v>
      </c>
      <c r="L29" s="387">
        <f>+Efficiency1!K110</f>
        <v>45.791406000000002</v>
      </c>
      <c r="M29" s="388">
        <f t="shared" si="19"/>
        <v>958.40403676995834</v>
      </c>
      <c r="N29" s="387">
        <f>+Efficiency1!C110</f>
        <v>45.791406000000002</v>
      </c>
      <c r="O29" s="388">
        <f t="shared" si="19"/>
        <v>912.18124769441533</v>
      </c>
      <c r="P29" s="388">
        <f>'21'!I38</f>
        <v>44.065999999999995</v>
      </c>
      <c r="Q29" s="388">
        <f t="shared" si="20"/>
        <v>816.06499999999994</v>
      </c>
      <c r="R29" s="388">
        <f>'21'!I40</f>
        <v>43.082999999999998</v>
      </c>
      <c r="S29" s="388">
        <f t="shared" si="21"/>
        <v>788.70899999999995</v>
      </c>
      <c r="T29" s="94">
        <f t="shared" si="1"/>
        <v>5839.5320090539617</v>
      </c>
      <c r="U29" s="12">
        <f t="shared" si="22"/>
        <v>107348.79177528279</v>
      </c>
      <c r="V29" s="288">
        <f t="shared" si="23"/>
        <v>132.51785977973861</v>
      </c>
      <c r="W29" s="288">
        <f t="shared" si="24"/>
        <v>131.54441346618566</v>
      </c>
      <c r="X29" s="289">
        <f t="shared" si="25"/>
        <v>135.54144347083448</v>
      </c>
      <c r="Y29" s="288">
        <f t="shared" si="26"/>
        <v>136.10696945930982</v>
      </c>
      <c r="Z29" s="390">
        <v>56.7</v>
      </c>
      <c r="AA29" s="389">
        <f t="shared" si="27"/>
        <v>1144.8999999999999</v>
      </c>
      <c r="AB29" s="392">
        <f t="shared" si="2"/>
        <v>1.2867063041800937</v>
      </c>
      <c r="AC29" s="392">
        <f t="shared" si="3"/>
        <v>1.402951970737625</v>
      </c>
      <c r="AD29" s="387">
        <f t="shared" si="4"/>
        <v>1.3160643409233341</v>
      </c>
      <c r="AE29" s="392">
        <f t="shared" si="5"/>
        <v>1.4516126987266533</v>
      </c>
      <c r="AF29" s="391">
        <f>'21'!I46</f>
        <v>36187.339999998541</v>
      </c>
      <c r="AG29" s="389">
        <f t="shared" si="28"/>
        <v>742026.56</v>
      </c>
      <c r="AH29" s="392">
        <f t="shared" si="6"/>
        <v>821.20773385373184</v>
      </c>
      <c r="AI29" s="392">
        <f t="shared" si="7"/>
        <v>909.27384460796645</v>
      </c>
      <c r="AJ29" s="392">
        <f t="shared" si="8"/>
        <v>839.94475779306322</v>
      </c>
      <c r="AK29" s="392">
        <f t="shared" si="9"/>
        <v>940.81157942916843</v>
      </c>
      <c r="AL29" s="482">
        <v>6118.9</v>
      </c>
      <c r="AM29" s="483">
        <v>6105.3</v>
      </c>
      <c r="AN29" s="483">
        <v>3547.9</v>
      </c>
      <c r="AO29" s="448">
        <f t="shared" si="40"/>
        <v>15772.1</v>
      </c>
      <c r="AP29" s="583">
        <f>+[1]Apr!N24</f>
        <v>15052</v>
      </c>
      <c r="AQ29" s="480">
        <f t="shared" si="10"/>
        <v>-720.10000000000036</v>
      </c>
      <c r="AR29" s="451">
        <f t="shared" si="11"/>
        <v>0.38795721558955365</v>
      </c>
      <c r="AS29" s="451">
        <f t="shared" si="12"/>
        <v>0.38709493345844881</v>
      </c>
      <c r="AT29" s="451">
        <f t="shared" si="30"/>
        <v>0.22494785095199754</v>
      </c>
      <c r="AU29" s="451">
        <f t="shared" si="31"/>
        <v>-279.36799094603771</v>
      </c>
      <c r="AV29" s="451">
        <f t="shared" si="32"/>
        <v>-278.74706158342912</v>
      </c>
      <c r="AW29" s="451">
        <f t="shared" si="39"/>
        <v>-161.98494747053351</v>
      </c>
      <c r="AX29" s="593">
        <f t="shared" si="33"/>
        <v>5839.5320090539617</v>
      </c>
      <c r="AY29" s="393">
        <f t="shared" si="34"/>
        <v>5826.5529384165711</v>
      </c>
      <c r="AZ29" s="393">
        <f t="shared" si="35"/>
        <v>3385.9150525294667</v>
      </c>
      <c r="BA29" s="387">
        <f>+Efficiency2!K110</f>
        <v>45.791406000000002</v>
      </c>
      <c r="BB29" s="388">
        <f t="shared" si="36"/>
        <v>951.53521246995831</v>
      </c>
      <c r="BC29" s="413">
        <f t="shared" si="37"/>
        <v>0.9408533994348196</v>
      </c>
      <c r="BD29" s="413">
        <f t="shared" si="38"/>
        <v>0.82888051820247366</v>
      </c>
    </row>
    <row r="30" spans="1:56" s="393" customFormat="1" ht="12.75" customHeight="1">
      <c r="A30" s="407">
        <f t="shared" si="13"/>
        <v>46134</v>
      </c>
      <c r="B30" s="416" t="s">
        <v>7</v>
      </c>
      <c r="C30" s="394" t="s">
        <v>679</v>
      </c>
      <c r="D30" s="386">
        <f>+'22'!F42</f>
        <v>1143.3333333333333</v>
      </c>
      <c r="E30" s="386">
        <f>+'22'!G42</f>
        <v>857.5</v>
      </c>
      <c r="F30" s="45">
        <f t="shared" si="0"/>
        <v>0.25</v>
      </c>
      <c r="G30" s="412">
        <f t="shared" si="14"/>
        <v>0.92289001754784439</v>
      </c>
      <c r="H30" s="408">
        <f t="shared" si="15"/>
        <v>0.92289001754784439</v>
      </c>
      <c r="I30" s="408">
        <f t="shared" si="16"/>
        <v>0.97258399395998496</v>
      </c>
      <c r="J30" s="413">
        <f t="shared" si="17"/>
        <v>0.89758805925248297</v>
      </c>
      <c r="K30" s="413">
        <f t="shared" si="18"/>
        <v>0.82635343850007348</v>
      </c>
      <c r="L30" s="387">
        <f>+Efficiency1!K115</f>
        <v>45.925299000000003</v>
      </c>
      <c r="M30" s="388">
        <f t="shared" si="19"/>
        <v>1004.3293357699583</v>
      </c>
      <c r="N30" s="387">
        <f>+Efficiency1!C115</f>
        <v>45.925299000000003</v>
      </c>
      <c r="O30" s="388">
        <f t="shared" si="19"/>
        <v>958.10654669441533</v>
      </c>
      <c r="P30" s="388">
        <f>'22'!I38</f>
        <v>42.384</v>
      </c>
      <c r="Q30" s="388">
        <f t="shared" si="20"/>
        <v>858.44899999999996</v>
      </c>
      <c r="R30" s="388">
        <f>'22'!I40</f>
        <v>41.222000000000001</v>
      </c>
      <c r="S30" s="388">
        <f t="shared" si="21"/>
        <v>829.93099999999993</v>
      </c>
      <c r="T30" s="94">
        <f t="shared" si="1"/>
        <v>5984.8747930709214</v>
      </c>
      <c r="U30" s="12">
        <f t="shared" si="22"/>
        <v>113333.66656835371</v>
      </c>
      <c r="V30" s="288">
        <f t="shared" si="23"/>
        <v>141.2059926639987</v>
      </c>
      <c r="W30" s="288">
        <f t="shared" si="24"/>
        <v>132.02143233710299</v>
      </c>
      <c r="X30" s="289">
        <f t="shared" si="25"/>
        <v>145.18642455656982</v>
      </c>
      <c r="Y30" s="288">
        <f t="shared" si="26"/>
        <v>136.55793863387888</v>
      </c>
      <c r="Z30" s="390">
        <v>57.5</v>
      </c>
      <c r="AA30" s="389">
        <f t="shared" si="27"/>
        <v>1202.3999999999999</v>
      </c>
      <c r="AB30" s="392">
        <f t="shared" si="2"/>
        <v>1.3566440166100415</v>
      </c>
      <c r="AC30" s="392">
        <f t="shared" si="3"/>
        <v>1.4006656190408515</v>
      </c>
      <c r="AD30" s="387">
        <f t="shared" si="4"/>
        <v>1.3948862258017563</v>
      </c>
      <c r="AE30" s="392">
        <f t="shared" si="5"/>
        <v>1.4487951408008617</v>
      </c>
      <c r="AF30" s="391">
        <f>'22'!I46</f>
        <v>35446.199999999997</v>
      </c>
      <c r="AG30" s="389">
        <f t="shared" si="28"/>
        <v>777472.76</v>
      </c>
      <c r="AH30" s="392">
        <f t="shared" si="6"/>
        <v>836.31087202718004</v>
      </c>
      <c r="AI30" s="392">
        <f t="shared" si="7"/>
        <v>905.67146097205546</v>
      </c>
      <c r="AJ30" s="392">
        <f t="shared" si="8"/>
        <v>859.88549803502974</v>
      </c>
      <c r="AK30" s="392">
        <f t="shared" si="9"/>
        <v>936.79204656772686</v>
      </c>
      <c r="AL30" s="482">
        <v>6253.2</v>
      </c>
      <c r="AM30" s="448">
        <v>6193.9</v>
      </c>
      <c r="AN30" s="448">
        <v>3560.8</v>
      </c>
      <c r="AO30" s="448">
        <f t="shared" si="40"/>
        <v>16007.899999999998</v>
      </c>
      <c r="AP30" s="584">
        <f>+[1]Apr!N25</f>
        <v>15321</v>
      </c>
      <c r="AQ30" s="480">
        <f t="shared" si="10"/>
        <v>-686.89999999999782</v>
      </c>
      <c r="AR30" s="451">
        <f>+AL30/AO30</f>
        <v>0.39063212538808967</v>
      </c>
      <c r="AS30" s="451">
        <f t="shared" si="12"/>
        <v>0.38692770444592983</v>
      </c>
      <c r="AT30" s="451">
        <f t="shared" si="30"/>
        <v>0.2224401701659805</v>
      </c>
      <c r="AU30" s="451">
        <f t="shared" si="31"/>
        <v>-268.32520692907792</v>
      </c>
      <c r="AV30" s="451">
        <f t="shared" si="32"/>
        <v>-265.78064018390836</v>
      </c>
      <c r="AW30" s="451">
        <f t="shared" si="39"/>
        <v>-152.79415288701151</v>
      </c>
      <c r="AX30" s="593">
        <f t="shared" si="33"/>
        <v>5984.8747930709214</v>
      </c>
      <c r="AY30" s="393">
        <f t="shared" si="34"/>
        <v>5928.1193598160917</v>
      </c>
      <c r="AZ30" s="393">
        <f t="shared" si="35"/>
        <v>3408.0058471129887</v>
      </c>
      <c r="BA30" s="387">
        <f>+Efficiency2!K115</f>
        <v>45.925299000000003</v>
      </c>
      <c r="BB30" s="388">
        <f t="shared" si="36"/>
        <v>997.46051146995831</v>
      </c>
      <c r="BC30" s="413">
        <f t="shared" si="37"/>
        <v>0.89758805925248297</v>
      </c>
      <c r="BD30" s="413">
        <f t="shared" si="38"/>
        <v>0.83204396610842268</v>
      </c>
    </row>
    <row r="31" spans="1:56" s="393" customFormat="1" ht="12.75" customHeight="1">
      <c r="A31" s="407">
        <f t="shared" si="13"/>
        <v>46135</v>
      </c>
      <c r="B31" s="416" t="s">
        <v>7</v>
      </c>
      <c r="C31" s="394" t="s">
        <v>687</v>
      </c>
      <c r="D31" s="386">
        <f>+'23'!F42</f>
        <v>1150</v>
      </c>
      <c r="E31" s="386">
        <f>+'23'!G42</f>
        <v>862.5</v>
      </c>
      <c r="F31" s="45">
        <f t="shared" si="0"/>
        <v>0.25</v>
      </c>
      <c r="G31" s="412">
        <f t="shared" si="14"/>
        <v>0.95518896321111935</v>
      </c>
      <c r="H31" s="408">
        <f t="shared" si="15"/>
        <v>0.95518896321111935</v>
      </c>
      <c r="I31" s="408">
        <f t="shared" si="16"/>
        <v>0.95309875141884237</v>
      </c>
      <c r="J31" s="413">
        <f t="shared" si="17"/>
        <v>0.91038940820557634</v>
      </c>
      <c r="K31" s="413">
        <f t="shared" si="18"/>
        <v>0.83004277405187643</v>
      </c>
      <c r="L31" s="387">
        <f>+SUM(Efficiency1!K120:K121)</f>
        <v>46.116529499999999</v>
      </c>
      <c r="M31" s="388">
        <f t="shared" si="19"/>
        <v>1050.4458652699584</v>
      </c>
      <c r="N31" s="387">
        <f>+SUM(Efficiency1!C120:C121)</f>
        <v>46.116529499999999</v>
      </c>
      <c r="O31" s="388">
        <f t="shared" si="19"/>
        <v>1004.2230761944153</v>
      </c>
      <c r="P31" s="388">
        <f>'23'!I38</f>
        <v>44.05</v>
      </c>
      <c r="Q31" s="388">
        <f t="shared" si="20"/>
        <v>902.49899999999991</v>
      </c>
      <c r="R31" s="388">
        <f>'23'!I40</f>
        <v>41.984000000000002</v>
      </c>
      <c r="S31" s="388">
        <f t="shared" si="21"/>
        <v>871.91499999999996</v>
      </c>
      <c r="T31" s="94">
        <f t="shared" si="1"/>
        <v>5864.5523134008126</v>
      </c>
      <c r="U31" s="12">
        <f t="shared" si="22"/>
        <v>119198.21888175452</v>
      </c>
      <c r="V31" s="288">
        <f t="shared" si="23"/>
        <v>133.13399122362799</v>
      </c>
      <c r="W31" s="288">
        <f t="shared" si="24"/>
        <v>132.07573513295253</v>
      </c>
      <c r="X31" s="289">
        <f t="shared" si="25"/>
        <v>139.68541142818248</v>
      </c>
      <c r="Y31" s="288">
        <f t="shared" si="26"/>
        <v>136.70853108589085</v>
      </c>
      <c r="Z31" s="390">
        <v>56.8</v>
      </c>
      <c r="AA31" s="389">
        <f t="shared" si="27"/>
        <v>1259.1999999999998</v>
      </c>
      <c r="AB31" s="392">
        <f t="shared" si="2"/>
        <v>1.2894438138479001</v>
      </c>
      <c r="AC31" s="392">
        <f t="shared" si="3"/>
        <v>1.3952370030326904</v>
      </c>
      <c r="AD31" s="387">
        <f t="shared" si="4"/>
        <v>1.3528963414634145</v>
      </c>
      <c r="AE31" s="392">
        <f t="shared" si="5"/>
        <v>1.4441774714278339</v>
      </c>
      <c r="AF31" s="391">
        <f>'23'!I46</f>
        <v>34824.44</v>
      </c>
      <c r="AG31" s="389">
        <f t="shared" si="28"/>
        <v>812297.2</v>
      </c>
      <c r="AH31" s="392">
        <f t="shared" si="6"/>
        <v>790.56617480136219</v>
      </c>
      <c r="AI31" s="392">
        <f t="shared" si="7"/>
        <v>900.05329645794632</v>
      </c>
      <c r="AJ31" s="392">
        <f t="shared" si="8"/>
        <v>829.46932164634154</v>
      </c>
      <c r="AK31" s="392">
        <f t="shared" si="9"/>
        <v>931.62429824008063</v>
      </c>
      <c r="AL31" s="447">
        <v>6188.2</v>
      </c>
      <c r="AM31" s="448">
        <v>6084</v>
      </c>
      <c r="AN31" s="448">
        <v>3574.6</v>
      </c>
      <c r="AO31" s="448">
        <f>SUM(AL31:AN31)</f>
        <v>15846.800000000001</v>
      </c>
      <c r="AP31" s="585">
        <f>+[1]Apr!N26</f>
        <v>15018</v>
      </c>
      <c r="AQ31" s="480">
        <f t="shared" si="10"/>
        <v>-828.80000000000109</v>
      </c>
      <c r="AR31" s="451">
        <f>+AL31/AO31</f>
        <v>0.39050155236388417</v>
      </c>
      <c r="AS31" s="451">
        <f t="shared" si="12"/>
        <v>0.38392609233409897</v>
      </c>
      <c r="AT31" s="451">
        <f t="shared" si="30"/>
        <v>0.22557235530201686</v>
      </c>
      <c r="AU31" s="451">
        <f t="shared" si="31"/>
        <v>-323.64768659918764</v>
      </c>
      <c r="AV31" s="451">
        <f t="shared" si="32"/>
        <v>-318.19794532650167</v>
      </c>
      <c r="AW31" s="451">
        <f t="shared" si="39"/>
        <v>-186.95436807431182</v>
      </c>
      <c r="AX31" s="593">
        <f t="shared" si="33"/>
        <v>5864.5523134008126</v>
      </c>
      <c r="AY31" s="393">
        <f t="shared" si="34"/>
        <v>5765.8020546734988</v>
      </c>
      <c r="AZ31" s="393">
        <f t="shared" si="35"/>
        <v>3387.6456319256881</v>
      </c>
      <c r="BA31" s="387">
        <f>+SUM(Efficiency2!K120:K121)</f>
        <v>46.116529499999999</v>
      </c>
      <c r="BB31" s="388">
        <f t="shared" si="36"/>
        <v>1043.5770409699583</v>
      </c>
      <c r="BC31" s="413">
        <f t="shared" si="37"/>
        <v>0.91038940820557634</v>
      </c>
      <c r="BD31" s="413">
        <f t="shared" si="38"/>
        <v>0.83550611576275569</v>
      </c>
    </row>
    <row r="32" spans="1:56" s="393" customFormat="1" ht="12.75" customHeight="1">
      <c r="A32" s="407">
        <f t="shared" si="13"/>
        <v>46136</v>
      </c>
      <c r="B32" s="416" t="s">
        <v>7</v>
      </c>
      <c r="C32" s="394" t="s">
        <v>531</v>
      </c>
      <c r="D32" s="386">
        <f>+'24'!F42</f>
        <v>1167.9166666666667</v>
      </c>
      <c r="E32" s="386">
        <f>+'24'!G42</f>
        <v>862.43472222222226</v>
      </c>
      <c r="F32" s="45">
        <f t="shared" si="0"/>
        <v>0.26156142228564638</v>
      </c>
      <c r="G32" s="412">
        <f t="shared" si="14"/>
        <v>0.90367510103381021</v>
      </c>
      <c r="H32" s="408">
        <f t="shared" si="15"/>
        <v>0.84636767881069519</v>
      </c>
      <c r="I32" s="408">
        <f t="shared" si="16"/>
        <v>1.0101110645431683</v>
      </c>
      <c r="J32" s="413">
        <f t="shared" si="17"/>
        <v>0.85492535703840178</v>
      </c>
      <c r="K32" s="413">
        <f t="shared" si="18"/>
        <v>0.83106723166086804</v>
      </c>
      <c r="L32" s="387">
        <f>+SUM(Efficiency1!K125:K126)</f>
        <v>45.105692189999999</v>
      </c>
      <c r="M32" s="388">
        <f t="shared" si="19"/>
        <v>1095.5515574599583</v>
      </c>
      <c r="N32" s="387">
        <f>+SUM(Efficiency1!C125:C126)</f>
        <v>42.245271510000009</v>
      </c>
      <c r="O32" s="388">
        <f t="shared" si="19"/>
        <v>1046.4683477044152</v>
      </c>
      <c r="P32" s="388">
        <f>'24'!I38</f>
        <v>38.176000000000002</v>
      </c>
      <c r="Q32" s="388">
        <f t="shared" si="20"/>
        <v>940.67499999999995</v>
      </c>
      <c r="R32" s="388">
        <f>'24'!I40</f>
        <v>38.561999999999998</v>
      </c>
      <c r="S32" s="388">
        <f t="shared" si="21"/>
        <v>910.47699999999998</v>
      </c>
      <c r="T32" s="94">
        <f t="shared" si="1"/>
        <v>5338.0831904194401</v>
      </c>
      <c r="U32" s="12">
        <f t="shared" si="22"/>
        <v>124536.30207217396</v>
      </c>
      <c r="V32" s="288">
        <f t="shared" si="23"/>
        <v>139.82824786304064</v>
      </c>
      <c r="W32" s="288">
        <f t="shared" si="24"/>
        <v>132.39036019047381</v>
      </c>
      <c r="X32" s="289">
        <f t="shared" si="25"/>
        <v>138.42858748040663</v>
      </c>
      <c r="Y32" s="288">
        <f t="shared" si="26"/>
        <v>136.78138170670314</v>
      </c>
      <c r="Z32" s="390">
        <v>51.8</v>
      </c>
      <c r="AA32" s="389">
        <f t="shared" si="27"/>
        <v>1310.9999999999998</v>
      </c>
      <c r="AB32" s="392">
        <f t="shared" si="2"/>
        <v>1.3568734283319361</v>
      </c>
      <c r="AC32" s="392">
        <f t="shared" si="3"/>
        <v>1.3936800701623833</v>
      </c>
      <c r="AD32" s="387">
        <f t="shared" si="4"/>
        <v>1.3432913230641563</v>
      </c>
      <c r="AE32" s="392">
        <f t="shared" si="5"/>
        <v>1.4399045774906998</v>
      </c>
      <c r="AF32" s="391">
        <f>+'24'!I46</f>
        <v>35587.620000000366</v>
      </c>
      <c r="AG32" s="389">
        <f t="shared" si="28"/>
        <v>847884.8200000003</v>
      </c>
      <c r="AH32" s="392">
        <f t="shared" si="6"/>
        <v>932.1987636211328</v>
      </c>
      <c r="AI32" s="392">
        <f t="shared" si="7"/>
        <v>901.35787599330297</v>
      </c>
      <c r="AJ32" s="392">
        <f t="shared" si="8"/>
        <v>922.86758985530753</v>
      </c>
      <c r="AK32" s="392">
        <f t="shared" si="9"/>
        <v>931.25341991066261</v>
      </c>
      <c r="AL32" s="447">
        <v>5483.2</v>
      </c>
      <c r="AM32" s="448">
        <v>4697.8999999999996</v>
      </c>
      <c r="AN32" s="448">
        <v>3580.1</v>
      </c>
      <c r="AO32" s="448">
        <f t="shared" si="40"/>
        <v>13761.199999999999</v>
      </c>
      <c r="AP32" s="586">
        <f>+[1]Apr!N27</f>
        <v>13397</v>
      </c>
      <c r="AQ32" s="480">
        <f t="shared" si="10"/>
        <v>-364.19999999999891</v>
      </c>
      <c r="AR32" s="451">
        <f t="shared" si="11"/>
        <v>0.39845362323053224</v>
      </c>
      <c r="AS32" s="451">
        <f t="shared" si="12"/>
        <v>0.34138737900764471</v>
      </c>
      <c r="AT32" s="451">
        <f t="shared" si="30"/>
        <v>0.26015899776182305</v>
      </c>
      <c r="AU32" s="451">
        <f t="shared" si="31"/>
        <v>-145.11680958055942</v>
      </c>
      <c r="AV32" s="451">
        <f t="shared" si="32"/>
        <v>-124.33328343458383</v>
      </c>
      <c r="AW32" s="451">
        <f t="shared" si="39"/>
        <v>-94.74990698485567</v>
      </c>
      <c r="AX32" s="593">
        <f t="shared" si="33"/>
        <v>5338.0831904194401</v>
      </c>
      <c r="AY32" s="393">
        <f t="shared" si="34"/>
        <v>4573.5667165654158</v>
      </c>
      <c r="AZ32" s="393">
        <f t="shared" si="35"/>
        <v>3485.350093015144</v>
      </c>
      <c r="BA32" s="387">
        <f>+SUM(Efficiency2!K125:K126)</f>
        <v>45.105692189999999</v>
      </c>
      <c r="BB32" s="388">
        <f t="shared" si="36"/>
        <v>1088.6827331599582</v>
      </c>
      <c r="BC32" s="413">
        <f t="shared" si="37"/>
        <v>0.85492535703840178</v>
      </c>
      <c r="BD32" s="413">
        <f t="shared" si="38"/>
        <v>0.8363106828720368</v>
      </c>
    </row>
    <row r="33" spans="1:56" s="393" customFormat="1" ht="12.75" customHeight="1">
      <c r="A33" s="407">
        <f t="shared" si="13"/>
        <v>46137</v>
      </c>
      <c r="B33" s="416" t="s">
        <v>7</v>
      </c>
      <c r="C33" s="394" t="s">
        <v>581</v>
      </c>
      <c r="D33" s="386">
        <f>+'25'!F42</f>
        <v>1207.3958333333333</v>
      </c>
      <c r="E33" s="386">
        <f>+'25'!G42</f>
        <v>881.39895833333333</v>
      </c>
      <c r="F33" s="45">
        <f t="shared" si="0"/>
        <v>0.26999999999999991</v>
      </c>
      <c r="G33" s="412">
        <f t="shared" si="14"/>
        <v>0.95286494591044935</v>
      </c>
      <c r="H33" s="408">
        <f t="shared" si="15"/>
        <v>0.89783459413432187</v>
      </c>
      <c r="I33" s="408">
        <f t="shared" si="16"/>
        <v>0.98045101402482093</v>
      </c>
      <c r="J33" s="413">
        <f t="shared" si="17"/>
        <v>0.88028283824555942</v>
      </c>
      <c r="K33" s="413">
        <f t="shared" si="18"/>
        <v>0.83297396903539256</v>
      </c>
      <c r="L33" s="387">
        <f>+SUM(Efficiency1!K130:K131)</f>
        <v>44.155126410810809</v>
      </c>
      <c r="M33" s="388">
        <f t="shared" si="19"/>
        <v>1139.7066838707692</v>
      </c>
      <c r="N33" s="387">
        <f>+SUM(Efficiency1!C130:C131)</f>
        <v>41.605056592905413</v>
      </c>
      <c r="O33" s="388">
        <f t="shared" si="19"/>
        <v>1088.0734042973206</v>
      </c>
      <c r="P33" s="388">
        <f>'25'!I38</f>
        <v>39.643999999999998</v>
      </c>
      <c r="Q33" s="388">
        <f t="shared" si="20"/>
        <v>980.31899999999996</v>
      </c>
      <c r="R33" s="388">
        <f>'25'!I40</f>
        <v>38.869</v>
      </c>
      <c r="S33" s="388">
        <f t="shared" si="21"/>
        <v>949.346</v>
      </c>
      <c r="T33" s="94">
        <f t="shared" si="1"/>
        <v>5705.5332934814733</v>
      </c>
      <c r="U33" s="12">
        <f t="shared" si="22"/>
        <v>130241.83536565544</v>
      </c>
      <c r="V33" s="288">
        <f t="shared" si="23"/>
        <v>143.91921333572478</v>
      </c>
      <c r="W33" s="288">
        <f t="shared" si="24"/>
        <v>132.85658583140329</v>
      </c>
      <c r="X33" s="289">
        <f t="shared" si="25"/>
        <v>146.78878523968905</v>
      </c>
      <c r="Y33" s="288">
        <f t="shared" si="26"/>
        <v>137.19111405710399</v>
      </c>
      <c r="Z33" s="390">
        <v>49.9</v>
      </c>
      <c r="AA33" s="389">
        <f t="shared" si="27"/>
        <v>1360.8999999999999</v>
      </c>
      <c r="AB33" s="392">
        <f t="shared" si="2"/>
        <v>1.2587024518212089</v>
      </c>
      <c r="AC33" s="392">
        <f t="shared" si="3"/>
        <v>1.3882215890949783</v>
      </c>
      <c r="AD33" s="387">
        <f t="shared" si="4"/>
        <v>1.283799428850755</v>
      </c>
      <c r="AE33" s="392">
        <f t="shared" si="5"/>
        <v>1.4335131764393592</v>
      </c>
      <c r="AF33" s="391">
        <f>+'25'!I46</f>
        <v>36967.400000000365</v>
      </c>
      <c r="AG33" s="389">
        <f t="shared" si="28"/>
        <v>884852.22000000067</v>
      </c>
      <c r="AH33" s="392">
        <f t="shared" si="6"/>
        <v>932.48410856624878</v>
      </c>
      <c r="AI33" s="392">
        <f t="shared" si="7"/>
        <v>902.61661765200984</v>
      </c>
      <c r="AJ33" s="392">
        <f t="shared" si="8"/>
        <v>951.07669350897538</v>
      </c>
      <c r="AK33" s="392">
        <f t="shared" si="9"/>
        <v>932.06504267148193</v>
      </c>
      <c r="AL33" s="447">
        <v>5810.9</v>
      </c>
      <c r="AM33" s="448">
        <v>5277.2</v>
      </c>
      <c r="AN33" s="448">
        <v>3465.8</v>
      </c>
      <c r="AO33" s="448">
        <f t="shared" si="40"/>
        <v>14553.899999999998</v>
      </c>
      <c r="AP33" s="587">
        <f>+[1]Apr!N28</f>
        <v>14290</v>
      </c>
      <c r="AQ33" s="480">
        <f t="shared" si="10"/>
        <v>-263.89999999999782</v>
      </c>
      <c r="AR33" s="451">
        <f t="shared" si="11"/>
        <v>0.39926755027861949</v>
      </c>
      <c r="AS33" s="451">
        <f t="shared" si="12"/>
        <v>0.36259696713595674</v>
      </c>
      <c r="AT33" s="451">
        <f t="shared" si="30"/>
        <v>0.23813548258542377</v>
      </c>
      <c r="AU33" s="451">
        <f t="shared" si="31"/>
        <v>-105.36670651852681</v>
      </c>
      <c r="AV33" s="451">
        <f t="shared" si="32"/>
        <v>-95.689339627178185</v>
      </c>
      <c r="AW33" s="451">
        <f>+AT33*AQ33</f>
        <v>-62.843953854292813</v>
      </c>
      <c r="AX33" s="593">
        <f t="shared" si="33"/>
        <v>5705.5332934814733</v>
      </c>
      <c r="AY33" s="393">
        <f t="shared" si="34"/>
        <v>5181.5106603728218</v>
      </c>
      <c r="AZ33" s="393">
        <f t="shared" si="35"/>
        <v>3402.9560461457072</v>
      </c>
      <c r="BA33" s="387">
        <f>+SUM(Efficiency2!K130:K131)</f>
        <v>44.155126410810809</v>
      </c>
      <c r="BB33" s="388">
        <f t="shared" si="36"/>
        <v>1132.8378595707691</v>
      </c>
      <c r="BC33" s="413">
        <f t="shared" si="37"/>
        <v>0.88028283824555942</v>
      </c>
      <c r="BD33" s="413">
        <f t="shared" si="38"/>
        <v>0.83802460518022071</v>
      </c>
    </row>
    <row r="34" spans="1:56" s="393" customFormat="1" ht="12.75" customHeight="1">
      <c r="A34" s="407">
        <f t="shared" si="13"/>
        <v>46138</v>
      </c>
      <c r="B34" s="416" t="s">
        <v>511</v>
      </c>
      <c r="C34" s="411" t="s">
        <v>718</v>
      </c>
      <c r="D34" s="386">
        <f>+'26'!F42</f>
        <v>1150.7083333333333</v>
      </c>
      <c r="E34" s="386">
        <f>+'26'!G42</f>
        <v>852.75312499999995</v>
      </c>
      <c r="F34" s="45">
        <f t="shared" si="0"/>
        <v>0.25893199840677839</v>
      </c>
      <c r="G34" s="412">
        <f t="shared" si="14"/>
        <v>0.96242939577718845</v>
      </c>
      <c r="H34" s="408">
        <f t="shared" si="15"/>
        <v>0.87481938130975989</v>
      </c>
      <c r="I34" s="408">
        <f t="shared" si="16"/>
        <v>0.96003682371825128</v>
      </c>
      <c r="J34" s="413">
        <f t="shared" si="17"/>
        <v>0.83985882015978752</v>
      </c>
      <c r="K34" s="413">
        <f t="shared" si="18"/>
        <v>0.83325458228651816</v>
      </c>
      <c r="L34" s="387">
        <f>+SUM(Efficiency1!K135:K136)</f>
        <v>48.425996159999997</v>
      </c>
      <c r="M34" s="388">
        <f t="shared" si="19"/>
        <v>1188.1326800307693</v>
      </c>
      <c r="N34" s="387">
        <f>+SUM(Efficiency1!C135:C136)</f>
        <v>44.017774379999999</v>
      </c>
      <c r="O34" s="388">
        <f t="shared" si="19"/>
        <v>1132.0911786773206</v>
      </c>
      <c r="P34" s="388">
        <f>'26'!I38</f>
        <v>42.364000000000004</v>
      </c>
      <c r="Q34" s="388">
        <f t="shared" si="20"/>
        <v>1022.683</v>
      </c>
      <c r="R34" s="388">
        <f>'26'!I40</f>
        <v>40.670999999999999</v>
      </c>
      <c r="S34" s="388">
        <f t="shared" si="21"/>
        <v>990.01700000000005</v>
      </c>
      <c r="T34" s="94">
        <f t="shared" si="1"/>
        <v>5538.3491607480109</v>
      </c>
      <c r="U34" s="12">
        <f t="shared" si="22"/>
        <v>135780.18452640346</v>
      </c>
      <c r="V34" s="288">
        <f t="shared" si="23"/>
        <v>130.73244171343617</v>
      </c>
      <c r="W34" s="288">
        <f t="shared" si="24"/>
        <v>132.76859449741852</v>
      </c>
      <c r="X34" s="289">
        <f t="shared" si="25"/>
        <v>136.17440340163782</v>
      </c>
      <c r="Y34" s="288">
        <f t="shared" si="26"/>
        <v>137.14934645203411</v>
      </c>
      <c r="Z34" s="390">
        <v>49.7</v>
      </c>
      <c r="AA34" s="389">
        <f t="shared" si="27"/>
        <v>1410.6</v>
      </c>
      <c r="AB34" s="392">
        <f t="shared" si="2"/>
        <v>1.1731658955717117</v>
      </c>
      <c r="AC34" s="392">
        <f t="shared" si="3"/>
        <v>1.3793130422623627</v>
      </c>
      <c r="AD34" s="387">
        <f t="shared" si="4"/>
        <v>1.2220009343266702</v>
      </c>
      <c r="AE34" s="392">
        <f t="shared" si="5"/>
        <v>1.4248240181734251</v>
      </c>
      <c r="AF34" s="391">
        <f>'26'!I46</f>
        <v>35779.22</v>
      </c>
      <c r="AG34" s="389">
        <f t="shared" si="28"/>
        <v>920631.44000000064</v>
      </c>
      <c r="AH34" s="392">
        <f t="shared" si="6"/>
        <v>844.56661316211864</v>
      </c>
      <c r="AI34" s="392">
        <f t="shared" si="7"/>
        <v>900.21193272988853</v>
      </c>
      <c r="AJ34" s="392">
        <f t="shared" si="8"/>
        <v>879.72314425512047</v>
      </c>
      <c r="AK34" s="392">
        <f t="shared" si="9"/>
        <v>929.91477924116521</v>
      </c>
      <c r="AL34" s="447">
        <v>5806</v>
      </c>
      <c r="AM34" s="448">
        <v>5673.9</v>
      </c>
      <c r="AN34" s="448">
        <v>3557.3</v>
      </c>
      <c r="AO34" s="448">
        <f t="shared" si="40"/>
        <v>15037.2</v>
      </c>
      <c r="AP34" s="587">
        <f>+[1]Apr!N29</f>
        <v>14344</v>
      </c>
      <c r="AQ34" s="480">
        <f t="shared" si="10"/>
        <v>-693.20000000000073</v>
      </c>
      <c r="AR34" s="451">
        <f t="shared" si="11"/>
        <v>0.38610911605884074</v>
      </c>
      <c r="AS34" s="451">
        <f t="shared" si="12"/>
        <v>0.37732423589498043</v>
      </c>
      <c r="AT34" s="451">
        <f t="shared" si="30"/>
        <v>0.23656664804617877</v>
      </c>
      <c r="AU34" s="451">
        <f t="shared" si="31"/>
        <v>-267.65083925198866</v>
      </c>
      <c r="AV34" s="451">
        <f t="shared" si="32"/>
        <v>-261.56116032240072</v>
      </c>
      <c r="AW34" s="451">
        <f>+AT34*AQ34</f>
        <v>-163.98800042561129</v>
      </c>
      <c r="AX34" s="593">
        <f t="shared" si="33"/>
        <v>5538.3491607480109</v>
      </c>
      <c r="AY34" s="393">
        <f t="shared" si="34"/>
        <v>5412.338839677599</v>
      </c>
      <c r="AZ34" s="393">
        <f t="shared" si="35"/>
        <v>3393.3119995743891</v>
      </c>
      <c r="BA34" s="387">
        <f>+SUM(Efficiency2!K135:K136)</f>
        <v>48.425996159999997</v>
      </c>
      <c r="BB34" s="388">
        <f t="shared" si="36"/>
        <v>1181.2638557307691</v>
      </c>
      <c r="BC34" s="413">
        <f t="shared" si="37"/>
        <v>0.83985882015978752</v>
      </c>
      <c r="BD34" s="413">
        <f t="shared" si="38"/>
        <v>0.83809979895435183</v>
      </c>
    </row>
    <row r="35" spans="1:56" s="393" customFormat="1" ht="12.75" customHeight="1">
      <c r="A35" s="407">
        <f t="shared" si="13"/>
        <v>46139</v>
      </c>
      <c r="B35" s="416" t="s">
        <v>513</v>
      </c>
      <c r="C35" s="411" t="s">
        <v>734</v>
      </c>
      <c r="D35" s="386">
        <f>+'27'!F42</f>
        <v>1180.0694444444443</v>
      </c>
      <c r="E35" s="386">
        <f>+'27'!G42</f>
        <v>892.86736111111111</v>
      </c>
      <c r="F35" s="45">
        <f t="shared" si="0"/>
        <v>0.24337727299476253</v>
      </c>
      <c r="G35" s="412">
        <f t="shared" si="14"/>
        <v>0.89623762903916337</v>
      </c>
      <c r="H35" s="408">
        <f t="shared" si="15"/>
        <v>0.85534755447643795</v>
      </c>
      <c r="I35" s="408">
        <f t="shared" si="16"/>
        <v>0.94602670650854426</v>
      </c>
      <c r="J35" s="413">
        <f t="shared" si="17"/>
        <v>0.80918162988148223</v>
      </c>
      <c r="K35" s="413">
        <f t="shared" si="18"/>
        <v>0.83228093799443037</v>
      </c>
      <c r="L35" s="387">
        <f>+SUM(Efficiency1!K140:K142)</f>
        <v>50.080227360000002</v>
      </c>
      <c r="M35" s="388">
        <f t="shared" si="19"/>
        <v>1238.2129073907693</v>
      </c>
      <c r="N35" s="387">
        <f>+SUM(Efficiency1!C140:C142)</f>
        <v>47.795359859999998</v>
      </c>
      <c r="O35" s="388">
        <f t="shared" si="19"/>
        <v>1179.8865385373206</v>
      </c>
      <c r="P35" s="388">
        <f>'27'!I38</f>
        <v>42.835999999999999</v>
      </c>
      <c r="Q35" s="388">
        <f t="shared" si="20"/>
        <v>1065.519</v>
      </c>
      <c r="R35" s="388">
        <f>'27'!I40</f>
        <v>40.524000000000001</v>
      </c>
      <c r="S35" s="388">
        <f t="shared" si="21"/>
        <v>1030.5410000000002</v>
      </c>
      <c r="T35" s="94">
        <f t="shared" si="1"/>
        <v>5748.046460445923</v>
      </c>
      <c r="U35" s="12">
        <f t="shared" si="22"/>
        <v>141528.23098684938</v>
      </c>
      <c r="V35" s="288">
        <f t="shared" si="23"/>
        <v>134.18728313675234</v>
      </c>
      <c r="W35" s="288">
        <f t="shared" si="24"/>
        <v>132.82562862496997</v>
      </c>
      <c r="X35" s="289">
        <f t="shared" si="25"/>
        <v>141.84301797566684</v>
      </c>
      <c r="Y35" s="288">
        <f t="shared" si="26"/>
        <v>137.33391586249294</v>
      </c>
      <c r="Z35" s="390">
        <v>55.1</v>
      </c>
      <c r="AA35" s="389">
        <f t="shared" si="27"/>
        <v>1465.6999999999998</v>
      </c>
      <c r="AB35" s="392">
        <f t="shared" si="2"/>
        <v>1.2863012419460267</v>
      </c>
      <c r="AC35" s="392">
        <f t="shared" si="3"/>
        <v>1.3755737814154414</v>
      </c>
      <c r="AD35" s="387">
        <f t="shared" si="4"/>
        <v>1.359688086072451</v>
      </c>
      <c r="AE35" s="392">
        <f t="shared" si="5"/>
        <v>1.422262675623774</v>
      </c>
      <c r="AF35" s="391">
        <f>'27'!I46</f>
        <v>35671.699999999997</v>
      </c>
      <c r="AG35" s="389">
        <f t="shared" si="28"/>
        <v>956303.1400000006</v>
      </c>
      <c r="AH35" s="392">
        <f t="shared" si="6"/>
        <v>832.7504902418525</v>
      </c>
      <c r="AI35" s="392">
        <f t="shared" si="7"/>
        <v>897.49984749216162</v>
      </c>
      <c r="AJ35" s="392">
        <f t="shared" si="8"/>
        <v>880.26107985391366</v>
      </c>
      <c r="AK35" s="392">
        <f t="shared" si="9"/>
        <v>927.96224507321938</v>
      </c>
      <c r="AL35" s="478">
        <v>6046.9</v>
      </c>
      <c r="AM35" s="448">
        <v>5971.3</v>
      </c>
      <c r="AN35" s="448">
        <v>3612.3</v>
      </c>
      <c r="AO35" s="448">
        <f t="shared" si="40"/>
        <v>15630.5</v>
      </c>
      <c r="AP35" s="588">
        <f>+[1]Apr!N30</f>
        <v>14858</v>
      </c>
      <c r="AQ35" s="480">
        <f t="shared" si="10"/>
        <v>-772.5</v>
      </c>
      <c r="AR35" s="451">
        <f t="shared" si="11"/>
        <v>0.3868654233709734</v>
      </c>
      <c r="AS35" s="451">
        <f t="shared" si="12"/>
        <v>0.38202872588848724</v>
      </c>
      <c r="AT35" s="451">
        <f t="shared" si="30"/>
        <v>0.23110585074053935</v>
      </c>
      <c r="AU35" s="451">
        <f t="shared" si="31"/>
        <v>-298.85353955407697</v>
      </c>
      <c r="AV35" s="451">
        <f t="shared" si="32"/>
        <v>-295.11719074885639</v>
      </c>
      <c r="AW35" s="451">
        <f>+AT35*AQ35</f>
        <v>-178.52926969706664</v>
      </c>
      <c r="AX35" s="593">
        <f t="shared" si="33"/>
        <v>5748.046460445923</v>
      </c>
      <c r="AY35" s="393">
        <f t="shared" si="34"/>
        <v>5676.1828092511441</v>
      </c>
      <c r="AZ35" s="393">
        <f t="shared" si="35"/>
        <v>3433.7707303029338</v>
      </c>
      <c r="BA35" s="387">
        <f>+SUM(Efficiency2!K140:K142)</f>
        <v>50.080227360000002</v>
      </c>
      <c r="BB35" s="388">
        <f t="shared" si="36"/>
        <v>1231.3440830907691</v>
      </c>
      <c r="BC35" s="413">
        <f t="shared" si="37"/>
        <v>0.80918162988148223</v>
      </c>
      <c r="BD35" s="413">
        <f t="shared" si="38"/>
        <v>0.83692366264778106</v>
      </c>
    </row>
    <row r="36" spans="1:56" s="393" customFormat="1" ht="12.75" customHeight="1">
      <c r="A36" s="407">
        <f t="shared" si="13"/>
        <v>46140</v>
      </c>
      <c r="B36" s="416" t="s">
        <v>513</v>
      </c>
      <c r="C36" s="411" t="s">
        <v>751</v>
      </c>
      <c r="D36" s="386">
        <f>+'28'!F42</f>
        <v>1216.9375</v>
      </c>
      <c r="E36" s="386">
        <f>+'28'!G42</f>
        <v>921.88291666666657</v>
      </c>
      <c r="F36" s="45">
        <f t="shared" si="0"/>
        <v>0.24245664492493113</v>
      </c>
      <c r="G36" s="412">
        <f t="shared" si="14"/>
        <v>0.95326141471496717</v>
      </c>
      <c r="H36" s="408">
        <f t="shared" si="15"/>
        <v>0.94010251869210781</v>
      </c>
      <c r="I36" s="408">
        <f t="shared" si="16"/>
        <v>0.98658415721917381</v>
      </c>
      <c r="J36" s="413">
        <f t="shared" si="17"/>
        <v>0.92749025110347572</v>
      </c>
      <c r="K36" s="413">
        <f t="shared" si="18"/>
        <v>0.83554845214370077</v>
      </c>
      <c r="L36" s="387">
        <f>+SUM(Efficiency1!K145:K146)</f>
        <v>44.004775199999997</v>
      </c>
      <c r="M36" s="388">
        <f t="shared" si="19"/>
        <v>1282.2176825907693</v>
      </c>
      <c r="N36" s="387">
        <f>+SUM(Efficiency1!C145:C146)</f>
        <v>43.397329799999994</v>
      </c>
      <c r="O36" s="388">
        <f t="shared" si="19"/>
        <v>1223.2838683373207</v>
      </c>
      <c r="P36" s="388">
        <f>'28'!I38</f>
        <v>41.369</v>
      </c>
      <c r="Q36" s="388">
        <f t="shared" si="20"/>
        <v>1106.8879999999999</v>
      </c>
      <c r="R36" s="388">
        <f>'28'!I40</f>
        <v>40.814</v>
      </c>
      <c r="S36" s="388">
        <f t="shared" si="21"/>
        <v>1071.3550000000002</v>
      </c>
      <c r="T36" s="94">
        <f t="shared" si="1"/>
        <v>5377.2349068092217</v>
      </c>
      <c r="U36" s="12">
        <f t="shared" si="22"/>
        <v>146905.46589365861</v>
      </c>
      <c r="V36" s="288">
        <f t="shared" si="23"/>
        <v>129.98223082040226</v>
      </c>
      <c r="W36" s="288">
        <f t="shared" si="24"/>
        <v>132.71935904414775</v>
      </c>
      <c r="X36" s="289">
        <f t="shared" si="25"/>
        <v>131.74976495342827</v>
      </c>
      <c r="Y36" s="288">
        <f t="shared" si="26"/>
        <v>137.12118382203712</v>
      </c>
      <c r="Z36" s="390">
        <v>53.6</v>
      </c>
      <c r="AA36" s="389">
        <f t="shared" si="27"/>
        <v>1519.2999999999997</v>
      </c>
      <c r="AB36" s="392">
        <f t="shared" si="2"/>
        <v>1.2956561676617757</v>
      </c>
      <c r="AC36" s="392">
        <f t="shared" si="3"/>
        <v>1.372586928397453</v>
      </c>
      <c r="AD36" s="387">
        <f t="shared" si="4"/>
        <v>1.31327485666683</v>
      </c>
      <c r="AE36" s="392">
        <f t="shared" si="5"/>
        <v>1.4181107102687711</v>
      </c>
      <c r="AF36" s="391">
        <f>'28'!I46</f>
        <v>38094.12000000073</v>
      </c>
      <c r="AG36" s="389">
        <f t="shared" si="28"/>
        <v>994397.26000000129</v>
      </c>
      <c r="AH36" s="392">
        <f t="shared" si="6"/>
        <v>920.83734197105878</v>
      </c>
      <c r="AI36" s="392">
        <f t="shared" si="7"/>
        <v>898.37206655054649</v>
      </c>
      <c r="AJ36" s="392">
        <f t="shared" si="8"/>
        <v>933.35914147108178</v>
      </c>
      <c r="AK36" s="392">
        <f t="shared" si="9"/>
        <v>928.16784352525633</v>
      </c>
      <c r="AL36" s="447">
        <v>5597.4</v>
      </c>
      <c r="AM36" s="483">
        <v>5318.8</v>
      </c>
      <c r="AN36" s="448">
        <v>3618.5</v>
      </c>
      <c r="AO36" s="448">
        <f t="shared" si="40"/>
        <v>14534.7</v>
      </c>
      <c r="AP36" s="590">
        <f>+[1]Apr!N31</f>
        <v>13963</v>
      </c>
      <c r="AQ36" s="480">
        <f t="shared" si="10"/>
        <v>-571.70000000000073</v>
      </c>
      <c r="AR36" s="451">
        <f t="shared" si="11"/>
        <v>0.38510598773968496</v>
      </c>
      <c r="AS36" s="451">
        <f t="shared" si="12"/>
        <v>0.36593806545714735</v>
      </c>
      <c r="AT36" s="451">
        <f t="shared" si="30"/>
        <v>0.24895594680316768</v>
      </c>
      <c r="AU36" s="451">
        <f>+AR36*AQ36</f>
        <v>-220.16509319077818</v>
      </c>
      <c r="AV36" s="451">
        <f t="shared" si="32"/>
        <v>-209.20679202185141</v>
      </c>
      <c r="AW36" s="451">
        <f>+AT36*AQ36</f>
        <v>-142.32811478737113</v>
      </c>
      <c r="AX36" s="593">
        <f t="shared" si="33"/>
        <v>5377.2349068092217</v>
      </c>
      <c r="AY36" s="393">
        <f t="shared" si="34"/>
        <v>5109.5932079781487</v>
      </c>
      <c r="AZ36" s="393">
        <f t="shared" si="35"/>
        <v>3476.1718852126287</v>
      </c>
      <c r="BA36" s="387">
        <f>+SUM(Efficiency2!K145:K146)</f>
        <v>43.795379999999994</v>
      </c>
      <c r="BB36" s="388">
        <f t="shared" si="36"/>
        <v>1275.1394630907691</v>
      </c>
      <c r="BC36" s="413">
        <f t="shared" si="37"/>
        <v>0.93192478293372505</v>
      </c>
      <c r="BD36" s="413">
        <f t="shared" si="38"/>
        <v>0.84018652940375449</v>
      </c>
    </row>
    <row r="37" spans="1:56" s="393" customFormat="1" ht="12.75" customHeight="1">
      <c r="A37" s="407">
        <f t="shared" si="13"/>
        <v>46141</v>
      </c>
      <c r="B37" s="416" t="s">
        <v>513</v>
      </c>
      <c r="C37" s="411" t="s">
        <v>764</v>
      </c>
      <c r="D37" s="386">
        <f>+'29'!F42</f>
        <v>1193.7956810631229</v>
      </c>
      <c r="E37" s="386">
        <f>+'29'!G42</f>
        <v>893.5975913621262</v>
      </c>
      <c r="F37" s="45">
        <f t="shared" si="0"/>
        <v>0.25146521675606859</v>
      </c>
      <c r="G37" s="412">
        <f t="shared" si="14"/>
        <v>0.70381939410879935</v>
      </c>
      <c r="H37" s="408">
        <f t="shared" si="15"/>
        <v>0.67279772713903951</v>
      </c>
      <c r="I37" s="408">
        <f t="shared" si="16"/>
        <v>0.97304389312977113</v>
      </c>
      <c r="J37" s="413">
        <f t="shared" si="17"/>
        <v>0.65466171970423248</v>
      </c>
      <c r="K37" s="413">
        <f t="shared" si="18"/>
        <v>0.82959796080946202</v>
      </c>
      <c r="L37" s="387">
        <f>+Efficiency1!K150</f>
        <v>43.614891692307701</v>
      </c>
      <c r="M37" s="388">
        <f t="shared" si="19"/>
        <v>1325.8325742830771</v>
      </c>
      <c r="N37" s="387">
        <f>+Efficiency1!C150</f>
        <v>41.692514081906474</v>
      </c>
      <c r="O37" s="388">
        <f t="shared" si="19"/>
        <v>1264.9763824192271</v>
      </c>
      <c r="P37" s="388">
        <f>'29'!I38</f>
        <v>29.343999999999998</v>
      </c>
      <c r="Q37" s="388">
        <f t="shared" si="20"/>
        <v>1136.232</v>
      </c>
      <c r="R37" s="388">
        <f>'29'!I40</f>
        <v>28.553000000000001</v>
      </c>
      <c r="S37" s="388">
        <f t="shared" si="21"/>
        <v>1099.9080000000004</v>
      </c>
      <c r="T37" s="94">
        <f t="shared" si="1"/>
        <v>4486.6732065963797</v>
      </c>
      <c r="U37" s="12">
        <f t="shared" si="22"/>
        <v>151392.13910025498</v>
      </c>
      <c r="V37" s="288">
        <f t="shared" si="23"/>
        <v>152.89916870898242</v>
      </c>
      <c r="W37" s="288">
        <f t="shared" si="24"/>
        <v>133.24051698971246</v>
      </c>
      <c r="X37" s="289">
        <f t="shared" si="25"/>
        <v>157.13491425056492</v>
      </c>
      <c r="Y37" s="288">
        <f t="shared" si="26"/>
        <v>137.64072913394114</v>
      </c>
      <c r="Z37" s="390">
        <v>48.6</v>
      </c>
      <c r="AA37" s="389">
        <f t="shared" si="27"/>
        <v>1567.8999999999996</v>
      </c>
      <c r="AB37" s="392">
        <f t="shared" si="2"/>
        <v>1.6562159214830972</v>
      </c>
      <c r="AC37" s="392">
        <f t="shared" si="3"/>
        <v>1.3799118489885867</v>
      </c>
      <c r="AD37" s="387">
        <f t="shared" si="4"/>
        <v>1.7020978531152593</v>
      </c>
      <c r="AE37" s="392">
        <f t="shared" si="5"/>
        <v>1.4254828585663519</v>
      </c>
      <c r="AF37" s="391">
        <f>'29'!I46</f>
        <v>32807.739999998907</v>
      </c>
      <c r="AG37" s="389">
        <f t="shared" si="28"/>
        <v>1027205.0000000002</v>
      </c>
      <c r="AH37" s="392">
        <f t="shared" si="6"/>
        <v>1118.0391221373675</v>
      </c>
      <c r="AI37" s="392">
        <f t="shared" si="7"/>
        <v>904.04512458723241</v>
      </c>
      <c r="AJ37" s="392">
        <f t="shared" si="8"/>
        <v>1149.0120127481841</v>
      </c>
      <c r="AK37" s="392">
        <f t="shared" si="9"/>
        <v>933.90083534259202</v>
      </c>
      <c r="AL37" s="447">
        <v>4676</v>
      </c>
      <c r="AM37" s="448">
        <v>2285.8000000000002</v>
      </c>
      <c r="AN37" s="448">
        <v>2722.3</v>
      </c>
      <c r="AO37" s="448">
        <f t="shared" si="40"/>
        <v>9684.1</v>
      </c>
      <c r="AP37" s="591">
        <f>+[1]Apr!N32</f>
        <v>9292</v>
      </c>
      <c r="AQ37" s="480">
        <f t="shared" si="10"/>
        <v>-392.10000000000036</v>
      </c>
      <c r="AR37" s="451">
        <f t="shared" si="11"/>
        <v>0.4828533369130843</v>
      </c>
      <c r="AS37" s="451">
        <f t="shared" si="12"/>
        <v>0.23603638954575026</v>
      </c>
      <c r="AT37" s="451">
        <f t="shared" si="30"/>
        <v>0.28111027354116547</v>
      </c>
      <c r="AU37" s="451">
        <f t="shared" si="31"/>
        <v>-189.32679340362054</v>
      </c>
      <c r="AV37" s="451">
        <f t="shared" si="32"/>
        <v>-92.549868340888764</v>
      </c>
      <c r="AW37" s="451">
        <f t="shared" si="39"/>
        <v>-110.22333825549109</v>
      </c>
      <c r="AX37" s="593">
        <f t="shared" si="33"/>
        <v>4486.6732065963797</v>
      </c>
      <c r="AY37" s="393">
        <f t="shared" si="34"/>
        <v>2193.2501316591115</v>
      </c>
      <c r="AZ37" s="393">
        <f t="shared" si="35"/>
        <v>2612.0766617445092</v>
      </c>
      <c r="BA37" s="387">
        <f>+Efficiency2!K150</f>
        <v>35.255370784615387</v>
      </c>
      <c r="BB37" s="388">
        <f t="shared" si="36"/>
        <v>1310.3948338753846</v>
      </c>
      <c r="BC37" s="413">
        <f t="shared" si="37"/>
        <v>0.80989078726296804</v>
      </c>
      <c r="BD37" s="413">
        <f t="shared" si="38"/>
        <v>0.83937144100844263</v>
      </c>
    </row>
    <row r="38" spans="1:56" s="393" customFormat="1" ht="12.75" customHeight="1">
      <c r="A38" s="407">
        <f t="shared" si="13"/>
        <v>46142</v>
      </c>
      <c r="B38" s="416" t="s">
        <v>668</v>
      </c>
      <c r="C38" s="411" t="s">
        <v>786</v>
      </c>
      <c r="D38" s="386">
        <f>+'30'!F42</f>
        <v>1208.083735909823</v>
      </c>
      <c r="E38" s="386">
        <f>+'30'!G42</f>
        <v>901.3091787439613</v>
      </c>
      <c r="F38" s="45">
        <f t="shared" si="0"/>
        <v>0.25393484577857173</v>
      </c>
      <c r="G38" s="412">
        <f t="shared" si="14"/>
        <v>0.81458587682581296</v>
      </c>
      <c r="H38" s="408">
        <f t="shared" si="15"/>
        <v>0.77863675111820119</v>
      </c>
      <c r="I38" s="408">
        <f t="shared" si="16"/>
        <v>0.87826887114488428</v>
      </c>
      <c r="J38" s="413">
        <f t="shared" si="17"/>
        <v>0.68385242043650274</v>
      </c>
      <c r="K38" s="413">
        <f t="shared" si="18"/>
        <v>0.82499207068408442</v>
      </c>
      <c r="L38" s="387">
        <f>+SUM(Efficiency1!K156:K157)</f>
        <v>43.266645135384607</v>
      </c>
      <c r="M38" s="388">
        <f t="shared" si="19"/>
        <v>1369.0992194184616</v>
      </c>
      <c r="N38" s="387">
        <f>+SUM(Efficiency1!C156:C157)</f>
        <v>41.357211017794114</v>
      </c>
      <c r="O38" s="388">
        <f t="shared" si="19"/>
        <v>1306.3335934370211</v>
      </c>
      <c r="P38" s="388">
        <f>'30'!I38</f>
        <v>33.688999999999993</v>
      </c>
      <c r="Q38" s="388">
        <f t="shared" si="20"/>
        <v>1169.921</v>
      </c>
      <c r="R38" s="388">
        <f>'30'!I40</f>
        <v>29.588000000000001</v>
      </c>
      <c r="S38" s="388">
        <f t="shared" si="21"/>
        <v>1129.4960000000003</v>
      </c>
      <c r="T38" s="94">
        <f t="shared" si="1"/>
        <v>4742.5323845730964</v>
      </c>
      <c r="U38" s="12">
        <f t="shared" si="22"/>
        <v>156134.67148482808</v>
      </c>
      <c r="V38" s="288">
        <f t="shared" si="23"/>
        <v>140.77391387613457</v>
      </c>
      <c r="W38" s="288">
        <f t="shared" si="24"/>
        <v>133.45744839594133</v>
      </c>
      <c r="X38" s="289">
        <f t="shared" si="25"/>
        <v>160.28566934477141</v>
      </c>
      <c r="Y38" s="288">
        <f t="shared" si="26"/>
        <v>138.23393042988027</v>
      </c>
      <c r="Z38" s="390">
        <v>47.7</v>
      </c>
      <c r="AA38" s="389">
        <f t="shared" si="27"/>
        <v>1615.5999999999997</v>
      </c>
      <c r="AB38" s="392">
        <f t="shared" si="2"/>
        <v>1.4158924277954232</v>
      </c>
      <c r="AC38" s="392">
        <f t="shared" si="3"/>
        <v>1.3809479443483788</v>
      </c>
      <c r="AD38" s="387">
        <f t="shared" si="4"/>
        <v>1.6121400567797757</v>
      </c>
      <c r="AE38" s="392">
        <f t="shared" si="5"/>
        <v>1.4303724847188473</v>
      </c>
      <c r="AF38" s="391">
        <f>'30'!I46</f>
        <v>37686.180000001092</v>
      </c>
      <c r="AG38" s="389">
        <f t="shared" si="28"/>
        <v>1064891.1800000013</v>
      </c>
      <c r="AH38" s="392">
        <f t="shared" si="6"/>
        <v>1118.6494107869364</v>
      </c>
      <c r="AI38" s="392">
        <f t="shared" si="7"/>
        <v>910.22486133679229</v>
      </c>
      <c r="AJ38" s="392">
        <f t="shared" si="8"/>
        <v>1273.6981208598449</v>
      </c>
      <c r="AK38" s="392">
        <f t="shared" si="9"/>
        <v>942.80208163641225</v>
      </c>
      <c r="AL38" s="447">
        <v>4929.6000000000004</v>
      </c>
      <c r="AM38" s="448">
        <v>4616.3999999999996</v>
      </c>
      <c r="AN38" s="448">
        <v>3369.1</v>
      </c>
      <c r="AO38" s="448">
        <f t="shared" si="40"/>
        <v>12915.1</v>
      </c>
      <c r="AP38" s="594">
        <f>+[1]Apr!N33</f>
        <v>12425</v>
      </c>
      <c r="AQ38" s="480">
        <f t="shared" si="10"/>
        <v>-490.10000000000036</v>
      </c>
      <c r="AR38" s="451">
        <f t="shared" ref="AR38" si="41">+AL38/AO38</f>
        <v>0.38169274724934382</v>
      </c>
      <c r="AS38" s="451">
        <f t="shared" ref="AS38" si="42">+AM38/AO38</f>
        <v>0.35744206394065858</v>
      </c>
      <c r="AT38" s="451">
        <f t="shared" ref="AT38" si="43">1-AR38-AS38</f>
        <v>0.26086518880999754</v>
      </c>
      <c r="AU38" s="451">
        <f t="shared" ref="AU38" si="44">+AR38*AQ38</f>
        <v>-187.06761542690356</v>
      </c>
      <c r="AV38" s="451">
        <f t="shared" ref="AV38" si="45">+AS38*AQ38</f>
        <v>-175.18235553731691</v>
      </c>
      <c r="AW38" s="451">
        <f t="shared" ref="AW38" si="46">+AT38*AQ38</f>
        <v>-127.85002903577988</v>
      </c>
      <c r="AX38" s="593">
        <f t="shared" si="33"/>
        <v>4742.5323845730964</v>
      </c>
      <c r="AY38" s="393">
        <f t="shared" si="34"/>
        <v>4441.217644462683</v>
      </c>
      <c r="AZ38" s="393">
        <f t="shared" si="35"/>
        <v>3241.2499709642202</v>
      </c>
      <c r="BA38" s="387">
        <f>+SUM(Efficiency2!K156:K157)</f>
        <v>37.20184969538461</v>
      </c>
      <c r="BB38" s="388">
        <f t="shared" si="36"/>
        <v>1347.5966835707693</v>
      </c>
      <c r="BC38" s="413">
        <f t="shared" si="37"/>
        <v>0.79533679755904152</v>
      </c>
      <c r="BD38" s="413">
        <f t="shared" si="38"/>
        <v>0.83815581751591972</v>
      </c>
    </row>
    <row r="39" spans="1:56" s="393" customFormat="1" ht="12.75" customHeight="1">
      <c r="A39" s="407"/>
      <c r="B39" s="416"/>
      <c r="C39" s="385"/>
      <c r="D39" s="386"/>
      <c r="E39" s="386"/>
      <c r="F39" s="45"/>
      <c r="G39" s="412"/>
      <c r="H39" s="408"/>
      <c r="I39" s="408"/>
      <c r="J39" s="413"/>
      <c r="K39" s="413"/>
      <c r="L39" s="387"/>
      <c r="M39" s="388"/>
      <c r="N39" s="388"/>
      <c r="O39" s="388"/>
      <c r="P39" s="388"/>
      <c r="Q39" s="388"/>
      <c r="R39" s="388"/>
      <c r="S39" s="388"/>
      <c r="T39" s="94"/>
      <c r="U39" s="12"/>
      <c r="V39" s="288"/>
      <c r="W39" s="288"/>
      <c r="X39" s="289"/>
      <c r="Y39" s="288"/>
      <c r="Z39" s="390"/>
      <c r="AA39" s="389"/>
      <c r="AB39" s="392"/>
      <c r="AC39" s="392"/>
      <c r="AD39" s="387"/>
      <c r="AE39" s="392"/>
      <c r="AF39" s="391"/>
      <c r="AG39" s="389"/>
      <c r="AH39" s="392"/>
      <c r="AI39" s="392"/>
      <c r="AJ39" s="392"/>
      <c r="AK39" s="392"/>
      <c r="AL39" s="447"/>
      <c r="AM39" s="448"/>
      <c r="AN39" s="448"/>
      <c r="AO39" s="448"/>
      <c r="AP39" s="450"/>
      <c r="AQ39" s="480"/>
      <c r="AR39" s="451"/>
      <c r="AS39" s="451"/>
      <c r="AT39" s="451"/>
      <c r="AU39" s="451"/>
      <c r="AV39" s="451"/>
      <c r="AW39" s="451"/>
      <c r="AX39" s="593"/>
      <c r="BA39" s="387"/>
      <c r="BB39" s="388"/>
      <c r="BC39" s="413"/>
      <c r="BD39" s="413"/>
    </row>
    <row r="40" spans="1:56" s="393" customFormat="1" ht="12.75" customHeight="1" thickBot="1">
      <c r="A40" s="407"/>
      <c r="B40" s="395"/>
      <c r="C40" s="395"/>
      <c r="D40" s="395"/>
      <c r="E40" s="395"/>
      <c r="F40" s="409"/>
      <c r="G40" s="412"/>
      <c r="H40" s="408"/>
      <c r="I40" s="408"/>
      <c r="J40" s="413"/>
      <c r="K40" s="419"/>
      <c r="L40" s="396"/>
      <c r="M40" s="397"/>
      <c r="N40" s="397"/>
      <c r="O40" s="397"/>
      <c r="P40" s="397"/>
      <c r="Q40" s="397"/>
      <c r="R40" s="397"/>
      <c r="S40" s="397"/>
      <c r="T40" s="291"/>
      <c r="U40" s="290"/>
      <c r="V40" s="292"/>
      <c r="W40" s="292"/>
      <c r="X40" s="289"/>
      <c r="Y40" s="292"/>
      <c r="Z40" s="398"/>
      <c r="AA40" s="398"/>
      <c r="AB40" s="399"/>
      <c r="AC40" s="399"/>
      <c r="AD40" s="396"/>
      <c r="AE40" s="399"/>
      <c r="AF40" s="398"/>
      <c r="AG40" s="398"/>
      <c r="AH40" s="399"/>
      <c r="AI40" s="399"/>
      <c r="AJ40" s="399"/>
      <c r="AK40" s="399"/>
      <c r="AP40" s="450"/>
      <c r="AQ40" s="481"/>
      <c r="AX40" s="451"/>
      <c r="AY40" s="451"/>
      <c r="AZ40" s="451"/>
      <c r="BA40" s="396"/>
      <c r="BB40" s="397"/>
      <c r="BC40" s="413"/>
      <c r="BD40" s="419"/>
    </row>
    <row r="41" spans="1:56" s="393" customFormat="1" ht="12.75" customHeight="1" thickTop="1" thickBot="1">
      <c r="A41" s="400"/>
      <c r="B41" s="401"/>
      <c r="C41" s="401"/>
      <c r="D41" s="401"/>
      <c r="E41" s="401"/>
      <c r="F41" s="410"/>
      <c r="G41" s="412">
        <f t="shared" si="14"/>
        <v>0.89557598907173963</v>
      </c>
      <c r="H41" s="408">
        <f t="shared" si="15"/>
        <v>0.85451878388838431</v>
      </c>
      <c r="I41" s="408">
        <f t="shared" si="16"/>
        <v>0.96544638484136991</v>
      </c>
      <c r="J41" s="413">
        <f t="shared" si="17"/>
        <v>0.82499207068408442</v>
      </c>
      <c r="K41" s="419"/>
      <c r="L41" s="402">
        <f>SUM(L9:L39)</f>
        <v>1369.0992194184616</v>
      </c>
      <c r="M41" s="403"/>
      <c r="N41" s="402">
        <f>SUM(N9:N39)</f>
        <v>1306.3335934370211</v>
      </c>
      <c r="O41" s="403"/>
      <c r="P41" s="402">
        <f>SUM(P9:P39)</f>
        <v>1169.921</v>
      </c>
      <c r="Q41" s="403"/>
      <c r="R41" s="402">
        <f>SUM(R9:R39)</f>
        <v>1129.4960000000003</v>
      </c>
      <c r="S41" s="403"/>
      <c r="T41" s="293">
        <f>SUM(T9:T39)</f>
        <v>156134.67148482808</v>
      </c>
      <c r="U41" s="293"/>
      <c r="V41" s="294">
        <f>T41/P41</f>
        <v>133.45744839594133</v>
      </c>
      <c r="W41" s="294"/>
      <c r="X41" s="289">
        <f>IF(AND(R41&gt;0,T41&gt;0),(T41/(R41*1000))*1000,0)</f>
        <v>138.23393042988027</v>
      </c>
      <c r="Y41" s="294"/>
      <c r="Z41" s="404">
        <f>SUM(Z9:Z40)</f>
        <v>1615.5999999999997</v>
      </c>
      <c r="AA41" s="404"/>
      <c r="AB41" s="405">
        <f>Z41/P41</f>
        <v>1.3809479443483788</v>
      </c>
      <c r="AC41" s="405"/>
      <c r="AD41" s="406">
        <f>Z41/R41</f>
        <v>1.4303724847188473</v>
      </c>
      <c r="AE41" s="405"/>
      <c r="AF41" s="404">
        <f>SUM(AF9:AF39)</f>
        <v>1064891.1800000013</v>
      </c>
      <c r="AG41" s="404"/>
      <c r="AH41" s="405">
        <f>AF41/P41</f>
        <v>910.22486133679217</v>
      </c>
      <c r="AI41" s="405"/>
      <c r="AJ41" s="405">
        <f>AF41/R41</f>
        <v>942.80208163641214</v>
      </c>
      <c r="AK41" s="405"/>
      <c r="AP41" s="450">
        <f>SUM(AP9:AP40)</f>
        <v>408184</v>
      </c>
      <c r="AQ41" s="481"/>
      <c r="AX41" s="451">
        <f>SUM(AX9:AX39)</f>
        <v>156134.67148482808</v>
      </c>
      <c r="AY41" s="451">
        <f>SUM(AY9:AY39)</f>
        <v>149964.19013422553</v>
      </c>
      <c r="AZ41" s="451">
        <f>SUM(AZ9:AZ39)</f>
        <v>102085.13838094642</v>
      </c>
      <c r="BA41" s="402">
        <f>SUM(BA9:BA39)</f>
        <v>1347.5966835707693</v>
      </c>
      <c r="BB41" s="403"/>
      <c r="BC41" s="413">
        <f t="shared" si="37"/>
        <v>0.83815581751591972</v>
      </c>
      <c r="BD41" s="419"/>
    </row>
    <row r="42" spans="1:56" ht="12.75" customHeight="1" thickTop="1">
      <c r="S42" s="277"/>
      <c r="T42" s="277"/>
      <c r="U42" s="277"/>
      <c r="V42" s="277"/>
      <c r="W42" s="277"/>
      <c r="X42" s="277"/>
      <c r="Y42" s="277"/>
      <c r="Z42" s="277"/>
      <c r="AA42" s="277"/>
      <c r="AD42" s="277"/>
      <c r="AF42" s="277"/>
      <c r="AG42" s="277"/>
    </row>
    <row r="43" spans="1:56" ht="12.75" customHeight="1">
      <c r="S43" s="277"/>
      <c r="T43" s="277"/>
      <c r="U43" s="277"/>
      <c r="V43" s="277"/>
      <c r="W43" s="277"/>
      <c r="X43" s="277"/>
      <c r="Y43" s="277"/>
      <c r="Z43" s="277"/>
      <c r="AA43" s="277"/>
      <c r="AD43" s="277"/>
      <c r="AF43" s="277"/>
      <c r="AG43" s="277"/>
      <c r="AY43" s="3">
        <f>SUM(AX41:AZ41)</f>
        <v>408184.00000000006</v>
      </c>
    </row>
    <row r="44" spans="1:56">
      <c r="S44" s="277"/>
      <c r="T44" s="277"/>
      <c r="U44" s="277"/>
      <c r="V44" s="277"/>
      <c r="W44" s="277"/>
      <c r="X44" s="277"/>
      <c r="Y44" s="277"/>
      <c r="Z44" s="277"/>
      <c r="AA44" s="277"/>
      <c r="AD44" s="277"/>
      <c r="AF44" s="277"/>
      <c r="AG44" s="277"/>
    </row>
    <row r="45" spans="1:56">
      <c r="R45" s="295"/>
      <c r="S45" s="296"/>
      <c r="T45" s="296"/>
      <c r="U45" s="296"/>
      <c r="V45" s="296"/>
      <c r="W45" s="296"/>
      <c r="X45" s="296"/>
      <c r="Y45" s="296"/>
    </row>
    <row r="46" spans="1:56">
      <c r="R46" s="297"/>
    </row>
    <row r="47" spans="1:56">
      <c r="R47" s="297"/>
    </row>
    <row r="48" spans="1:56">
      <c r="R48" s="297"/>
    </row>
    <row r="49" spans="18:56">
      <c r="R49" s="297"/>
      <c r="BC49"/>
      <c r="BD49"/>
    </row>
    <row r="50" spans="18:56">
      <c r="R50" s="297"/>
      <c r="BC50"/>
      <c r="BD50"/>
    </row>
    <row r="51" spans="18:56">
      <c r="R51" s="297"/>
      <c r="BC51"/>
      <c r="BD51"/>
    </row>
    <row r="52" spans="18:56">
      <c r="R52" s="297"/>
      <c r="BC52"/>
      <c r="BD52"/>
    </row>
    <row r="53" spans="18:56">
      <c r="R53" s="297"/>
      <c r="BC53"/>
      <c r="BD53"/>
    </row>
    <row r="54" spans="18:56">
      <c r="R54" s="297"/>
      <c r="BC54"/>
      <c r="BD54"/>
    </row>
    <row r="55" spans="18:56">
      <c r="R55" s="297"/>
      <c r="BC55"/>
      <c r="BD55"/>
    </row>
    <row r="56" spans="18:56">
      <c r="R56" s="297"/>
      <c r="BC56"/>
      <c r="BD56"/>
    </row>
    <row r="57" spans="18:56">
      <c r="R57" s="297"/>
      <c r="BC57"/>
      <c r="BD57"/>
    </row>
    <row r="58" spans="18:56">
      <c r="R58" s="297"/>
      <c r="BC58"/>
      <c r="BD58"/>
    </row>
    <row r="59" spans="18:56">
      <c r="R59" s="297"/>
      <c r="BC59"/>
      <c r="BD59"/>
    </row>
    <row r="60" spans="18:56">
      <c r="BC60"/>
      <c r="BD60"/>
    </row>
    <row r="65536" spans="3:54">
      <c r="C65536" s="298"/>
      <c r="BA65536"/>
      <c r="BB65536"/>
    </row>
  </sheetData>
  <mergeCells count="34">
    <mergeCell ref="A3:AK4"/>
    <mergeCell ref="AF7:AG7"/>
    <mergeCell ref="AH7:AI7"/>
    <mergeCell ref="AJ7:AK7"/>
    <mergeCell ref="D6:D8"/>
    <mergeCell ref="A6:A8"/>
    <mergeCell ref="B6:B8"/>
    <mergeCell ref="C6:C8"/>
    <mergeCell ref="J6:K7"/>
    <mergeCell ref="L6:M7"/>
    <mergeCell ref="H6:H8"/>
    <mergeCell ref="I6:I8"/>
    <mergeCell ref="E6:E8"/>
    <mergeCell ref="BC6:BD7"/>
    <mergeCell ref="N6:O7"/>
    <mergeCell ref="Z7:AA7"/>
    <mergeCell ref="AB7:AC7"/>
    <mergeCell ref="AD7:AE7"/>
    <mergeCell ref="Z6:AE6"/>
    <mergeCell ref="P6:Q7"/>
    <mergeCell ref="R6:S7"/>
    <mergeCell ref="T6:Y6"/>
    <mergeCell ref="T7:U7"/>
    <mergeCell ref="V7:W7"/>
    <mergeCell ref="X7:Y7"/>
    <mergeCell ref="AF6:AK6"/>
    <mergeCell ref="AR7:AT7"/>
    <mergeCell ref="AU7:AW7"/>
    <mergeCell ref="AX7:AZ7"/>
    <mergeCell ref="AL7:AN7"/>
    <mergeCell ref="AO7:AO8"/>
    <mergeCell ref="F6:F8"/>
    <mergeCell ref="G6:G8"/>
    <mergeCell ref="BA6:BB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4"/>
  <sheetViews>
    <sheetView zoomScaleNormal="100" workbookViewId="0">
      <pane xSplit="3" ySplit="6" topLeftCell="I10" activePane="bottomRight" state="frozen"/>
      <selection pane="topRight" activeCell="D1" sqref="D1"/>
      <selection pane="bottomLeft" activeCell="A7" sqref="A7"/>
      <selection pane="bottomRight" activeCell="L22" sqref="L22"/>
    </sheetView>
  </sheetViews>
  <sheetFormatPr defaultColWidth="9.140625" defaultRowHeight="12.75"/>
  <cols>
    <col min="1" max="3" width="10.85546875" customWidth="1"/>
    <col min="4" max="4" width="18.85546875" customWidth="1"/>
    <col min="5" max="5" width="12.85546875" customWidth="1"/>
    <col min="6" max="6" width="11.5703125" customWidth="1"/>
    <col min="7" max="7" width="12" customWidth="1"/>
    <col min="8" max="8" width="12.28515625" customWidth="1"/>
    <col min="9" max="9" width="13" customWidth="1"/>
    <col min="10" max="11" width="11" customWidth="1"/>
    <col min="12" max="12" width="13.5703125" customWidth="1"/>
    <col min="13" max="13" width="12.42578125" customWidth="1"/>
    <col min="14" max="15" width="13.140625" customWidth="1"/>
    <col min="16" max="16" width="16.28515625" bestFit="1" customWidth="1"/>
    <col min="17" max="18" width="10.85546875" bestFit="1" customWidth="1"/>
    <col min="21" max="21" width="39" bestFit="1" customWidth="1"/>
  </cols>
  <sheetData>
    <row r="2" spans="1:23" ht="24.75" customHeight="1">
      <c r="A2" s="617" t="s">
        <v>21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299"/>
      <c r="R2" s="299"/>
      <c r="S2" s="299"/>
      <c r="T2" s="299"/>
      <c r="U2" s="299"/>
    </row>
    <row r="3" spans="1:23" ht="12.75" customHeight="1">
      <c r="A3" s="299"/>
      <c r="B3" s="299"/>
      <c r="C3" s="299"/>
      <c r="D3" s="300"/>
      <c r="E3" s="301"/>
      <c r="F3" s="301"/>
      <c r="G3" s="301"/>
      <c r="H3" s="302"/>
      <c r="I3" s="301"/>
      <c r="J3" s="301"/>
      <c r="K3" s="301"/>
      <c r="L3" s="303"/>
      <c r="M3" s="301"/>
      <c r="N3" s="301"/>
      <c r="O3" s="301"/>
      <c r="P3" s="301"/>
      <c r="Q3" s="5"/>
      <c r="R3" s="5"/>
      <c r="S3" s="299"/>
      <c r="T3" s="299"/>
      <c r="U3" s="299"/>
    </row>
    <row r="4" spans="1:23">
      <c r="A4" s="625" t="s">
        <v>8</v>
      </c>
      <c r="B4" s="628" t="s">
        <v>22</v>
      </c>
      <c r="C4" s="628" t="s">
        <v>23</v>
      </c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9" t="s">
        <v>185</v>
      </c>
      <c r="Q4" s="620"/>
      <c r="R4" s="621"/>
      <c r="U4" s="362" t="s">
        <v>0</v>
      </c>
    </row>
    <row r="5" spans="1:23" ht="14.25" customHeight="1">
      <c r="A5" s="626"/>
      <c r="B5" s="629"/>
      <c r="C5" s="629"/>
      <c r="D5" s="631" t="s">
        <v>303</v>
      </c>
      <c r="E5" s="632"/>
      <c r="F5" s="632"/>
      <c r="G5" s="633"/>
      <c r="H5" s="634" t="s">
        <v>304</v>
      </c>
      <c r="I5" s="635"/>
      <c r="J5" s="635"/>
      <c r="K5" s="636"/>
      <c r="L5" s="637" t="s">
        <v>303</v>
      </c>
      <c r="M5" s="638"/>
      <c r="N5" s="638"/>
      <c r="O5" s="639"/>
      <c r="P5" s="622"/>
      <c r="Q5" s="623"/>
      <c r="R5" s="624"/>
    </row>
    <row r="6" spans="1:23" ht="14.25" customHeight="1">
      <c r="A6" s="627"/>
      <c r="B6" s="630"/>
      <c r="C6" s="630"/>
      <c r="D6" s="507" t="s">
        <v>24</v>
      </c>
      <c r="E6" s="370" t="s">
        <v>25</v>
      </c>
      <c r="F6" s="371" t="s">
        <v>26</v>
      </c>
      <c r="G6" s="371" t="s">
        <v>27</v>
      </c>
      <c r="H6" s="508" t="s">
        <v>24</v>
      </c>
      <c r="I6" s="372" t="s">
        <v>25</v>
      </c>
      <c r="J6" s="373" t="s">
        <v>26</v>
      </c>
      <c r="K6" s="373" t="s">
        <v>27</v>
      </c>
      <c r="L6" s="509" t="s">
        <v>24</v>
      </c>
      <c r="M6" s="374" t="s">
        <v>25</v>
      </c>
      <c r="N6" s="375" t="s">
        <v>26</v>
      </c>
      <c r="O6" s="375" t="s">
        <v>27</v>
      </c>
      <c r="P6" s="376" t="s">
        <v>25</v>
      </c>
      <c r="Q6" s="377" t="s">
        <v>26</v>
      </c>
      <c r="R6" s="377" t="s">
        <v>27</v>
      </c>
      <c r="T6" s="362"/>
    </row>
    <row r="7" spans="1:23">
      <c r="A7" s="304">
        <f>A8-1</f>
        <v>46112</v>
      </c>
      <c r="B7" s="305">
        <v>0</v>
      </c>
      <c r="C7" s="305">
        <v>0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308"/>
      <c r="Q7" s="97"/>
      <c r="R7" s="97"/>
    </row>
    <row r="8" spans="1:23" ht="15">
      <c r="A8" s="304">
        <f>+Report1!A9</f>
        <v>46113</v>
      </c>
      <c r="B8" s="311">
        <f>+Report1!P9</f>
        <v>36.92</v>
      </c>
      <c r="C8" s="311">
        <f>+Report1!R9</f>
        <v>34.951000000000001</v>
      </c>
      <c r="D8" s="312">
        <f t="shared" ref="D8" si="0">+D7+E8</f>
        <v>4600.0000000003638</v>
      </c>
      <c r="E8" s="312">
        <f>+[3]DailyApr!AH7</f>
        <v>4600.0000000003638</v>
      </c>
      <c r="F8" s="312">
        <f t="shared" ref="F8" si="1">E8/B8</f>
        <v>124.59371614302177</v>
      </c>
      <c r="G8" s="312">
        <f t="shared" ref="G8" si="2">E8/C8</f>
        <v>131.61282938972744</v>
      </c>
      <c r="H8" s="312">
        <f t="shared" ref="H8" si="3">+H7+I8</f>
        <v>7033.01</v>
      </c>
      <c r="I8" s="312">
        <f>+[3]DailyApr!AI7</f>
        <v>7033.01</v>
      </c>
      <c r="J8" s="312">
        <f t="shared" ref="J8" si="4">I8/B8</f>
        <v>190.49322860238354</v>
      </c>
      <c r="K8" s="312">
        <f t="shared" ref="K8" si="5">I8/C8</f>
        <v>201.22485765786388</v>
      </c>
      <c r="L8" s="312">
        <f t="shared" ref="L8" si="6">+L7+M8</f>
        <v>25193.01</v>
      </c>
      <c r="M8" s="312">
        <f>+[3]DailyApr!AJ7</f>
        <v>25193.01</v>
      </c>
      <c r="N8" s="312">
        <f t="shared" ref="N8" si="7">M8/B8</f>
        <v>682.3675514626218</v>
      </c>
      <c r="O8" s="312">
        <f t="shared" ref="O8" si="8">M8/C8</f>
        <v>720.80941890074666</v>
      </c>
      <c r="P8" s="312">
        <f t="shared" ref="P8" si="9">+E8+I8+M8</f>
        <v>36826.020000000361</v>
      </c>
      <c r="Q8" s="6">
        <f t="shared" ref="Q8" si="10">P8/B8</f>
        <v>997.45449620802708</v>
      </c>
      <c r="R8" s="310">
        <f t="shared" ref="R8" si="11">P8/C8</f>
        <v>1053.6471059483379</v>
      </c>
      <c r="V8" s="380" t="s">
        <v>170</v>
      </c>
      <c r="W8" s="380" t="s">
        <v>171</v>
      </c>
    </row>
    <row r="9" spans="1:23" ht="15">
      <c r="A9" s="304">
        <f>1+A8</f>
        <v>46114</v>
      </c>
      <c r="B9" s="311">
        <f>+Report1!P10</f>
        <v>38.343000000000004</v>
      </c>
      <c r="C9" s="311">
        <f>+Report1!R10</f>
        <v>37.249000000000002</v>
      </c>
      <c r="D9" s="312">
        <f t="shared" ref="D9" si="12">+D8+E9</f>
        <v>9200.0000000007276</v>
      </c>
      <c r="E9" s="312">
        <f>+[3]DailyApr!AH8</f>
        <v>4600.0000000003638</v>
      </c>
      <c r="F9" s="312">
        <f t="shared" ref="F9" si="13">E9/B9</f>
        <v>119.96974675952229</v>
      </c>
      <c r="G9" s="312">
        <f t="shared" ref="G9" si="14">E9/C9</f>
        <v>123.49324814089945</v>
      </c>
      <c r="H9" s="312">
        <f t="shared" ref="H9" si="15">+H8+I9</f>
        <v>14038.220000000001</v>
      </c>
      <c r="I9" s="312">
        <f>+[3]DailyApr!AI8</f>
        <v>7005.21</v>
      </c>
      <c r="J9" s="312">
        <f t="shared" ref="J9" si="16">I9/B9</f>
        <v>182.69853689069711</v>
      </c>
      <c r="K9" s="312">
        <f t="shared" ref="K9" si="17">I9/C9</f>
        <v>188.06437756718299</v>
      </c>
      <c r="L9" s="312">
        <f t="shared" ref="L9" si="18">+L8+M9</f>
        <v>52358.22</v>
      </c>
      <c r="M9" s="312">
        <f>+[3]DailyApr!AJ8</f>
        <v>27165.21</v>
      </c>
      <c r="N9" s="312">
        <f t="shared" ref="N9" si="19">M9/B9</f>
        <v>708.47899225412709</v>
      </c>
      <c r="O9" s="312">
        <f t="shared" ref="O9" si="20">M9/C9</f>
        <v>729.28696072377772</v>
      </c>
      <c r="P9" s="312">
        <f t="shared" ref="P9" si="21">+E9+I9+M9</f>
        <v>38770.420000000362</v>
      </c>
      <c r="Q9" s="6">
        <f t="shared" ref="Q9" si="22">P9/B9</f>
        <v>1011.1472759043465</v>
      </c>
      <c r="R9" s="310">
        <f t="shared" ref="R9" si="23">P9/C9</f>
        <v>1040.8445864318601</v>
      </c>
      <c r="V9" s="380" t="s">
        <v>170</v>
      </c>
      <c r="W9" s="380" t="s">
        <v>171</v>
      </c>
    </row>
    <row r="10" spans="1:23" ht="15">
      <c r="A10" s="304">
        <f t="shared" ref="A10:A38" si="24">1+A9</f>
        <v>46115</v>
      </c>
      <c r="B10" s="311">
        <f>+Report1!P11</f>
        <v>37.472000000000001</v>
      </c>
      <c r="C10" s="311">
        <f>+Report1!R11</f>
        <v>37.430999999999997</v>
      </c>
      <c r="D10" s="312">
        <f t="shared" ref="D10" si="25">+D9+E10</f>
        <v>13900.000000001455</v>
      </c>
      <c r="E10" s="312">
        <f>+[3]DailyApr!AH9</f>
        <v>4700.0000000007276</v>
      </c>
      <c r="F10" s="312">
        <f t="shared" ref="F10" si="26">E10/B10</f>
        <v>125.426985482513</v>
      </c>
      <c r="G10" s="312">
        <f t="shared" ref="G10" si="27">E10/C10</f>
        <v>125.5643717774232</v>
      </c>
      <c r="H10" s="312">
        <f t="shared" ref="H10" si="28">+H9+I10</f>
        <v>21839.33</v>
      </c>
      <c r="I10" s="312">
        <f>+[3]DailyApr!AI9</f>
        <v>7801.11</v>
      </c>
      <c r="J10" s="312">
        <f t="shared" ref="J10" si="29">I10/B10</f>
        <v>208.18504483347564</v>
      </c>
      <c r="K10" s="312">
        <f t="shared" ref="K10" si="30">I10/C10</f>
        <v>208.41308006732388</v>
      </c>
      <c r="L10" s="312">
        <f t="shared" ref="L10" si="31">+L9+M10</f>
        <v>79319.33</v>
      </c>
      <c r="M10" s="312">
        <f>+[3]DailyApr!AJ9</f>
        <v>26961.11</v>
      </c>
      <c r="N10" s="312">
        <f t="shared" ref="N10" si="32">M10/B10</f>
        <v>719.50016011955597</v>
      </c>
      <c r="O10" s="312">
        <f t="shared" ref="O10" si="33">M10/C10</f>
        <v>720.2882637386125</v>
      </c>
      <c r="P10" s="312">
        <f t="shared" ref="P10" si="34">+E10+I10+M10</f>
        <v>39462.220000000729</v>
      </c>
      <c r="Q10" s="6">
        <f t="shared" ref="Q10" si="35">P10/B10</f>
        <v>1053.1121904355446</v>
      </c>
      <c r="R10" s="310">
        <f t="shared" ref="R10" si="36">P10/C10</f>
        <v>1054.2657155833595</v>
      </c>
      <c r="V10" s="380" t="s">
        <v>170</v>
      </c>
      <c r="W10" s="380" t="s">
        <v>171</v>
      </c>
    </row>
    <row r="11" spans="1:23" ht="15">
      <c r="A11" s="304">
        <f t="shared" si="24"/>
        <v>46116</v>
      </c>
      <c r="B11" s="311">
        <f>+Report1!P12</f>
        <v>42.465000000000003</v>
      </c>
      <c r="C11" s="311">
        <f>+Report1!R12</f>
        <v>41.97</v>
      </c>
      <c r="D11" s="312">
        <f t="shared" ref="D11" si="37">+D10+E11</f>
        <v>18500</v>
      </c>
      <c r="E11" s="312">
        <f>+[3]DailyApr!AH10</f>
        <v>4599.9999999985448</v>
      </c>
      <c r="F11" s="312">
        <f t="shared" ref="F11" si="38">E11/B11</f>
        <v>108.32450253146224</v>
      </c>
      <c r="G11" s="312">
        <f t="shared" ref="G11" si="39">E11/C11</f>
        <v>109.60209673572898</v>
      </c>
      <c r="H11" s="312">
        <f t="shared" ref="H11" si="40">+H10+I11</f>
        <v>28653.02</v>
      </c>
      <c r="I11" s="312">
        <f>+[3]DailyApr!AI10</f>
        <v>6813.69</v>
      </c>
      <c r="J11" s="312">
        <f t="shared" ref="J11" si="41">I11/B11</f>
        <v>160.45425644648532</v>
      </c>
      <c r="K11" s="312">
        <f t="shared" ref="K11" si="42">I11/C11</f>
        <v>162.34667619728376</v>
      </c>
      <c r="L11" s="312">
        <f t="shared" ref="L11" si="43">+L10+M11</f>
        <v>105293.02</v>
      </c>
      <c r="M11" s="312">
        <f>+[3]DailyApr!AJ10</f>
        <v>25973.69</v>
      </c>
      <c r="N11" s="312">
        <f t="shared" ref="N11" si="44">M11/B11</f>
        <v>611.64935829506646</v>
      </c>
      <c r="O11" s="312">
        <f t="shared" ref="O11" si="45">M11/C11</f>
        <v>618.86323564450799</v>
      </c>
      <c r="P11" s="312">
        <f t="shared" ref="P11" si="46">+E11+I11+M11</f>
        <v>37387.379999998542</v>
      </c>
      <c r="Q11" s="6">
        <f t="shared" ref="Q11" si="47">P11/B11</f>
        <v>880.42811727301398</v>
      </c>
      <c r="R11" s="310">
        <f t="shared" ref="R11" si="48">P11/C11</f>
        <v>890.81200857752071</v>
      </c>
      <c r="V11" s="380" t="s">
        <v>170</v>
      </c>
      <c r="W11" s="380" t="s">
        <v>171</v>
      </c>
    </row>
    <row r="12" spans="1:23" ht="15">
      <c r="A12" s="304">
        <f t="shared" si="24"/>
        <v>46117</v>
      </c>
      <c r="B12" s="311">
        <f>+Report1!P13</f>
        <v>39.04</v>
      </c>
      <c r="C12" s="311">
        <f>+Report1!R13</f>
        <v>39.289000000000001</v>
      </c>
      <c r="D12" s="312">
        <f t="shared" ref="D12" si="49">+D11+E12</f>
        <v>23300.000000001091</v>
      </c>
      <c r="E12" s="312">
        <f>+[3]DailyApr!AH11</f>
        <v>4800.0000000010914</v>
      </c>
      <c r="F12" s="312">
        <f t="shared" ref="F12" si="50">E12/B12</f>
        <v>122.9508196721591</v>
      </c>
      <c r="G12" s="312">
        <f t="shared" ref="G12" si="51">E12/C12</f>
        <v>122.17160019346615</v>
      </c>
      <c r="H12" s="312">
        <f t="shared" ref="H12" si="52">+H11+I12</f>
        <v>36110.46</v>
      </c>
      <c r="I12" s="312">
        <f>+[3]DailyApr!AI11</f>
        <v>7457.44</v>
      </c>
      <c r="J12" s="312">
        <f t="shared" ref="J12" si="53">I12/B12</f>
        <v>191.02049180327867</v>
      </c>
      <c r="K12" s="312">
        <f t="shared" ref="K12" si="54">I12/C12</f>
        <v>189.80987044719893</v>
      </c>
      <c r="L12" s="312">
        <f t="shared" ref="L12" si="55">+L11+M12</f>
        <v>131910.46</v>
      </c>
      <c r="M12" s="312">
        <f>+[3]DailyApr!AJ11</f>
        <v>26617.439999999999</v>
      </c>
      <c r="N12" s="312">
        <f t="shared" ref="N12" si="56">M12/B12</f>
        <v>681.79918032786884</v>
      </c>
      <c r="O12" s="312">
        <f t="shared" ref="O12" si="57">M12/C12</f>
        <v>677.47817455267375</v>
      </c>
      <c r="P12" s="312">
        <f t="shared" ref="P12" si="58">+E12+I12+M12</f>
        <v>38874.880000001089</v>
      </c>
      <c r="Q12" s="6">
        <f t="shared" ref="Q12" si="59">P12/B12</f>
        <v>995.77049180330664</v>
      </c>
      <c r="R12" s="310">
        <f t="shared" ref="R12" si="60">P12/C12</f>
        <v>989.45964519333882</v>
      </c>
      <c r="V12" s="380" t="s">
        <v>170</v>
      </c>
      <c r="W12" s="380" t="s">
        <v>171</v>
      </c>
    </row>
    <row r="13" spans="1:23" ht="15">
      <c r="A13" s="304">
        <f t="shared" si="24"/>
        <v>46118</v>
      </c>
      <c r="B13" s="311">
        <f>+Report1!P14</f>
        <v>41.542000000000002</v>
      </c>
      <c r="C13" s="311">
        <f>+Report1!R14</f>
        <v>39.037999999999997</v>
      </c>
      <c r="D13" s="312">
        <f t="shared" ref="D13" si="61">+D12+E13</f>
        <v>28100.000000000364</v>
      </c>
      <c r="E13" s="312">
        <f>+[3]DailyApr!AH12</f>
        <v>4799.9999999992724</v>
      </c>
      <c r="F13" s="312">
        <f t="shared" ref="F13" si="62">E13/B13</f>
        <v>115.54571277259815</v>
      </c>
      <c r="G13" s="312">
        <f t="shared" ref="G13" si="63">E13/C13</f>
        <v>122.95711870483305</v>
      </c>
      <c r="H13" s="312">
        <f t="shared" ref="H13" si="64">+H12+I13</f>
        <v>43030.909999999996</v>
      </c>
      <c r="I13" s="312">
        <f>+[3]DailyApr!AI12</f>
        <v>6920.45</v>
      </c>
      <c r="J13" s="312">
        <f t="shared" ref="J13" si="65">I13/B13</f>
        <v>166.58923499109335</v>
      </c>
      <c r="K13" s="312">
        <f t="shared" ref="K13" si="66">I13/C13</f>
        <v>177.27470669603977</v>
      </c>
      <c r="L13" s="312">
        <f t="shared" ref="L13" si="67">+L12+M13</f>
        <v>157990.91</v>
      </c>
      <c r="M13" s="312">
        <f>+[3]DailyApr!AJ12</f>
        <v>26080.45</v>
      </c>
      <c r="N13" s="312">
        <f t="shared" ref="N13" si="68">M13/B13</f>
        <v>627.80920514178422</v>
      </c>
      <c r="O13" s="312">
        <f t="shared" ref="O13" si="69">M13/C13</f>
        <v>668.07853885957275</v>
      </c>
      <c r="P13" s="312">
        <f t="shared" ref="P13" si="70">+E13+I13+M13</f>
        <v>37800.899999999274</v>
      </c>
      <c r="Q13" s="6">
        <f t="shared" ref="Q13" si="71">P13/B13</f>
        <v>909.94415290547568</v>
      </c>
      <c r="R13" s="310">
        <f t="shared" ref="R13" si="72">P13/C13</f>
        <v>968.31036426044568</v>
      </c>
      <c r="V13" s="380" t="s">
        <v>170</v>
      </c>
      <c r="W13" s="380" t="s">
        <v>171</v>
      </c>
    </row>
    <row r="14" spans="1:23" ht="15">
      <c r="A14" s="304">
        <f t="shared" si="24"/>
        <v>46119</v>
      </c>
      <c r="B14" s="311">
        <f>+Report1!P15</f>
        <v>43.432000000000002</v>
      </c>
      <c r="C14" s="311">
        <f>+Report1!R15</f>
        <v>39.841000000000001</v>
      </c>
      <c r="D14" s="312">
        <f t="shared" ref="D14" si="73">+D13+E14</f>
        <v>32900.000000001455</v>
      </c>
      <c r="E14" s="312">
        <f>+[3]DailyApr!AH13</f>
        <v>4800.0000000010914</v>
      </c>
      <c r="F14" s="312">
        <f t="shared" ref="F14" si="74">E14/B14</f>
        <v>110.5175907165475</v>
      </c>
      <c r="G14" s="312">
        <f t="shared" ref="G14" si="75">E14/C14</f>
        <v>120.47890364200425</v>
      </c>
      <c r="H14" s="312">
        <f t="shared" ref="H14" si="76">+H13+I14</f>
        <v>50022.06</v>
      </c>
      <c r="I14" s="312">
        <f>+[3]DailyApr!AI13</f>
        <v>6991.15</v>
      </c>
      <c r="J14" s="312">
        <f t="shared" ref="J14" si="77">I14/B14</f>
        <v>160.96771965371153</v>
      </c>
      <c r="K14" s="312">
        <f t="shared" ref="K14" si="78">I14/C14</f>
        <v>175.47626816595968</v>
      </c>
      <c r="L14" s="312">
        <f t="shared" ref="L14" si="79">+L13+M14</f>
        <v>182142.06</v>
      </c>
      <c r="M14" s="312">
        <f>+[3]DailyApr!AJ13</f>
        <v>24151.15</v>
      </c>
      <c r="N14" s="312">
        <f t="shared" ref="N14" si="80">M14/B14</f>
        <v>556.06810646527902</v>
      </c>
      <c r="O14" s="312">
        <f t="shared" ref="O14" si="81">M14/C14</f>
        <v>606.18834868602698</v>
      </c>
      <c r="P14" s="312">
        <f t="shared" ref="P14" si="82">+E14+I14+M14</f>
        <v>35942.300000001094</v>
      </c>
      <c r="Q14" s="6">
        <f t="shared" ref="Q14" si="83">P14/B14</f>
        <v>827.55341683553809</v>
      </c>
      <c r="R14" s="310">
        <f t="shared" ref="R14" si="84">P14/C14</f>
        <v>902.14352049399099</v>
      </c>
      <c r="V14" s="380" t="s">
        <v>170</v>
      </c>
      <c r="W14" s="380" t="s">
        <v>171</v>
      </c>
    </row>
    <row r="15" spans="1:23" ht="15">
      <c r="A15" s="304">
        <f t="shared" si="24"/>
        <v>46120</v>
      </c>
      <c r="B15" s="311">
        <f>+Report1!P16</f>
        <v>43.382000000000005</v>
      </c>
      <c r="C15" s="311">
        <f>+Report1!R16</f>
        <v>44.162999999999997</v>
      </c>
      <c r="D15" s="312">
        <f t="shared" ref="D15" si="85">+D14+E15</f>
        <v>37200.000000000728</v>
      </c>
      <c r="E15" s="312">
        <f>+[3]DailyApr!AH14</f>
        <v>4299.9999999992724</v>
      </c>
      <c r="F15" s="312">
        <f t="shared" ref="F15" si="86">E15/B15</f>
        <v>99.119450463309022</v>
      </c>
      <c r="G15" s="312">
        <f t="shared" ref="G15" si="87">E15/C15</f>
        <v>97.366573828754227</v>
      </c>
      <c r="H15" s="312">
        <f t="shared" ref="H15" si="88">+H14+I15</f>
        <v>57908.52</v>
      </c>
      <c r="I15" s="312">
        <f>+[3]DailyApr!AI14</f>
        <v>7886.46</v>
      </c>
      <c r="J15" s="312">
        <f t="shared" ref="J15" si="89">I15/B15</f>
        <v>181.79106541883729</v>
      </c>
      <c r="K15" s="312">
        <f t="shared" ref="K15" si="90">I15/C15</f>
        <v>178.57618368317372</v>
      </c>
      <c r="L15" s="312">
        <f t="shared" ref="L15" si="91">+L14+M15</f>
        <v>204188.52</v>
      </c>
      <c r="M15" s="312">
        <f>+[3]DailyApr!AJ14</f>
        <v>22046.46</v>
      </c>
      <c r="N15" s="312">
        <f t="shared" ref="N15" si="92">M15/B15</f>
        <v>508.19372089806825</v>
      </c>
      <c r="O15" s="312">
        <f t="shared" ref="O15" si="93">M15/C15</f>
        <v>499.20657564024185</v>
      </c>
      <c r="P15" s="312">
        <f t="shared" ref="P15" si="94">+E15+I15+M15</f>
        <v>34232.919999999271</v>
      </c>
      <c r="Q15" s="6">
        <f t="shared" ref="Q15" si="95">P15/B15</f>
        <v>789.10423678021448</v>
      </c>
      <c r="R15" s="310">
        <f t="shared" ref="R15" si="96">P15/C15</f>
        <v>775.14933315216979</v>
      </c>
      <c r="V15" s="380" t="s">
        <v>170</v>
      </c>
      <c r="W15" s="380" t="s">
        <v>171</v>
      </c>
    </row>
    <row r="16" spans="1:23" ht="15">
      <c r="A16" s="304">
        <f t="shared" si="24"/>
        <v>46121</v>
      </c>
      <c r="B16" s="311">
        <f>+Report1!P17</f>
        <v>5.7360000000000007</v>
      </c>
      <c r="C16" s="311">
        <f>+Report1!R17</f>
        <v>4.0439999999999996</v>
      </c>
      <c r="D16" s="312">
        <f t="shared" ref="D16" si="97">+D15+E16</f>
        <v>39300.000000001091</v>
      </c>
      <c r="E16" s="312">
        <f>+[3]DailyApr!AH15</f>
        <v>2100.0000000003638</v>
      </c>
      <c r="F16" s="312">
        <f t="shared" ref="F16" si="98">E16/B16</f>
        <v>366.10878661094205</v>
      </c>
      <c r="G16" s="312">
        <f t="shared" ref="G16" si="99">E16/C16</f>
        <v>519.28783382798315</v>
      </c>
      <c r="H16" s="312">
        <f t="shared" ref="H16" si="100">+H15+I16</f>
        <v>59585.909999999996</v>
      </c>
      <c r="I16" s="312">
        <f>+[3]DailyApr!AI15</f>
        <v>1677.3899999999999</v>
      </c>
      <c r="J16" s="312">
        <f t="shared" ref="J16" si="101">I16/B16</f>
        <v>292.4320083682008</v>
      </c>
      <c r="K16" s="312">
        <f t="shared" ref="K16" si="102">I16/C16</f>
        <v>414.78486646884272</v>
      </c>
      <c r="L16" s="312">
        <f t="shared" ref="L16" si="103">+L15+M16</f>
        <v>214025.90999999997</v>
      </c>
      <c r="M16" s="312">
        <f>+[3]DailyApr!AJ15</f>
        <v>9837.39</v>
      </c>
      <c r="N16" s="312">
        <f t="shared" ref="N16" si="104">M16/B16</f>
        <v>1715.0261506276147</v>
      </c>
      <c r="O16" s="312">
        <f t="shared" ref="O16" si="105">M16/C16</f>
        <v>2432.5890207715133</v>
      </c>
      <c r="P16" s="312">
        <f t="shared" ref="P16" si="106">+E16+I16+M16</f>
        <v>13614.780000000363</v>
      </c>
      <c r="Q16" s="6">
        <f t="shared" ref="Q16" si="107">P16/B16</f>
        <v>2373.5669456067576</v>
      </c>
      <c r="R16" s="310">
        <f t="shared" ref="R16" si="108">P16/C16</f>
        <v>3366.6617210683394</v>
      </c>
      <c r="V16" s="380" t="s">
        <v>170</v>
      </c>
      <c r="W16" s="380" t="s">
        <v>171</v>
      </c>
    </row>
    <row r="17" spans="1:23" ht="15">
      <c r="A17" s="304">
        <f t="shared" si="24"/>
        <v>46122</v>
      </c>
      <c r="B17" s="311">
        <f>+Report1!P18</f>
        <v>36.384999999999998</v>
      </c>
      <c r="C17" s="311">
        <f>+Report1!R18</f>
        <v>30.251000000000001</v>
      </c>
      <c r="D17" s="312">
        <f t="shared" ref="D17" si="109">+D16+E17</f>
        <v>44000</v>
      </c>
      <c r="E17" s="312">
        <f>+[3]DailyApr!AH16</f>
        <v>4699.9999999989086</v>
      </c>
      <c r="F17" s="312">
        <f t="shared" ref="F17" si="110">E17/B17</f>
        <v>129.1741102102215</v>
      </c>
      <c r="G17" s="312">
        <f t="shared" ref="G17" si="111">E17/C17</f>
        <v>155.36676473501399</v>
      </c>
      <c r="H17" s="312">
        <f t="shared" ref="H17" si="112">+H16+I17</f>
        <v>64486.479999999996</v>
      </c>
      <c r="I17" s="312">
        <f>+[3]DailyApr!AI16</f>
        <v>4900.57</v>
      </c>
      <c r="J17" s="312">
        <f t="shared" ref="J17" si="113">I17/B17</f>
        <v>134.68654665384088</v>
      </c>
      <c r="K17" s="312">
        <f t="shared" ref="K17" si="114">I17/C17</f>
        <v>161.99695877822219</v>
      </c>
      <c r="L17" s="312">
        <f t="shared" ref="L17" si="115">+L16+M17</f>
        <v>238086.47999999998</v>
      </c>
      <c r="M17" s="312">
        <f>+[3]DailyApr!AJ16</f>
        <v>24060.57</v>
      </c>
      <c r="N17" s="312">
        <f t="shared" ref="N17" si="116">M17/B17</f>
        <v>661.27717465988735</v>
      </c>
      <c r="O17" s="312">
        <f t="shared" ref="O17" si="117">M17/C17</f>
        <v>795.36445076195821</v>
      </c>
      <c r="P17" s="312">
        <f t="shared" ref="P17" si="118">+E17+I17+M17</f>
        <v>33661.139999998908</v>
      </c>
      <c r="Q17" s="6">
        <f t="shared" ref="Q17" si="119">P17/B17</f>
        <v>925.13783152394967</v>
      </c>
      <c r="R17" s="310">
        <f t="shared" ref="R17" si="120">P17/C17</f>
        <v>1112.7281742751945</v>
      </c>
      <c r="V17" s="380" t="s">
        <v>170</v>
      </c>
      <c r="W17" s="380" t="s">
        <v>171</v>
      </c>
    </row>
    <row r="18" spans="1:23" ht="15">
      <c r="A18" s="304">
        <f t="shared" si="24"/>
        <v>46123</v>
      </c>
      <c r="B18" s="311">
        <f>+Report1!P19</f>
        <v>37.644999999999996</v>
      </c>
      <c r="C18" s="311">
        <f>+Report1!R19</f>
        <v>39.326999999999998</v>
      </c>
      <c r="D18" s="312">
        <f t="shared" ref="D18" si="121">+D17+E18</f>
        <v>48600.000000000364</v>
      </c>
      <c r="E18" s="312">
        <f>+[3]DailyApr!AH17</f>
        <v>4600.0000000003638</v>
      </c>
      <c r="F18" s="312">
        <f t="shared" ref="F18" si="122">E18/B18</f>
        <v>122.19418249436484</v>
      </c>
      <c r="G18" s="312">
        <f t="shared" ref="G18" si="123">E18/C18</f>
        <v>116.96798637069607</v>
      </c>
      <c r="H18" s="312">
        <f t="shared" ref="H18" si="124">+H17+I18</f>
        <v>71506.31</v>
      </c>
      <c r="I18" s="312">
        <f>+[3]DailyApr!AI17</f>
        <v>7019.83</v>
      </c>
      <c r="J18" s="312">
        <f t="shared" ref="J18" si="125">I18/B18</f>
        <v>186.4744321955107</v>
      </c>
      <c r="K18" s="312">
        <f t="shared" ref="K18" si="126">I18/C18</f>
        <v>178.4989956009866</v>
      </c>
      <c r="L18" s="312">
        <f t="shared" ref="L18" si="127">+L17+M18</f>
        <v>262266.31</v>
      </c>
      <c r="M18" s="312">
        <f>+[3]DailyApr!AJ17</f>
        <v>24179.83</v>
      </c>
      <c r="N18" s="312">
        <f t="shared" ref="N18" si="128">M18/B18</f>
        <v>642.31186080488783</v>
      </c>
      <c r="O18" s="312">
        <f t="shared" ref="O18" si="129">M18/C18</f>
        <v>614.84044040989659</v>
      </c>
      <c r="P18" s="312">
        <f t="shared" ref="P18" si="130">+E18+I18+M18</f>
        <v>35799.660000000367</v>
      </c>
      <c r="Q18" s="6">
        <f t="shared" ref="Q18" si="131">P18/B18</f>
        <v>950.98047549476348</v>
      </c>
      <c r="R18" s="310">
        <f t="shared" ref="R18" si="132">P18/C18</f>
        <v>910.30742238157927</v>
      </c>
      <c r="V18" s="380" t="s">
        <v>170</v>
      </c>
      <c r="W18" s="380" t="s">
        <v>171</v>
      </c>
    </row>
    <row r="19" spans="1:23" ht="15">
      <c r="A19" s="304">
        <f t="shared" si="24"/>
        <v>46124</v>
      </c>
      <c r="B19" s="311">
        <f>+Report1!P20</f>
        <v>38.573</v>
      </c>
      <c r="C19" s="311">
        <f>+Report1!R20</f>
        <v>35.430999999999997</v>
      </c>
      <c r="D19" s="312">
        <f t="shared" ref="D19" si="133">+D18+E19</f>
        <v>53400.000000001455</v>
      </c>
      <c r="E19" s="312">
        <f>+[3]DailyApr!AH18</f>
        <v>4800.0000000010914</v>
      </c>
      <c r="F19" s="312">
        <f t="shared" ref="F19" si="134">E19/B19</f>
        <v>124.43937469217046</v>
      </c>
      <c r="G19" s="312">
        <f t="shared" ref="G19" si="135">E19/C19</f>
        <v>135.47458440351929</v>
      </c>
      <c r="H19" s="312">
        <f t="shared" ref="H19" si="136">+H18+I19</f>
        <v>78058.39</v>
      </c>
      <c r="I19" s="312">
        <f>+[3]DailyApr!AI18</f>
        <v>6552.08</v>
      </c>
      <c r="J19" s="312">
        <f t="shared" ref="J19" si="137">I19/B19</f>
        <v>169.86182044435228</v>
      </c>
      <c r="K19" s="312">
        <f t="shared" ref="K19" si="138">I19/C19</f>
        <v>184.92506562050184</v>
      </c>
      <c r="L19" s="312">
        <f t="shared" ref="L19" si="139">+L18+M19</f>
        <v>287978.39</v>
      </c>
      <c r="M19" s="312">
        <f>+[3]DailyApr!AJ18</f>
        <v>25712.080000000002</v>
      </c>
      <c r="N19" s="312">
        <f t="shared" ref="N19" si="140">M19/B19</f>
        <v>666.58232442381984</v>
      </c>
      <c r="O19" s="312">
        <f t="shared" ref="O19" si="141">M19/C19</f>
        <v>725.69444836442676</v>
      </c>
      <c r="P19" s="312">
        <f t="shared" ref="P19" si="142">+E19+I19+M19</f>
        <v>37064.160000001095</v>
      </c>
      <c r="Q19" s="6">
        <f t="shared" ref="Q19" si="143">P19/B19</f>
        <v>960.88351956034262</v>
      </c>
      <c r="R19" s="310">
        <f t="shared" ref="R19" si="144">P19/C19</f>
        <v>1046.0940983884479</v>
      </c>
      <c r="V19" s="380" t="s">
        <v>170</v>
      </c>
      <c r="W19" s="380" t="s">
        <v>171</v>
      </c>
    </row>
    <row r="20" spans="1:23" ht="15">
      <c r="A20" s="304">
        <f t="shared" si="24"/>
        <v>46125</v>
      </c>
      <c r="B20" s="311">
        <f>+Report1!P21</f>
        <v>27.853999999999999</v>
      </c>
      <c r="C20" s="311">
        <f>+Report1!R21</f>
        <v>25.204000000000001</v>
      </c>
      <c r="D20" s="312">
        <f t="shared" ref="D20:D38" si="145">+D19+E20</f>
        <v>57100.000000000364</v>
      </c>
      <c r="E20" s="312">
        <f>+[3]DailyApr!AH19</f>
        <v>3699.9999999989086</v>
      </c>
      <c r="F20" s="312">
        <f t="shared" ref="F20:F38" si="146">E20/B20</f>
        <v>132.83549938963554</v>
      </c>
      <c r="G20" s="312">
        <f t="shared" ref="G20:G38" si="147">E20/C20</f>
        <v>146.80209490552724</v>
      </c>
      <c r="H20" s="312">
        <f t="shared" ref="H20:H38" si="148">+H19+I20</f>
        <v>82862.959999999992</v>
      </c>
      <c r="I20" s="312">
        <f>+[3]DailyApr!AI19</f>
        <v>4804.57</v>
      </c>
      <c r="J20" s="312">
        <f t="shared" ref="J20:J38" si="149">I20/B20</f>
        <v>172.49120413585121</v>
      </c>
      <c r="K20" s="312">
        <f t="shared" ref="K20:K38" si="150">I20/C20</f>
        <v>190.6272813839073</v>
      </c>
      <c r="L20" s="312">
        <f t="shared" ref="L20:L38" si="151">+L19+M20</f>
        <v>310102.96000000002</v>
      </c>
      <c r="M20" s="312">
        <f>+[3]DailyApr!AJ19</f>
        <v>22124.57</v>
      </c>
      <c r="N20" s="312">
        <f t="shared" ref="N20:N38" si="152">M20/B20</f>
        <v>794.30494722481512</v>
      </c>
      <c r="O20" s="312">
        <f t="shared" ref="O20:O38" si="153">M20/C20</f>
        <v>877.8197905094429</v>
      </c>
      <c r="P20" s="312">
        <f t="shared" ref="P20:P38" si="154">+E20+I20+M20</f>
        <v>30629.139999998908</v>
      </c>
      <c r="Q20" s="6">
        <f t="shared" ref="Q20:Q38" si="155">P20/B20</f>
        <v>1099.6316507503018</v>
      </c>
      <c r="R20" s="310">
        <f t="shared" ref="R20:R38" si="156">P20/C20</f>
        <v>1215.2491667988775</v>
      </c>
      <c r="V20" s="380" t="s">
        <v>170</v>
      </c>
      <c r="W20" s="380" t="s">
        <v>171</v>
      </c>
    </row>
    <row r="21" spans="1:23" ht="15">
      <c r="A21" s="304">
        <f t="shared" si="24"/>
        <v>46126</v>
      </c>
      <c r="B21" s="311">
        <f>+Report1!P22</f>
        <v>43.125</v>
      </c>
      <c r="C21" s="311">
        <f>+Report1!R22</f>
        <v>45.835000000000001</v>
      </c>
      <c r="D21" s="312">
        <f t="shared" si="145"/>
        <v>61700.000000000728</v>
      </c>
      <c r="E21" s="312">
        <f>+[3]DailyApr!AH20</f>
        <v>4600.0000000003638</v>
      </c>
      <c r="F21" s="312">
        <f t="shared" si="146"/>
        <v>106.6666666666751</v>
      </c>
      <c r="G21" s="312">
        <f t="shared" si="147"/>
        <v>100.35998690957486</v>
      </c>
      <c r="H21" s="312">
        <f t="shared" si="148"/>
        <v>89674.12999999999</v>
      </c>
      <c r="I21" s="312">
        <f>+[3]DailyApr!AI20</f>
        <v>6811.17</v>
      </c>
      <c r="J21" s="312">
        <f t="shared" si="149"/>
        <v>157.94017391304348</v>
      </c>
      <c r="K21" s="312">
        <f t="shared" si="150"/>
        <v>148.60194174757282</v>
      </c>
      <c r="L21" s="312">
        <f t="shared" si="151"/>
        <v>336074.13</v>
      </c>
      <c r="M21" s="312">
        <f>+[3]DailyApr!AJ20</f>
        <v>25971.17</v>
      </c>
      <c r="N21" s="312">
        <f t="shared" si="152"/>
        <v>602.23002898550726</v>
      </c>
      <c r="O21" s="312">
        <f t="shared" si="153"/>
        <v>566.62310461437767</v>
      </c>
      <c r="P21" s="312">
        <f t="shared" si="154"/>
        <v>37382.34000000036</v>
      </c>
      <c r="Q21" s="6">
        <f t="shared" si="155"/>
        <v>866.8368695652257</v>
      </c>
      <c r="R21" s="310">
        <f t="shared" si="156"/>
        <v>815.58503327152528</v>
      </c>
      <c r="V21" s="380" t="s">
        <v>170</v>
      </c>
      <c r="W21" s="380" t="s">
        <v>171</v>
      </c>
    </row>
    <row r="22" spans="1:23" ht="15">
      <c r="A22" s="304">
        <f t="shared" si="24"/>
        <v>46127</v>
      </c>
      <c r="B22" s="311">
        <f>+Report1!P23</f>
        <v>46.03</v>
      </c>
      <c r="C22" s="311">
        <f>+Report1!R23</f>
        <v>44.06</v>
      </c>
      <c r="D22" s="312">
        <f t="shared" si="145"/>
        <v>65800.000000001091</v>
      </c>
      <c r="E22" s="312">
        <f>+[3]DailyApr!AH21</f>
        <v>4100.0000000003638</v>
      </c>
      <c r="F22" s="312">
        <f t="shared" si="146"/>
        <v>89.072344123405685</v>
      </c>
      <c r="G22" s="312">
        <f t="shared" si="147"/>
        <v>93.054925102141709</v>
      </c>
      <c r="H22" s="312">
        <f t="shared" si="148"/>
        <v>96470.31</v>
      </c>
      <c r="I22" s="312">
        <f>+[3]DailyApr!AI21</f>
        <v>6796.18</v>
      </c>
      <c r="J22" s="312">
        <f t="shared" si="149"/>
        <v>147.6467521181838</v>
      </c>
      <c r="K22" s="312">
        <f t="shared" si="150"/>
        <v>154.24829777576034</v>
      </c>
      <c r="L22" s="312">
        <f t="shared" si="151"/>
        <v>361030.31</v>
      </c>
      <c r="M22" s="312">
        <f>+[3]DailyApr!AJ21</f>
        <v>24956.18</v>
      </c>
      <c r="N22" s="312">
        <f t="shared" si="152"/>
        <v>542.17206169889198</v>
      </c>
      <c r="O22" s="312">
        <f t="shared" si="153"/>
        <v>566.41352700862456</v>
      </c>
      <c r="P22" s="312">
        <f t="shared" si="154"/>
        <v>35852.360000000364</v>
      </c>
      <c r="Q22" s="6">
        <f t="shared" si="155"/>
        <v>778.89115794048155</v>
      </c>
      <c r="R22" s="310">
        <f t="shared" si="156"/>
        <v>813.7167498865266</v>
      </c>
      <c r="V22" s="380" t="s">
        <v>170</v>
      </c>
      <c r="W22" s="380" t="s">
        <v>171</v>
      </c>
    </row>
    <row r="23" spans="1:23" ht="15">
      <c r="A23" s="304">
        <f t="shared" si="24"/>
        <v>46128</v>
      </c>
      <c r="B23" s="311">
        <f>+Report1!P24</f>
        <v>45.048999999999999</v>
      </c>
      <c r="C23" s="311">
        <f>+Report1!R24</f>
        <v>46.640999999999998</v>
      </c>
      <c r="D23" s="312">
        <f t="shared" si="145"/>
        <v>70000</v>
      </c>
      <c r="E23" s="312">
        <f>+[3]DailyApr!AH22</f>
        <v>4199.9999999989086</v>
      </c>
      <c r="F23" s="312">
        <f t="shared" si="146"/>
        <v>93.23181424668492</v>
      </c>
      <c r="G23" s="312">
        <f t="shared" si="147"/>
        <v>90.049527239958593</v>
      </c>
      <c r="H23" s="312">
        <f t="shared" si="148"/>
        <v>103373.48</v>
      </c>
      <c r="I23" s="312">
        <f>+[3]DailyApr!AI22</f>
        <v>6903.17</v>
      </c>
      <c r="J23" s="312">
        <f t="shared" si="149"/>
        <v>153.2369197984417</v>
      </c>
      <c r="K23" s="312">
        <f t="shared" si="150"/>
        <v>148.00647498981584</v>
      </c>
      <c r="L23" s="312">
        <f t="shared" si="151"/>
        <v>388093.48</v>
      </c>
      <c r="M23" s="312">
        <f>+[3]DailyApr!AJ22</f>
        <v>27063.17</v>
      </c>
      <c r="N23" s="312">
        <f t="shared" si="152"/>
        <v>600.74962818264555</v>
      </c>
      <c r="O23" s="312">
        <f t="shared" si="153"/>
        <v>580.24420574172939</v>
      </c>
      <c r="P23" s="312">
        <f t="shared" si="154"/>
        <v>38166.339999998905</v>
      </c>
      <c r="Q23" s="6">
        <f t="shared" si="155"/>
        <v>847.2183622277721</v>
      </c>
      <c r="R23" s="310">
        <f t="shared" si="156"/>
        <v>818.30020797150371</v>
      </c>
      <c r="V23" s="380" t="s">
        <v>170</v>
      </c>
      <c r="W23" s="380" t="s">
        <v>171</v>
      </c>
    </row>
    <row r="24" spans="1:23" ht="15">
      <c r="A24" s="304">
        <f t="shared" si="24"/>
        <v>46129</v>
      </c>
      <c r="B24" s="311">
        <f>+Report1!P25</f>
        <v>43.152000000000001</v>
      </c>
      <c r="C24" s="311">
        <f>+Report1!R25</f>
        <v>42.759</v>
      </c>
      <c r="D24" s="312">
        <f t="shared" si="145"/>
        <v>74200.000000000728</v>
      </c>
      <c r="E24" s="312">
        <f>+[3]DailyApr!AH23</f>
        <v>4200.0000000007276</v>
      </c>
      <c r="F24" s="312">
        <f t="shared" si="146"/>
        <v>97.330367074544114</v>
      </c>
      <c r="G24" s="312">
        <f t="shared" si="147"/>
        <v>98.224935101399183</v>
      </c>
      <c r="H24" s="312">
        <f t="shared" si="148"/>
        <v>109868.4</v>
      </c>
      <c r="I24" s="312">
        <f>+[3]DailyApr!AI23</f>
        <v>6494.92</v>
      </c>
      <c r="J24" s="312">
        <f t="shared" si="149"/>
        <v>150.51260659992585</v>
      </c>
      <c r="K24" s="312">
        <f t="shared" si="150"/>
        <v>151.89597511634977</v>
      </c>
      <c r="L24" s="312">
        <f t="shared" si="151"/>
        <v>412748.39999999997</v>
      </c>
      <c r="M24" s="312">
        <f>+[3]DailyApr!AJ23</f>
        <v>24654.92</v>
      </c>
      <c r="N24" s="312">
        <f t="shared" si="152"/>
        <v>571.35057471264361</v>
      </c>
      <c r="O24" s="312">
        <f t="shared" si="153"/>
        <v>576.6018849832783</v>
      </c>
      <c r="P24" s="312">
        <f t="shared" si="154"/>
        <v>35349.840000000724</v>
      </c>
      <c r="Q24" s="6">
        <f t="shared" si="155"/>
        <v>819.19354838711354</v>
      </c>
      <c r="R24" s="310">
        <f t="shared" si="156"/>
        <v>826.72279520102722</v>
      </c>
      <c r="V24" s="380" t="s">
        <v>170</v>
      </c>
      <c r="W24" s="380" t="s">
        <v>171</v>
      </c>
    </row>
    <row r="25" spans="1:23" ht="15">
      <c r="A25" s="304">
        <f t="shared" si="24"/>
        <v>46130</v>
      </c>
      <c r="B25" s="311">
        <f>+Report1!P26</f>
        <v>40.573999999999998</v>
      </c>
      <c r="C25" s="311">
        <f>+Report1!R26</f>
        <v>36.371000000000002</v>
      </c>
      <c r="D25" s="312">
        <f t="shared" si="145"/>
        <v>78900.000000001455</v>
      </c>
      <c r="E25" s="312">
        <f>+[3]DailyApr!AH24</f>
        <v>4700.0000000007276</v>
      </c>
      <c r="F25" s="312">
        <f t="shared" si="146"/>
        <v>115.83772859468448</v>
      </c>
      <c r="G25" s="312">
        <f t="shared" si="147"/>
        <v>129.22383217400477</v>
      </c>
      <c r="H25" s="312">
        <f t="shared" si="148"/>
        <v>114885.29</v>
      </c>
      <c r="I25" s="312">
        <f>+[3]DailyApr!AI24</f>
        <v>5016.8900000000003</v>
      </c>
      <c r="J25" s="312">
        <f t="shared" si="149"/>
        <v>123.64790259772269</v>
      </c>
      <c r="K25" s="312">
        <f t="shared" si="150"/>
        <v>137.93654285007287</v>
      </c>
      <c r="L25" s="312">
        <f t="shared" si="151"/>
        <v>437925.29</v>
      </c>
      <c r="M25" s="312">
        <f>+[3]DailyApr!AJ24</f>
        <v>25176.89</v>
      </c>
      <c r="N25" s="312">
        <f t="shared" si="152"/>
        <v>620.51781929314336</v>
      </c>
      <c r="O25" s="312">
        <f t="shared" si="153"/>
        <v>692.22429957933514</v>
      </c>
      <c r="P25" s="312">
        <f t="shared" si="154"/>
        <v>34893.780000000726</v>
      </c>
      <c r="Q25" s="6">
        <f t="shared" si="155"/>
        <v>860.0034504855505</v>
      </c>
      <c r="R25" s="310">
        <f t="shared" si="156"/>
        <v>959.38467460341269</v>
      </c>
      <c r="V25" s="380" t="s">
        <v>170</v>
      </c>
      <c r="W25" s="380" t="s">
        <v>171</v>
      </c>
    </row>
    <row r="26" spans="1:23" ht="15">
      <c r="A26" s="304">
        <f t="shared" si="24"/>
        <v>46131</v>
      </c>
      <c r="B26" s="311">
        <f>+Report1!P27</f>
        <v>42.658000000000001</v>
      </c>
      <c r="C26" s="311">
        <f>+Report1!R27</f>
        <v>40.729999999999997</v>
      </c>
      <c r="D26" s="312">
        <f t="shared" si="145"/>
        <v>83600.000000000364</v>
      </c>
      <c r="E26" s="312">
        <f>+[3]DailyApr!AH25</f>
        <v>4699.9999999989086</v>
      </c>
      <c r="F26" s="312">
        <f t="shared" si="146"/>
        <v>110.17863003420011</v>
      </c>
      <c r="G26" s="312">
        <f t="shared" si="147"/>
        <v>115.39405843356025</v>
      </c>
      <c r="H26" s="312">
        <f t="shared" si="148"/>
        <v>122747.51999999999</v>
      </c>
      <c r="I26" s="312">
        <f>+[3]DailyApr!AI25</f>
        <v>7862.23</v>
      </c>
      <c r="J26" s="312">
        <f t="shared" si="149"/>
        <v>184.3084532795724</v>
      </c>
      <c r="K26" s="312">
        <f t="shared" si="150"/>
        <v>193.03289958261723</v>
      </c>
      <c r="L26" s="312">
        <f t="shared" si="151"/>
        <v>463947.51999999996</v>
      </c>
      <c r="M26" s="312">
        <f>+[3]DailyApr!AJ25</f>
        <v>26022.23</v>
      </c>
      <c r="N26" s="312">
        <f t="shared" si="152"/>
        <v>610.01992592245301</v>
      </c>
      <c r="O26" s="312">
        <f t="shared" si="153"/>
        <v>638.89589982813652</v>
      </c>
      <c r="P26" s="312">
        <f t="shared" si="154"/>
        <v>38584.459999998908</v>
      </c>
      <c r="Q26" s="6">
        <f t="shared" si="155"/>
        <v>904.50700923622549</v>
      </c>
      <c r="R26" s="310">
        <f t="shared" si="156"/>
        <v>947.32285784431406</v>
      </c>
      <c r="V26" s="380" t="s">
        <v>170</v>
      </c>
      <c r="W26" s="380" t="s">
        <v>171</v>
      </c>
    </row>
    <row r="27" spans="1:23" ht="15">
      <c r="A27" s="304">
        <f t="shared" si="24"/>
        <v>46132</v>
      </c>
      <c r="B27" s="311">
        <f>+Report1!P28</f>
        <v>42.622</v>
      </c>
      <c r="C27" s="311">
        <f>+Report1!R28</f>
        <v>41.040999999999997</v>
      </c>
      <c r="D27" s="312">
        <f t="shared" si="145"/>
        <v>88400.000000001455</v>
      </c>
      <c r="E27" s="312">
        <f>+[3]DailyApr!AH26</f>
        <v>4800.0000000010914</v>
      </c>
      <c r="F27" s="312">
        <f t="shared" si="146"/>
        <v>112.61789686080174</v>
      </c>
      <c r="G27" s="312">
        <f t="shared" si="147"/>
        <v>116.95621451721672</v>
      </c>
      <c r="H27" s="312">
        <f t="shared" si="148"/>
        <v>129539.60999999999</v>
      </c>
      <c r="I27" s="312">
        <f>+[3]DailyApr!AI26</f>
        <v>6792.09</v>
      </c>
      <c r="J27" s="312">
        <f t="shared" si="149"/>
        <v>159.35643564356437</v>
      </c>
      <c r="K27" s="312">
        <f t="shared" si="150"/>
        <v>165.49523647084624</v>
      </c>
      <c r="L27" s="312">
        <f t="shared" si="151"/>
        <v>487899.61</v>
      </c>
      <c r="M27" s="312">
        <f>+[3]DailyApr!AJ26</f>
        <v>23952.09</v>
      </c>
      <c r="N27" s="312">
        <f t="shared" si="152"/>
        <v>561.96541692083906</v>
      </c>
      <c r="O27" s="312">
        <f t="shared" si="153"/>
        <v>583.61370336980099</v>
      </c>
      <c r="P27" s="312">
        <f t="shared" si="154"/>
        <v>35544.180000001092</v>
      </c>
      <c r="Q27" s="6">
        <f t="shared" si="155"/>
        <v>833.93974942520515</v>
      </c>
      <c r="R27" s="310">
        <f t="shared" si="156"/>
        <v>866.065154357864</v>
      </c>
      <c r="V27" s="380" t="s">
        <v>170</v>
      </c>
      <c r="W27" s="380" t="s">
        <v>171</v>
      </c>
    </row>
    <row r="28" spans="1:23" ht="15">
      <c r="A28" s="304">
        <f t="shared" si="24"/>
        <v>46133</v>
      </c>
      <c r="B28" s="311">
        <f>+Report1!P29</f>
        <v>44.065999999999995</v>
      </c>
      <c r="C28" s="311">
        <f>+Report1!R29</f>
        <v>43.082999999999998</v>
      </c>
      <c r="D28" s="312">
        <f t="shared" si="145"/>
        <v>93000</v>
      </c>
      <c r="E28" s="312">
        <f>+[3]DailyApr!AH27</f>
        <v>4599.9999999985448</v>
      </c>
      <c r="F28" s="312">
        <f t="shared" si="146"/>
        <v>104.38887123856364</v>
      </c>
      <c r="G28" s="312">
        <f t="shared" si="147"/>
        <v>106.77065199727375</v>
      </c>
      <c r="H28" s="312">
        <f t="shared" si="148"/>
        <v>136253.28</v>
      </c>
      <c r="I28" s="312">
        <f>+[3]DailyApr!AI27</f>
        <v>6713.67</v>
      </c>
      <c r="J28" s="312">
        <f t="shared" si="149"/>
        <v>152.35487677574548</v>
      </c>
      <c r="K28" s="312">
        <f t="shared" si="150"/>
        <v>155.83107025973123</v>
      </c>
      <c r="L28" s="312">
        <f t="shared" si="151"/>
        <v>512773.27999999997</v>
      </c>
      <c r="M28" s="312">
        <f>+[3]DailyApr!AJ27</f>
        <v>24873.67</v>
      </c>
      <c r="N28" s="312">
        <f t="shared" si="152"/>
        <v>564.46398583942266</v>
      </c>
      <c r="O28" s="312">
        <f t="shared" si="153"/>
        <v>577.34303553605832</v>
      </c>
      <c r="P28" s="312">
        <f t="shared" si="154"/>
        <v>36187.339999998541</v>
      </c>
      <c r="Q28" s="6">
        <f t="shared" si="155"/>
        <v>821.20773385373184</v>
      </c>
      <c r="R28" s="310">
        <f t="shared" si="156"/>
        <v>839.94475779306322</v>
      </c>
      <c r="V28" s="380" t="s">
        <v>170</v>
      </c>
      <c r="W28" s="380" t="s">
        <v>171</v>
      </c>
    </row>
    <row r="29" spans="1:23" ht="15">
      <c r="A29" s="304">
        <f t="shared" si="24"/>
        <v>46134</v>
      </c>
      <c r="B29" s="311">
        <f>+Report1!P30</f>
        <v>42.384</v>
      </c>
      <c r="C29" s="311">
        <f>+Report1!R30</f>
        <v>41.222000000000001</v>
      </c>
      <c r="D29" s="312">
        <f t="shared" si="145"/>
        <v>97500</v>
      </c>
      <c r="E29" s="312">
        <f>+[3]DailyApr!AH28</f>
        <v>4500</v>
      </c>
      <c r="F29" s="312">
        <f t="shared" si="146"/>
        <v>106.17214043035108</v>
      </c>
      <c r="G29" s="312">
        <f t="shared" si="147"/>
        <v>109.16500897578962</v>
      </c>
      <c r="H29" s="312">
        <f t="shared" si="148"/>
        <v>143146.38</v>
      </c>
      <c r="I29" s="312">
        <f>+[3]DailyApr!AI28</f>
        <v>6893.1</v>
      </c>
      <c r="J29" s="312">
        <f t="shared" si="149"/>
        <v>162.6344847112118</v>
      </c>
      <c r="K29" s="312">
        <f t="shared" si="150"/>
        <v>167.21896074911456</v>
      </c>
      <c r="L29" s="312">
        <f t="shared" si="151"/>
        <v>536826.38</v>
      </c>
      <c r="M29" s="312">
        <f>+[3]DailyApr!AJ28</f>
        <v>24053.1</v>
      </c>
      <c r="N29" s="312">
        <f t="shared" si="152"/>
        <v>567.50424688561714</v>
      </c>
      <c r="O29" s="312">
        <f t="shared" si="153"/>
        <v>583.50152831012565</v>
      </c>
      <c r="P29" s="312">
        <f t="shared" si="154"/>
        <v>35446.199999999997</v>
      </c>
      <c r="Q29" s="6">
        <f t="shared" si="155"/>
        <v>836.31087202718004</v>
      </c>
      <c r="R29" s="310">
        <f t="shared" si="156"/>
        <v>859.88549803502974</v>
      </c>
      <c r="V29" s="380" t="s">
        <v>170</v>
      </c>
      <c r="W29" s="380" t="s">
        <v>171</v>
      </c>
    </row>
    <row r="30" spans="1:23" ht="15">
      <c r="A30" s="304">
        <f t="shared" si="24"/>
        <v>46135</v>
      </c>
      <c r="B30" s="311">
        <f>+Report1!P31</f>
        <v>44.05</v>
      </c>
      <c r="C30" s="311">
        <f>+Report1!R31</f>
        <v>41.984000000000002</v>
      </c>
      <c r="D30" s="312">
        <f t="shared" si="145"/>
        <v>102000</v>
      </c>
      <c r="E30" s="312">
        <f>+[3]DailyApr!AH29</f>
        <v>4500</v>
      </c>
      <c r="F30" s="312">
        <f t="shared" si="146"/>
        <v>102.15664018161181</v>
      </c>
      <c r="G30" s="312">
        <f t="shared" si="147"/>
        <v>107.18368902439023</v>
      </c>
      <c r="H30" s="312">
        <f t="shared" si="148"/>
        <v>149728.6</v>
      </c>
      <c r="I30" s="312">
        <f>+[3]DailyApr!AI29</f>
        <v>6582.22</v>
      </c>
      <c r="J30" s="312">
        <f t="shared" si="149"/>
        <v>149.42610669693531</v>
      </c>
      <c r="K30" s="312">
        <f t="shared" si="150"/>
        <v>156.77924923780489</v>
      </c>
      <c r="L30" s="312">
        <f t="shared" si="151"/>
        <v>560568.6</v>
      </c>
      <c r="M30" s="312">
        <f>+[3]DailyApr!AJ29</f>
        <v>23742.22</v>
      </c>
      <c r="N30" s="312">
        <f t="shared" si="152"/>
        <v>538.98342792281505</v>
      </c>
      <c r="O30" s="312">
        <f t="shared" si="153"/>
        <v>565.50638338414637</v>
      </c>
      <c r="P30" s="312">
        <f t="shared" si="154"/>
        <v>34824.44</v>
      </c>
      <c r="Q30" s="6">
        <f t="shared" si="155"/>
        <v>790.56617480136219</v>
      </c>
      <c r="R30" s="310">
        <f t="shared" si="156"/>
        <v>829.46932164634143</v>
      </c>
      <c r="V30" s="380" t="s">
        <v>170</v>
      </c>
      <c r="W30" s="380" t="s">
        <v>171</v>
      </c>
    </row>
    <row r="31" spans="1:23" ht="15">
      <c r="A31" s="304">
        <f t="shared" si="24"/>
        <v>46136</v>
      </c>
      <c r="B31" s="311">
        <f>+Report1!P32</f>
        <v>38.176000000000002</v>
      </c>
      <c r="C31" s="311">
        <f>+Report1!R32</f>
        <v>38.561999999999998</v>
      </c>
      <c r="D31" s="312">
        <f t="shared" si="145"/>
        <v>106600.00000000036</v>
      </c>
      <c r="E31" s="312">
        <f>+[3]DailyApr!AH30</f>
        <v>4600.0000000003638</v>
      </c>
      <c r="F31" s="312">
        <f t="shared" si="146"/>
        <v>120.49455155072201</v>
      </c>
      <c r="G31" s="312">
        <f t="shared" si="147"/>
        <v>119.28841865049438</v>
      </c>
      <c r="H31" s="312">
        <f t="shared" si="148"/>
        <v>155642.41</v>
      </c>
      <c r="I31" s="312">
        <f>+[3]DailyApr!AI30</f>
        <v>5913.81</v>
      </c>
      <c r="J31" s="312">
        <f t="shared" si="149"/>
        <v>154.90910519698241</v>
      </c>
      <c r="K31" s="312">
        <f t="shared" si="150"/>
        <v>153.35848763030964</v>
      </c>
      <c r="L31" s="312">
        <f t="shared" si="151"/>
        <v>585642.41</v>
      </c>
      <c r="M31" s="312">
        <f>+[3]DailyApr!AJ30</f>
        <v>25073.81</v>
      </c>
      <c r="N31" s="312">
        <f t="shared" si="152"/>
        <v>656.79510687342838</v>
      </c>
      <c r="O31" s="312">
        <f t="shared" si="153"/>
        <v>650.22068357450348</v>
      </c>
      <c r="P31" s="312">
        <f t="shared" si="154"/>
        <v>35587.620000000366</v>
      </c>
      <c r="Q31" s="6">
        <f t="shared" si="155"/>
        <v>932.1987636211328</v>
      </c>
      <c r="R31" s="310">
        <f t="shared" si="156"/>
        <v>922.86758985530753</v>
      </c>
      <c r="V31" s="380" t="s">
        <v>170</v>
      </c>
      <c r="W31" s="380" t="s">
        <v>171</v>
      </c>
    </row>
    <row r="32" spans="1:23" ht="15">
      <c r="A32" s="304">
        <f t="shared" si="24"/>
        <v>46137</v>
      </c>
      <c r="B32" s="311">
        <f>+Report1!P33</f>
        <v>39.643999999999998</v>
      </c>
      <c r="C32" s="311">
        <f>+Report1!R33</f>
        <v>38.869</v>
      </c>
      <c r="D32" s="312">
        <f t="shared" si="145"/>
        <v>111200.00000000073</v>
      </c>
      <c r="E32" s="312">
        <f>+[3]DailyApr!AH31</f>
        <v>4600.0000000003638</v>
      </c>
      <c r="F32" s="312">
        <f t="shared" si="146"/>
        <v>116.03269094945929</v>
      </c>
      <c r="G32" s="312">
        <f t="shared" si="147"/>
        <v>118.34623993414711</v>
      </c>
      <c r="H32" s="312">
        <f t="shared" si="148"/>
        <v>162746.11000000002</v>
      </c>
      <c r="I32" s="312">
        <f>+[3]DailyApr!AI31</f>
        <v>7103.7</v>
      </c>
      <c r="J32" s="312">
        <f t="shared" si="149"/>
        <v>179.1872666733932</v>
      </c>
      <c r="K32" s="312">
        <f t="shared" si="150"/>
        <v>182.76004013481179</v>
      </c>
      <c r="L32" s="312">
        <f t="shared" si="151"/>
        <v>610906.11</v>
      </c>
      <c r="M32" s="312">
        <f>+[3]DailyApr!AJ31</f>
        <v>25263.7</v>
      </c>
      <c r="N32" s="312">
        <f t="shared" si="152"/>
        <v>637.26415094339632</v>
      </c>
      <c r="O32" s="312">
        <f t="shared" si="153"/>
        <v>649.9704134400165</v>
      </c>
      <c r="P32" s="312">
        <f t="shared" si="154"/>
        <v>36967.400000000365</v>
      </c>
      <c r="Q32" s="6">
        <f t="shared" si="155"/>
        <v>932.48410856624878</v>
      </c>
      <c r="R32" s="310">
        <f t="shared" si="156"/>
        <v>951.07669350897538</v>
      </c>
      <c r="V32" s="380" t="s">
        <v>170</v>
      </c>
      <c r="W32" s="380" t="s">
        <v>171</v>
      </c>
    </row>
    <row r="33" spans="1:18">
      <c r="A33" s="304">
        <f t="shared" si="24"/>
        <v>46138</v>
      </c>
      <c r="B33" s="311">
        <f>+Report1!P34</f>
        <v>42.364000000000004</v>
      </c>
      <c r="C33" s="311">
        <f>+Report1!R34</f>
        <v>40.670999999999999</v>
      </c>
      <c r="D33" s="312">
        <f t="shared" si="145"/>
        <v>115700.00000000073</v>
      </c>
      <c r="E33" s="312">
        <f>+[3]DailyApr!AH32</f>
        <v>4500</v>
      </c>
      <c r="F33" s="312">
        <f t="shared" si="146"/>
        <v>106.2222641865735</v>
      </c>
      <c r="G33" s="312">
        <f t="shared" si="147"/>
        <v>110.64394777605665</v>
      </c>
      <c r="H33" s="312">
        <f t="shared" si="148"/>
        <v>169305.72</v>
      </c>
      <c r="I33" s="312">
        <f>+[3]DailyApr!AI32</f>
        <v>6559.61</v>
      </c>
      <c r="J33" s="312">
        <f t="shared" si="149"/>
        <v>154.8392503068643</v>
      </c>
      <c r="K33" s="312">
        <f t="shared" si="150"/>
        <v>161.28469917139975</v>
      </c>
      <c r="L33" s="312">
        <f t="shared" si="151"/>
        <v>635625.72</v>
      </c>
      <c r="M33" s="312">
        <f>+[3]DailyApr!AJ32</f>
        <v>24719.61</v>
      </c>
      <c r="N33" s="312">
        <f t="shared" si="152"/>
        <v>583.50509866868094</v>
      </c>
      <c r="O33" s="312">
        <f t="shared" si="153"/>
        <v>607.79449730766396</v>
      </c>
      <c r="P33" s="312">
        <f t="shared" si="154"/>
        <v>35779.22</v>
      </c>
      <c r="Q33" s="6">
        <f t="shared" si="155"/>
        <v>844.56661316211876</v>
      </c>
      <c r="R33" s="310">
        <f t="shared" si="156"/>
        <v>879.72314425512036</v>
      </c>
    </row>
    <row r="34" spans="1:18">
      <c r="A34" s="304">
        <f t="shared" si="24"/>
        <v>46139</v>
      </c>
      <c r="B34" s="311">
        <f>+Report1!P35</f>
        <v>42.835999999999999</v>
      </c>
      <c r="C34" s="311">
        <f>+Report1!R35</f>
        <v>40.524000000000001</v>
      </c>
      <c r="D34" s="312">
        <f t="shared" si="145"/>
        <v>120200.00000000073</v>
      </c>
      <c r="E34" s="312">
        <f>+[3]DailyApr!AH33</f>
        <v>4500</v>
      </c>
      <c r="F34" s="312">
        <f t="shared" si="146"/>
        <v>105.05182556727986</v>
      </c>
      <c r="G34" s="312">
        <f t="shared" si="147"/>
        <v>111.0453064850459</v>
      </c>
      <c r="H34" s="312">
        <f t="shared" si="148"/>
        <v>175811.57</v>
      </c>
      <c r="I34" s="312">
        <f>+[3]DailyApr!AI33</f>
        <v>6505.85</v>
      </c>
      <c r="J34" s="312">
        <f t="shared" si="149"/>
        <v>151.87809319264173</v>
      </c>
      <c r="K34" s="312">
        <f t="shared" si="150"/>
        <v>160.54313493238575</v>
      </c>
      <c r="L34" s="312">
        <f t="shared" si="151"/>
        <v>660291.56999999995</v>
      </c>
      <c r="M34" s="312">
        <f>+[3]DailyApr!AJ33</f>
        <v>24665.85</v>
      </c>
      <c r="N34" s="312">
        <f t="shared" si="152"/>
        <v>575.8205714819311</v>
      </c>
      <c r="O34" s="312">
        <f t="shared" si="153"/>
        <v>608.67263843648209</v>
      </c>
      <c r="P34" s="312">
        <f t="shared" si="154"/>
        <v>35671.699999999997</v>
      </c>
      <c r="Q34" s="6">
        <f t="shared" si="155"/>
        <v>832.75049024185262</v>
      </c>
      <c r="R34" s="310">
        <f t="shared" si="156"/>
        <v>880.26107985391366</v>
      </c>
    </row>
    <row r="35" spans="1:18">
      <c r="A35" s="304">
        <f t="shared" si="24"/>
        <v>46140</v>
      </c>
      <c r="B35" s="311">
        <f>+Report1!P36</f>
        <v>41.369</v>
      </c>
      <c r="C35" s="311">
        <f>+Report1!R36</f>
        <v>40.814</v>
      </c>
      <c r="D35" s="312">
        <f t="shared" si="145"/>
        <v>124900.00000000146</v>
      </c>
      <c r="E35" s="312">
        <f>+[3]DailyApr!AH34</f>
        <v>4700.0000000007276</v>
      </c>
      <c r="F35" s="312">
        <f t="shared" si="146"/>
        <v>113.61164156737479</v>
      </c>
      <c r="G35" s="312">
        <f t="shared" si="147"/>
        <v>115.1565639241615</v>
      </c>
      <c r="H35" s="312">
        <f t="shared" si="148"/>
        <v>182928.63</v>
      </c>
      <c r="I35" s="312">
        <f>+[3]DailyApr!AI34</f>
        <v>7117.06</v>
      </c>
      <c r="J35" s="312">
        <f t="shared" si="149"/>
        <v>172.03848292199473</v>
      </c>
      <c r="K35" s="312">
        <f t="shared" si="150"/>
        <v>174.37790954084383</v>
      </c>
      <c r="L35" s="312">
        <f t="shared" si="151"/>
        <v>686568.63</v>
      </c>
      <c r="M35" s="312">
        <f>+[3]DailyApr!AJ34</f>
        <v>26277.06</v>
      </c>
      <c r="N35" s="312">
        <f t="shared" si="152"/>
        <v>635.18721748168923</v>
      </c>
      <c r="O35" s="312">
        <f t="shared" si="153"/>
        <v>643.82466800607642</v>
      </c>
      <c r="P35" s="312">
        <f t="shared" si="154"/>
        <v>38094.12000000073</v>
      </c>
      <c r="Q35" s="6">
        <f t="shared" si="155"/>
        <v>920.83734197105878</v>
      </c>
      <c r="R35" s="310">
        <f t="shared" si="156"/>
        <v>933.35914147108178</v>
      </c>
    </row>
    <row r="36" spans="1:18">
      <c r="A36" s="304">
        <f t="shared" si="24"/>
        <v>46141</v>
      </c>
      <c r="B36" s="311">
        <f>+Report1!P37</f>
        <v>29.343999999999998</v>
      </c>
      <c r="C36" s="311">
        <f>+Report1!R37</f>
        <v>28.553000000000001</v>
      </c>
      <c r="D36" s="312">
        <f t="shared" si="145"/>
        <v>129100.00000000036</v>
      </c>
      <c r="E36" s="312">
        <f>+[3]DailyApr!AH35</f>
        <v>4199.9999999989086</v>
      </c>
      <c r="F36" s="312">
        <f t="shared" si="146"/>
        <v>143.12977099232924</v>
      </c>
      <c r="G36" s="312">
        <f t="shared" si="147"/>
        <v>147.09487619510764</v>
      </c>
      <c r="H36" s="312">
        <f t="shared" si="148"/>
        <v>189152.5</v>
      </c>
      <c r="I36" s="312">
        <f>+[3]DailyApr!AI35</f>
        <v>6223.87</v>
      </c>
      <c r="J36" s="312">
        <f t="shared" si="149"/>
        <v>212.10025899672848</v>
      </c>
      <c r="K36" s="312">
        <f t="shared" si="150"/>
        <v>217.97604454873391</v>
      </c>
      <c r="L36" s="312">
        <f t="shared" si="151"/>
        <v>708952.5</v>
      </c>
      <c r="M36" s="312">
        <f>+[3]DailyApr!AJ35</f>
        <v>22383.87</v>
      </c>
      <c r="N36" s="312">
        <f t="shared" si="152"/>
        <v>762.80909214830979</v>
      </c>
      <c r="O36" s="312">
        <f t="shared" si="153"/>
        <v>783.94109200434275</v>
      </c>
      <c r="P36" s="312">
        <f t="shared" si="154"/>
        <v>32807.739999998907</v>
      </c>
      <c r="Q36" s="6">
        <f t="shared" si="155"/>
        <v>1118.0391221373675</v>
      </c>
      <c r="R36" s="310">
        <f t="shared" si="156"/>
        <v>1149.0120127481844</v>
      </c>
    </row>
    <row r="37" spans="1:18">
      <c r="A37" s="304">
        <f t="shared" si="24"/>
        <v>46142</v>
      </c>
      <c r="B37" s="311">
        <f>+Report1!P38</f>
        <v>33.688999999999993</v>
      </c>
      <c r="C37" s="311">
        <f>+Report1!R38</f>
        <v>29.588000000000001</v>
      </c>
      <c r="D37" s="312">
        <f t="shared" si="145"/>
        <v>133400.00000000146</v>
      </c>
      <c r="E37" s="312">
        <f>+[3]DailyApr!AH36</f>
        <v>4300.0000000010914</v>
      </c>
      <c r="F37" s="312">
        <f t="shared" si="146"/>
        <v>127.63810145748144</v>
      </c>
      <c r="G37" s="312">
        <f t="shared" si="147"/>
        <v>145.32918750848626</v>
      </c>
      <c r="H37" s="312">
        <f t="shared" si="148"/>
        <v>197265.59</v>
      </c>
      <c r="I37" s="312">
        <f>+[3]DailyApr!AI36</f>
        <v>8113.09</v>
      </c>
      <c r="J37" s="312">
        <f t="shared" si="149"/>
        <v>240.82311733800356</v>
      </c>
      <c r="K37" s="312">
        <f t="shared" si="150"/>
        <v>274.2020413681222</v>
      </c>
      <c r="L37" s="312">
        <f t="shared" si="151"/>
        <v>734225.59</v>
      </c>
      <c r="M37" s="312">
        <f>+[3]DailyApr!AJ36</f>
        <v>25273.09</v>
      </c>
      <c r="N37" s="312">
        <f t="shared" si="152"/>
        <v>750.18819199145139</v>
      </c>
      <c r="O37" s="312">
        <f t="shared" si="153"/>
        <v>854.16689198323638</v>
      </c>
      <c r="P37" s="312">
        <f t="shared" si="154"/>
        <v>37686.180000001092</v>
      </c>
      <c r="Q37" s="6">
        <f t="shared" si="155"/>
        <v>1118.6494107869364</v>
      </c>
      <c r="R37" s="310">
        <f t="shared" si="156"/>
        <v>1273.6981208598449</v>
      </c>
    </row>
    <row r="38" spans="1:18">
      <c r="A38" s="304">
        <f t="shared" si="24"/>
        <v>46143</v>
      </c>
      <c r="B38" s="311">
        <f>+Report1!P39</f>
        <v>0</v>
      </c>
      <c r="C38" s="311">
        <f>+Report1!R39</f>
        <v>0</v>
      </c>
      <c r="D38" s="312">
        <f t="shared" si="145"/>
        <v>133400.00000000146</v>
      </c>
      <c r="E38" s="312">
        <f>+[3]DailyApr!AH37</f>
        <v>0</v>
      </c>
      <c r="F38" s="312" t="e">
        <f t="shared" si="146"/>
        <v>#DIV/0!</v>
      </c>
      <c r="G38" s="312" t="e">
        <f t="shared" si="147"/>
        <v>#DIV/0!</v>
      </c>
      <c r="H38" s="312">
        <f t="shared" si="148"/>
        <v>197265.59</v>
      </c>
      <c r="I38" s="312">
        <f>+[3]DailyApr!AI37</f>
        <v>0</v>
      </c>
      <c r="J38" s="312" t="e">
        <f t="shared" si="149"/>
        <v>#DIV/0!</v>
      </c>
      <c r="K38" s="312" t="e">
        <f t="shared" si="150"/>
        <v>#DIV/0!</v>
      </c>
      <c r="L38" s="312">
        <f t="shared" si="151"/>
        <v>734225.59</v>
      </c>
      <c r="M38" s="312">
        <f>+[3]DailyApr!AJ37</f>
        <v>0</v>
      </c>
      <c r="N38" s="312" t="e">
        <f t="shared" si="152"/>
        <v>#DIV/0!</v>
      </c>
      <c r="O38" s="312" t="e">
        <f t="shared" si="153"/>
        <v>#DIV/0!</v>
      </c>
      <c r="P38" s="312">
        <f t="shared" si="154"/>
        <v>0</v>
      </c>
      <c r="Q38" s="6" t="e">
        <f t="shared" si="155"/>
        <v>#DIV/0!</v>
      </c>
      <c r="R38" s="310" t="e">
        <f t="shared" si="156"/>
        <v>#DIV/0!</v>
      </c>
    </row>
    <row r="39" spans="1:18">
      <c r="A39" s="304"/>
      <c r="B39" s="311"/>
      <c r="C39" s="311"/>
      <c r="D39" s="300"/>
      <c r="E39" s="312"/>
      <c r="F39" s="306"/>
      <c r="G39" s="306"/>
      <c r="H39" s="302"/>
      <c r="I39" s="312"/>
      <c r="J39" s="306"/>
      <c r="K39" s="306"/>
      <c r="L39" s="303"/>
      <c r="M39" s="312"/>
      <c r="N39" s="307"/>
      <c r="O39" s="307"/>
      <c r="P39" s="308"/>
      <c r="Q39" s="309"/>
      <c r="R39" s="310"/>
    </row>
    <row r="40" spans="1:18">
      <c r="A40" s="313" t="s">
        <v>28</v>
      </c>
      <c r="B40" s="314">
        <f>SUM(B8:B38)</f>
        <v>1169.921</v>
      </c>
      <c r="C40" s="314">
        <f>SUM(C8:C38)</f>
        <v>1129.4960000000003</v>
      </c>
      <c r="D40" s="316"/>
      <c r="E40" s="312">
        <f>SUM(E8:E39)</f>
        <v>133400.00000000146</v>
      </c>
      <c r="F40" s="315">
        <f>E40/B40</f>
        <v>114.02479312705853</v>
      </c>
      <c r="G40" s="315">
        <f>E40/C40</f>
        <v>118.10577461097819</v>
      </c>
      <c r="H40" s="317"/>
      <c r="I40" s="312">
        <f>SUM(I8:I39)</f>
        <v>197265.59</v>
      </c>
      <c r="J40" s="315">
        <f>I40/B40</f>
        <v>168.61445345454948</v>
      </c>
      <c r="K40" s="315">
        <f>I40/C40</f>
        <v>174.64921522519774</v>
      </c>
      <c r="L40" s="318"/>
      <c r="M40" s="312">
        <f>SUM(M8:M39)</f>
        <v>734225.59</v>
      </c>
      <c r="N40" s="315">
        <f>M40/B40</f>
        <v>627.58561475518422</v>
      </c>
      <c r="O40" s="315">
        <f>M40/C40</f>
        <v>650.04709180023633</v>
      </c>
      <c r="P40" s="312">
        <f t="shared" ref="P40" si="157">+E40+I40+M40</f>
        <v>1064891.1800000016</v>
      </c>
      <c r="Q40" s="379">
        <f>P40/B40</f>
        <v>910.2248613367924</v>
      </c>
      <c r="R40" s="317">
        <f>P40/C40</f>
        <v>942.80208163641237</v>
      </c>
    </row>
    <row r="42" spans="1:18">
      <c r="P42" s="4">
        <v>-1320860.8400000001</v>
      </c>
    </row>
    <row r="43" spans="1:18">
      <c r="D43" s="320"/>
    </row>
    <row r="44" spans="1:18">
      <c r="E44" s="319"/>
      <c r="H44" s="319"/>
    </row>
  </sheetData>
  <mergeCells count="9">
    <mergeCell ref="A2:P2"/>
    <mergeCell ref="D4:O4"/>
    <mergeCell ref="P4:R5"/>
    <mergeCell ref="A4:A6"/>
    <mergeCell ref="B4:B6"/>
    <mergeCell ref="C4:C6"/>
    <mergeCell ref="D5:G5"/>
    <mergeCell ref="H5:K5"/>
    <mergeCell ref="L5:O5"/>
  </mergeCells>
  <phoneticPr fontId="32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opLeftCell="A67" workbookViewId="0">
      <selection activeCell="H85" sqref="H85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9">
      <c r="A1" s="417" t="s">
        <v>186</v>
      </c>
      <c r="B1" s="325">
        <f>+Report1!A9</f>
        <v>46113</v>
      </c>
      <c r="C1" s="91"/>
      <c r="G1" s="92"/>
      <c r="H1" s="93"/>
    </row>
    <row r="2" spans="1:9" ht="13.5" thickBot="1">
      <c r="A2" s="90"/>
      <c r="B2" s="91"/>
      <c r="C2" s="91"/>
      <c r="G2" s="92"/>
      <c r="H2" s="93"/>
    </row>
    <row r="3" spans="1:9" ht="26.25" thickBot="1">
      <c r="A3" s="378" t="s">
        <v>120</v>
      </c>
      <c r="B3" s="364" t="s">
        <v>9</v>
      </c>
      <c r="C3" s="364" t="s">
        <v>93</v>
      </c>
      <c r="D3" s="364" t="s">
        <v>121</v>
      </c>
      <c r="E3" s="364" t="s">
        <v>122</v>
      </c>
      <c r="F3" s="364" t="s">
        <v>123</v>
      </c>
      <c r="G3" s="365" t="s">
        <v>124</v>
      </c>
      <c r="H3" s="366" t="s">
        <v>125</v>
      </c>
      <c r="I3" s="558" t="s">
        <v>394</v>
      </c>
    </row>
    <row r="4" spans="1:9">
      <c r="A4" s="329">
        <f>+B1</f>
        <v>46113</v>
      </c>
      <c r="B4" s="381" t="s">
        <v>408</v>
      </c>
      <c r="C4" s="330">
        <v>2</v>
      </c>
      <c r="D4" s="363" t="s">
        <v>417</v>
      </c>
      <c r="E4" s="330">
        <f>133*2</f>
        <v>266</v>
      </c>
      <c r="F4" s="363">
        <f>108/2</f>
        <v>54</v>
      </c>
      <c r="G4" s="330">
        <f>+E4*F4</f>
        <v>14364</v>
      </c>
      <c r="H4" s="383">
        <f>+SUM(G4/F4)</f>
        <v>266</v>
      </c>
      <c r="I4" s="559">
        <f>+'1'!I38</f>
        <v>36.92</v>
      </c>
    </row>
    <row r="5" spans="1:9" ht="13.5" thickBot="1">
      <c r="A5" s="367"/>
      <c r="B5" s="382"/>
      <c r="C5" s="368"/>
      <c r="D5" s="369"/>
      <c r="E5" s="368"/>
      <c r="F5" s="368"/>
      <c r="G5" s="368"/>
      <c r="H5" s="384"/>
      <c r="I5" s="384"/>
    </row>
    <row r="6" spans="1:9">
      <c r="A6" s="329">
        <v>46114</v>
      </c>
      <c r="B6" s="381" t="s">
        <v>408</v>
      </c>
      <c r="C6" s="330">
        <v>2</v>
      </c>
      <c r="D6" s="363" t="s">
        <v>417</v>
      </c>
      <c r="E6" s="330">
        <f>133*2</f>
        <v>266</v>
      </c>
      <c r="F6" s="363">
        <v>60</v>
      </c>
      <c r="G6" s="330">
        <f>+E6*F6</f>
        <v>15960</v>
      </c>
      <c r="H6" s="383">
        <f>+SUM(G6/F6)</f>
        <v>266</v>
      </c>
      <c r="I6" s="559">
        <f>+'2'!I38</f>
        <v>38.343000000000004</v>
      </c>
    </row>
    <row r="7" spans="1:9" ht="13.5" thickBot="1">
      <c r="A7" s="367"/>
      <c r="B7" s="382"/>
      <c r="C7" s="368"/>
      <c r="D7" s="369"/>
      <c r="E7" s="368"/>
      <c r="F7" s="368"/>
      <c r="G7" s="368"/>
      <c r="H7" s="384"/>
      <c r="I7" s="384"/>
    </row>
    <row r="8" spans="1:9">
      <c r="A8" s="329">
        <v>46115</v>
      </c>
      <c r="B8" s="381" t="s">
        <v>408</v>
      </c>
      <c r="C8" s="330">
        <v>2</v>
      </c>
      <c r="D8" s="363" t="s">
        <v>417</v>
      </c>
      <c r="E8" s="330">
        <f>133*2</f>
        <v>266</v>
      </c>
      <c r="F8" s="363">
        <f>116/2</f>
        <v>58</v>
      </c>
      <c r="G8" s="330">
        <f>+E8*F8</f>
        <v>15428</v>
      </c>
      <c r="H8" s="383">
        <f>+SUM(G8/F8)</f>
        <v>266</v>
      </c>
      <c r="I8" s="559">
        <f>+'3'!I38</f>
        <v>37.472000000000001</v>
      </c>
    </row>
    <row r="9" spans="1:9" ht="13.5" thickBot="1">
      <c r="A9" s="367"/>
      <c r="B9" s="382"/>
      <c r="C9" s="368"/>
      <c r="D9" s="369"/>
      <c r="E9" s="368"/>
      <c r="F9" s="368"/>
      <c r="G9" s="368"/>
      <c r="H9" s="384"/>
      <c r="I9" s="384"/>
    </row>
    <row r="10" spans="1:9">
      <c r="A10" s="329">
        <v>46116</v>
      </c>
      <c r="B10" s="381" t="s">
        <v>408</v>
      </c>
      <c r="C10" s="330">
        <v>2</v>
      </c>
      <c r="D10" s="363" t="s">
        <v>417</v>
      </c>
      <c r="E10" s="330">
        <f>133*2</f>
        <v>266</v>
      </c>
      <c r="F10" s="363">
        <f>3+10+3+6</f>
        <v>22</v>
      </c>
      <c r="G10" s="330">
        <f>+E10*F10</f>
        <v>5852</v>
      </c>
      <c r="H10" s="383">
        <f>+SUM(G10/F10)</f>
        <v>266</v>
      </c>
      <c r="I10" s="559">
        <f>+'4'!I38</f>
        <v>42.465000000000003</v>
      </c>
    </row>
    <row r="11" spans="1:9">
      <c r="A11" s="561"/>
      <c r="B11" s="562" t="s">
        <v>443</v>
      </c>
      <c r="C11" s="565">
        <v>2</v>
      </c>
      <c r="D11" s="566" t="s">
        <v>454</v>
      </c>
      <c r="E11" s="563">
        <f>275*1</f>
        <v>275</v>
      </c>
      <c r="F11" s="564">
        <v>4</v>
      </c>
      <c r="G11" s="563">
        <f t="shared" ref="G11:G13" si="0">+E11*F11</f>
        <v>1100</v>
      </c>
      <c r="H11" s="559">
        <f>+SUM(G11/F11)</f>
        <v>275</v>
      </c>
      <c r="I11" s="559"/>
    </row>
    <row r="12" spans="1:9">
      <c r="A12" s="561"/>
      <c r="B12" s="562" t="s">
        <v>444</v>
      </c>
      <c r="C12" s="565">
        <v>2</v>
      </c>
      <c r="D12" s="566" t="s">
        <v>455</v>
      </c>
      <c r="E12" s="563">
        <f>130.5*2</f>
        <v>261</v>
      </c>
      <c r="F12" s="564">
        <f>13+2</f>
        <v>15</v>
      </c>
      <c r="G12" s="563">
        <f t="shared" si="0"/>
        <v>3915</v>
      </c>
      <c r="H12" s="559">
        <f>+(F12*E12+F13*E13+F14*E14)/SUM(F12:F14)</f>
        <v>263.11538461538464</v>
      </c>
      <c r="I12" s="559"/>
    </row>
    <row r="13" spans="1:9">
      <c r="A13" s="561"/>
      <c r="B13" s="562" t="s">
        <v>444</v>
      </c>
      <c r="C13" s="565">
        <v>2</v>
      </c>
      <c r="D13" s="566" t="s">
        <v>417</v>
      </c>
      <c r="E13" s="563">
        <f>133*2</f>
        <v>266</v>
      </c>
      <c r="F13" s="566">
        <v>11</v>
      </c>
      <c r="G13" s="563">
        <f t="shared" si="0"/>
        <v>2926</v>
      </c>
      <c r="H13" s="559"/>
      <c r="I13" s="559"/>
    </row>
    <row r="14" spans="1:9" ht="13.5" thickBot="1">
      <c r="A14" s="367"/>
      <c r="B14" s="382"/>
      <c r="C14" s="368"/>
      <c r="D14" s="369"/>
      <c r="E14" s="368"/>
      <c r="F14" s="368"/>
      <c r="G14" s="368"/>
      <c r="H14" s="384"/>
      <c r="I14" s="384"/>
    </row>
    <row r="15" spans="1:9">
      <c r="A15" s="329">
        <v>46117</v>
      </c>
      <c r="B15" s="381" t="s">
        <v>408</v>
      </c>
      <c r="C15" s="330">
        <v>2</v>
      </c>
      <c r="D15" s="363" t="s">
        <v>417</v>
      </c>
      <c r="E15" s="330">
        <f>133*2</f>
        <v>266</v>
      </c>
      <c r="F15" s="363">
        <f>13+7+13+5+13+9</f>
        <v>60</v>
      </c>
      <c r="G15" s="330">
        <f>+E15*F15</f>
        <v>15960</v>
      </c>
      <c r="H15" s="383">
        <f>+SUM(G15/F15)</f>
        <v>266</v>
      </c>
      <c r="I15" s="559">
        <f>+'5'!I38</f>
        <v>39.04</v>
      </c>
    </row>
    <row r="16" spans="1:9" ht="13.5" thickBot="1">
      <c r="A16" s="367"/>
      <c r="B16" s="382"/>
      <c r="C16" s="368"/>
      <c r="D16" s="369"/>
      <c r="E16" s="368"/>
      <c r="F16" s="368"/>
      <c r="G16" s="368"/>
      <c r="H16" s="384"/>
      <c r="I16" s="384"/>
    </row>
    <row r="17" spans="1:9">
      <c r="A17" s="329">
        <v>46118</v>
      </c>
      <c r="B17" s="381" t="s">
        <v>408</v>
      </c>
      <c r="C17" s="330">
        <v>2</v>
      </c>
      <c r="D17" s="363" t="s">
        <v>417</v>
      </c>
      <c r="E17" s="330">
        <f>133*2</f>
        <v>266</v>
      </c>
      <c r="F17" s="363">
        <v>12</v>
      </c>
      <c r="G17" s="330">
        <f>+E17*F17</f>
        <v>3192</v>
      </c>
      <c r="H17" s="383">
        <f>+SUM(G17/F17)</f>
        <v>266</v>
      </c>
      <c r="I17" s="559">
        <f>+'6'!I38</f>
        <v>41.542000000000002</v>
      </c>
    </row>
    <row r="18" spans="1:9">
      <c r="A18" s="561"/>
      <c r="B18" s="562" t="s">
        <v>460</v>
      </c>
      <c r="C18" s="565">
        <v>2</v>
      </c>
      <c r="D18" s="566" t="s">
        <v>417</v>
      </c>
      <c r="E18" s="563">
        <f>133*2</f>
        <v>266</v>
      </c>
      <c r="F18" s="564">
        <v>8</v>
      </c>
      <c r="G18" s="563">
        <f>+E18*F18</f>
        <v>2128</v>
      </c>
      <c r="H18" s="559">
        <f>+SUM(G18/F18)</f>
        <v>266</v>
      </c>
      <c r="I18" s="559"/>
    </row>
    <row r="19" spans="1:9">
      <c r="A19" s="561"/>
      <c r="B19" s="562" t="s">
        <v>443</v>
      </c>
      <c r="C19" s="565">
        <v>2</v>
      </c>
      <c r="D19" s="566" t="s">
        <v>468</v>
      </c>
      <c r="E19" s="563">
        <f>120+140</f>
        <v>260</v>
      </c>
      <c r="F19" s="564">
        <v>35</v>
      </c>
      <c r="G19" s="563">
        <f>+E19*F19</f>
        <v>9100</v>
      </c>
      <c r="H19" s="559">
        <f>+SUM(G19/F19)</f>
        <v>260</v>
      </c>
      <c r="I19" s="559"/>
    </row>
    <row r="20" spans="1:9" ht="13.5" thickBot="1">
      <c r="A20" s="367"/>
      <c r="B20" s="382"/>
      <c r="C20" s="368"/>
      <c r="D20" s="369"/>
      <c r="E20" s="368"/>
      <c r="F20" s="368"/>
      <c r="G20" s="368"/>
      <c r="H20" s="384"/>
      <c r="I20" s="384"/>
    </row>
    <row r="21" spans="1:9">
      <c r="A21" s="561">
        <v>46119</v>
      </c>
      <c r="B21" s="562" t="s">
        <v>443</v>
      </c>
      <c r="C21" s="565">
        <v>2</v>
      </c>
      <c r="D21" s="566" t="s">
        <v>468</v>
      </c>
      <c r="E21" s="563">
        <f>120+140</f>
        <v>260</v>
      </c>
      <c r="F21" s="564">
        <f>13+6+12+11+8</f>
        <v>50</v>
      </c>
      <c r="G21" s="563">
        <f>+E21*F21</f>
        <v>13000</v>
      </c>
      <c r="H21" s="559">
        <f>+SUM(G21/F21)</f>
        <v>260</v>
      </c>
      <c r="I21" s="559">
        <f>+'7'!I38</f>
        <v>43.432000000000002</v>
      </c>
    </row>
    <row r="22" spans="1:9">
      <c r="A22" s="561"/>
      <c r="B22" s="562" t="s">
        <v>475</v>
      </c>
      <c r="C22" s="565">
        <v>2</v>
      </c>
      <c r="D22" s="566" t="s">
        <v>454</v>
      </c>
      <c r="E22" s="563">
        <f>275*1</f>
        <v>275</v>
      </c>
      <c r="F22" s="564">
        <v>3</v>
      </c>
      <c r="G22" s="563">
        <f>+E22*F22</f>
        <v>825</v>
      </c>
      <c r="H22" s="559">
        <f>+SUM(G22/F22)</f>
        <v>275</v>
      </c>
      <c r="I22" s="559"/>
    </row>
    <row r="23" spans="1:9" ht="13.5" thickBot="1">
      <c r="A23" s="367"/>
      <c r="B23" s="382"/>
      <c r="C23" s="368"/>
      <c r="D23" s="369"/>
      <c r="E23" s="368"/>
      <c r="F23" s="368"/>
      <c r="G23" s="368"/>
      <c r="H23" s="384"/>
      <c r="I23" s="384"/>
    </row>
    <row r="24" spans="1:9">
      <c r="A24" s="561">
        <v>46120</v>
      </c>
      <c r="B24" s="562" t="s">
        <v>443</v>
      </c>
      <c r="C24" s="565">
        <v>2</v>
      </c>
      <c r="D24" s="566" t="s">
        <v>468</v>
      </c>
      <c r="E24" s="563">
        <f>120+140</f>
        <v>260</v>
      </c>
      <c r="F24" s="564">
        <v>18</v>
      </c>
      <c r="G24" s="563">
        <f>+E24*F24</f>
        <v>4680</v>
      </c>
      <c r="H24" s="559">
        <f>+SUM(G24/F24)</f>
        <v>260</v>
      </c>
      <c r="I24" s="559">
        <f>+'8'!I38</f>
        <v>43.382000000000005</v>
      </c>
    </row>
    <row r="25" spans="1:9">
      <c r="A25" s="561"/>
      <c r="B25" s="562" t="s">
        <v>475</v>
      </c>
      <c r="C25" s="565">
        <v>2</v>
      </c>
      <c r="D25" s="566" t="s">
        <v>454</v>
      </c>
      <c r="E25" s="563">
        <f>275*1</f>
        <v>275</v>
      </c>
      <c r="F25" s="564">
        <f>10+2+10</f>
        <v>22</v>
      </c>
      <c r="G25" s="563">
        <f>+E25*F25</f>
        <v>6050</v>
      </c>
      <c r="H25" s="559">
        <f>+SUM(G25/F25)</f>
        <v>275</v>
      </c>
      <c r="I25" s="559"/>
    </row>
    <row r="26" spans="1:9" ht="13.5" thickBot="1">
      <c r="A26" s="367"/>
      <c r="B26" s="382"/>
      <c r="C26" s="368"/>
      <c r="D26" s="369"/>
      <c r="E26" s="368"/>
      <c r="F26" s="368"/>
      <c r="G26" s="368"/>
      <c r="H26" s="384"/>
      <c r="I26" s="384"/>
    </row>
    <row r="27" spans="1:9">
      <c r="A27" s="561">
        <v>46121</v>
      </c>
      <c r="B27" s="562" t="s">
        <v>501</v>
      </c>
      <c r="C27" s="565">
        <v>2</v>
      </c>
      <c r="D27" s="566" t="s">
        <v>517</v>
      </c>
      <c r="E27" s="566">
        <f>136.5+117+15.5</f>
        <v>269</v>
      </c>
      <c r="F27" s="564">
        <v>4</v>
      </c>
      <c r="G27" s="563">
        <f>+E27*F27</f>
        <v>1076</v>
      </c>
      <c r="H27" s="559">
        <f>+SUM(G27/F27)</f>
        <v>269</v>
      </c>
      <c r="I27" s="559">
        <f>+'9'!I38</f>
        <v>5.7360000000000007</v>
      </c>
    </row>
    <row r="28" spans="1:9">
      <c r="A28" s="561"/>
      <c r="B28" s="562" t="s">
        <v>504</v>
      </c>
      <c r="C28" s="565">
        <v>2</v>
      </c>
      <c r="D28" s="566" t="s">
        <v>417</v>
      </c>
      <c r="E28" s="563">
        <f>133*2</f>
        <v>266</v>
      </c>
      <c r="F28" s="564">
        <v>1</v>
      </c>
      <c r="G28" s="563">
        <f>+E28*F28</f>
        <v>266</v>
      </c>
      <c r="H28" s="559">
        <f>+SUM(G28/F28)</f>
        <v>266</v>
      </c>
      <c r="I28" s="559"/>
    </row>
    <row r="29" spans="1:9" ht="13.5" thickBot="1">
      <c r="A29" s="367"/>
      <c r="B29" s="382"/>
      <c r="C29" s="368"/>
      <c r="D29" s="369"/>
      <c r="E29" s="368"/>
      <c r="F29" s="368"/>
      <c r="G29" s="368"/>
      <c r="H29" s="384"/>
      <c r="I29" s="384"/>
    </row>
    <row r="30" spans="1:9">
      <c r="A30" s="561">
        <v>46122</v>
      </c>
      <c r="B30" s="562" t="s">
        <v>526</v>
      </c>
      <c r="C30" s="565">
        <v>2</v>
      </c>
      <c r="D30" s="566" t="s">
        <v>533</v>
      </c>
      <c r="E30" s="566">
        <f>129*2</f>
        <v>258</v>
      </c>
      <c r="F30" s="564">
        <f>8+13+2+13+5</f>
        <v>41</v>
      </c>
      <c r="G30" s="563">
        <f>+E30*F30</f>
        <v>10578</v>
      </c>
      <c r="H30" s="559">
        <f>+SUM(G30/F30)</f>
        <v>258</v>
      </c>
      <c r="I30" s="559">
        <f>+'10'!I38</f>
        <v>36.384999999999998</v>
      </c>
    </row>
    <row r="31" spans="1:9">
      <c r="A31" s="561"/>
      <c r="B31" s="562" t="s">
        <v>504</v>
      </c>
      <c r="C31" s="565">
        <v>2</v>
      </c>
      <c r="D31" s="566" t="s">
        <v>417</v>
      </c>
      <c r="E31" s="563">
        <f>133*2</f>
        <v>266</v>
      </c>
      <c r="F31" s="564">
        <v>6</v>
      </c>
      <c r="G31" s="563">
        <f>+E31*F31</f>
        <v>1596</v>
      </c>
      <c r="H31" s="559">
        <f>+SUM(G31/F31)</f>
        <v>266</v>
      </c>
      <c r="I31" s="559"/>
    </row>
    <row r="32" spans="1:9" ht="13.5" thickBot="1">
      <c r="A32" s="367"/>
      <c r="B32" s="382"/>
      <c r="C32" s="368"/>
      <c r="D32" s="369"/>
      <c r="E32" s="368"/>
      <c r="F32" s="368"/>
      <c r="G32" s="368"/>
      <c r="H32" s="384"/>
      <c r="I32" s="384"/>
    </row>
    <row r="33" spans="1:9">
      <c r="A33" s="561">
        <v>46123</v>
      </c>
      <c r="B33" s="562" t="s">
        <v>526</v>
      </c>
      <c r="C33" s="565">
        <v>2</v>
      </c>
      <c r="D33" s="566" t="s">
        <v>533</v>
      </c>
      <c r="E33" s="566">
        <f>129*2</f>
        <v>258</v>
      </c>
      <c r="F33" s="564">
        <v>61</v>
      </c>
      <c r="G33" s="563">
        <f>+E33*F33</f>
        <v>15738</v>
      </c>
      <c r="H33" s="559">
        <f>+SUM(G33/F33)</f>
        <v>258</v>
      </c>
      <c r="I33" s="559">
        <f>+'11'!I38</f>
        <v>37.644999999999996</v>
      </c>
    </row>
    <row r="34" spans="1:9" ht="13.5" thickBot="1">
      <c r="A34" s="367"/>
      <c r="B34" s="382"/>
      <c r="C34" s="368"/>
      <c r="D34" s="369"/>
      <c r="E34" s="368"/>
      <c r="F34" s="368"/>
      <c r="G34" s="368"/>
      <c r="H34" s="384"/>
      <c r="I34" s="384"/>
    </row>
    <row r="35" spans="1:9">
      <c r="A35" s="561">
        <v>46124</v>
      </c>
      <c r="B35" s="562" t="s">
        <v>526</v>
      </c>
      <c r="C35" s="565">
        <v>2</v>
      </c>
      <c r="D35" s="566" t="s">
        <v>533</v>
      </c>
      <c r="E35" s="566">
        <f>129*2</f>
        <v>258</v>
      </c>
      <c r="F35" s="564">
        <v>60</v>
      </c>
      <c r="G35" s="563">
        <f>+E35*F35</f>
        <v>15480</v>
      </c>
      <c r="H35" s="559">
        <f>+SUM(G35/F35)</f>
        <v>258</v>
      </c>
      <c r="I35" s="559">
        <f>+'12'!I38</f>
        <v>38.573</v>
      </c>
    </row>
    <row r="36" spans="1:9" ht="13.5" thickBot="1">
      <c r="A36" s="367"/>
      <c r="B36" s="382"/>
      <c r="C36" s="368"/>
      <c r="D36" s="369"/>
      <c r="E36" s="368"/>
      <c r="F36" s="368"/>
      <c r="G36" s="368"/>
      <c r="H36" s="384"/>
      <c r="I36" s="384"/>
    </row>
    <row r="37" spans="1:9">
      <c r="A37" s="561">
        <v>46125</v>
      </c>
      <c r="B37" s="562" t="s">
        <v>526</v>
      </c>
      <c r="C37" s="565">
        <v>2</v>
      </c>
      <c r="D37" s="566" t="s">
        <v>533</v>
      </c>
      <c r="E37" s="566">
        <f>129*2</f>
        <v>258</v>
      </c>
      <c r="F37" s="564">
        <v>41</v>
      </c>
      <c r="G37" s="563">
        <f>+E37*F37</f>
        <v>10578</v>
      </c>
      <c r="H37" s="559">
        <f>+SUM(G37/F37)</f>
        <v>258</v>
      </c>
      <c r="I37" s="559">
        <f>+'13'!I38</f>
        <v>27.853999999999999</v>
      </c>
    </row>
    <row r="38" spans="1:9" ht="13.5" thickBot="1">
      <c r="A38" s="367"/>
      <c r="B38" s="382"/>
      <c r="C38" s="368"/>
      <c r="D38" s="369"/>
      <c r="E38" s="368"/>
      <c r="F38" s="368"/>
      <c r="G38" s="368"/>
      <c r="H38" s="384"/>
      <c r="I38" s="384"/>
    </row>
    <row r="39" spans="1:9">
      <c r="A39" s="561">
        <v>46126</v>
      </c>
      <c r="B39" s="562" t="s">
        <v>526</v>
      </c>
      <c r="C39" s="565">
        <v>2</v>
      </c>
      <c r="D39" s="566" t="s">
        <v>533</v>
      </c>
      <c r="E39" s="566">
        <f>129*2</f>
        <v>258</v>
      </c>
      <c r="F39" s="564">
        <v>1</v>
      </c>
      <c r="G39" s="563">
        <f>+E39*F39</f>
        <v>258</v>
      </c>
      <c r="H39" s="559">
        <f>+(F39*E39+F40*E40)/SUM(F39:F40)</f>
        <v>256.56818181818181</v>
      </c>
      <c r="I39" s="559">
        <f>+'14'!I38</f>
        <v>43.125</v>
      </c>
    </row>
    <row r="40" spans="1:9">
      <c r="A40" s="561"/>
      <c r="B40" s="562" t="s">
        <v>526</v>
      </c>
      <c r="C40" s="565">
        <v>2</v>
      </c>
      <c r="D40" s="566" t="s">
        <v>584</v>
      </c>
      <c r="E40" s="566">
        <f>256.5*1</f>
        <v>256.5</v>
      </c>
      <c r="F40" s="564">
        <f>9+9+3</f>
        <v>21</v>
      </c>
      <c r="G40" s="563">
        <f t="shared" ref="G40:G41" si="1">+E40*F40</f>
        <v>5386.5</v>
      </c>
      <c r="H40" s="559"/>
      <c r="I40" s="559"/>
    </row>
    <row r="41" spans="1:9">
      <c r="A41" s="561"/>
      <c r="B41" s="562" t="s">
        <v>578</v>
      </c>
      <c r="C41" s="565">
        <v>2</v>
      </c>
      <c r="D41" s="566" t="s">
        <v>585</v>
      </c>
      <c r="E41" s="566">
        <f>267*1</f>
        <v>267</v>
      </c>
      <c r="F41" s="564">
        <v>13</v>
      </c>
      <c r="G41" s="563">
        <f t="shared" si="1"/>
        <v>3471</v>
      </c>
      <c r="H41" s="559">
        <f>+SUM(G41/F41)</f>
        <v>267</v>
      </c>
      <c r="I41" s="559"/>
    </row>
    <row r="42" spans="1:9" ht="13.5" thickBot="1">
      <c r="A42" s="367"/>
      <c r="B42" s="382"/>
      <c r="C42" s="368"/>
      <c r="D42" s="369"/>
      <c r="E42" s="368"/>
      <c r="F42" s="368"/>
      <c r="G42" s="368"/>
      <c r="H42" s="384"/>
      <c r="I42" s="384"/>
    </row>
    <row r="43" spans="1:9">
      <c r="A43" s="561">
        <v>46127</v>
      </c>
      <c r="B43" s="562" t="s">
        <v>526</v>
      </c>
      <c r="C43" s="565">
        <v>2</v>
      </c>
      <c r="D43" s="566" t="s">
        <v>584</v>
      </c>
      <c r="E43" s="566">
        <f>256.5*1</f>
        <v>256.5</v>
      </c>
      <c r="F43" s="564">
        <v>25</v>
      </c>
      <c r="G43" s="563">
        <f>+E43*F43</f>
        <v>6412.5</v>
      </c>
      <c r="H43" s="559">
        <f>+SUM(G43/F43)</f>
        <v>256.5</v>
      </c>
      <c r="I43" s="559">
        <f>+'15'!I38</f>
        <v>46.03</v>
      </c>
    </row>
    <row r="44" spans="1:9" ht="13.5" thickBot="1">
      <c r="A44" s="367"/>
      <c r="B44" s="382"/>
      <c r="C44" s="368"/>
      <c r="D44" s="369"/>
      <c r="E44" s="368"/>
      <c r="F44" s="368"/>
      <c r="G44" s="368"/>
      <c r="H44" s="384"/>
      <c r="I44" s="384"/>
    </row>
    <row r="45" spans="1:9">
      <c r="A45" s="561">
        <v>46128</v>
      </c>
      <c r="B45" s="562" t="s">
        <v>526</v>
      </c>
      <c r="C45" s="565">
        <v>2</v>
      </c>
      <c r="D45" s="566" t="s">
        <v>584</v>
      </c>
      <c r="E45" s="566">
        <f>256.5*1</f>
        <v>256.5</v>
      </c>
      <c r="F45" s="564">
        <v>26</v>
      </c>
      <c r="G45" s="563">
        <f>+E45*F45</f>
        <v>6669</v>
      </c>
      <c r="H45" s="559">
        <f>+SUM(G45/F45)</f>
        <v>256.5</v>
      </c>
      <c r="I45" s="559">
        <f>+'16'!I38</f>
        <v>45.048999999999999</v>
      </c>
    </row>
    <row r="46" spans="1:9" ht="13.5" thickBot="1">
      <c r="A46" s="367"/>
      <c r="B46" s="382"/>
      <c r="C46" s="368"/>
      <c r="D46" s="369"/>
      <c r="E46" s="368"/>
      <c r="F46" s="368"/>
      <c r="G46" s="368"/>
      <c r="H46" s="384"/>
      <c r="I46" s="384"/>
    </row>
    <row r="47" spans="1:9">
      <c r="A47" s="561">
        <v>46129</v>
      </c>
      <c r="B47" s="562" t="s">
        <v>526</v>
      </c>
      <c r="C47" s="565">
        <v>2</v>
      </c>
      <c r="D47" s="566" t="s">
        <v>584</v>
      </c>
      <c r="E47" s="566">
        <f>256.5*1</f>
        <v>256.5</v>
      </c>
      <c r="F47" s="564">
        <v>24</v>
      </c>
      <c r="G47" s="563">
        <f>+E47*F47</f>
        <v>6156</v>
      </c>
      <c r="H47" s="559">
        <f>+SUM(G47/F47)</f>
        <v>256.5</v>
      </c>
      <c r="I47" s="559">
        <f>+'16'!I40</f>
        <v>46.640999999999998</v>
      </c>
    </row>
    <row r="48" spans="1:9" ht="13.5" thickBot="1">
      <c r="A48" s="367"/>
      <c r="B48" s="382"/>
      <c r="C48" s="368"/>
      <c r="D48" s="369"/>
      <c r="E48" s="368"/>
      <c r="F48" s="368"/>
      <c r="G48" s="368"/>
      <c r="H48" s="384"/>
      <c r="I48" s="384"/>
    </row>
    <row r="49" spans="1:9">
      <c r="A49" s="561">
        <v>46130</v>
      </c>
      <c r="B49" s="562" t="s">
        <v>526</v>
      </c>
      <c r="C49" s="565">
        <v>2</v>
      </c>
      <c r="D49" s="566" t="s">
        <v>584</v>
      </c>
      <c r="E49" s="566">
        <f>256.5*1</f>
        <v>256.5</v>
      </c>
      <c r="F49" s="564">
        <v>6</v>
      </c>
      <c r="G49" s="563">
        <f t="shared" ref="G49:G51" si="2">+E49*F49</f>
        <v>1539</v>
      </c>
      <c r="H49" s="559">
        <f t="shared" ref="H49:H51" si="3">+SUM(G49/F49)</f>
        <v>256.5</v>
      </c>
      <c r="I49" s="559">
        <f>+'18'!I38</f>
        <v>40.573999999999998</v>
      </c>
    </row>
    <row r="50" spans="1:9">
      <c r="A50" s="561"/>
      <c r="B50" s="562" t="s">
        <v>643</v>
      </c>
      <c r="C50" s="565">
        <v>2</v>
      </c>
      <c r="D50" s="566" t="s">
        <v>654</v>
      </c>
      <c r="E50" s="566">
        <f>257*1</f>
        <v>257</v>
      </c>
      <c r="F50" s="564">
        <f>17+16</f>
        <v>33</v>
      </c>
      <c r="G50" s="563">
        <f t="shared" si="2"/>
        <v>8481</v>
      </c>
      <c r="H50" s="559">
        <f t="shared" si="3"/>
        <v>257</v>
      </c>
      <c r="I50" s="559"/>
    </row>
    <row r="51" spans="1:9">
      <c r="A51" s="561"/>
      <c r="B51" s="562" t="s">
        <v>578</v>
      </c>
      <c r="C51" s="565">
        <v>2</v>
      </c>
      <c r="D51" s="566" t="s">
        <v>585</v>
      </c>
      <c r="E51" s="566">
        <f>267*1</f>
        <v>267</v>
      </c>
      <c r="F51" s="564">
        <f>2+2</f>
        <v>4</v>
      </c>
      <c r="G51" s="563">
        <f t="shared" si="2"/>
        <v>1068</v>
      </c>
      <c r="H51" s="559">
        <f t="shared" si="3"/>
        <v>267</v>
      </c>
      <c r="I51" s="559"/>
    </row>
    <row r="52" spans="1:9" ht="13.5" thickBot="1">
      <c r="A52" s="367"/>
      <c r="B52" s="382"/>
      <c r="C52" s="368"/>
      <c r="D52" s="369"/>
      <c r="E52" s="368"/>
      <c r="F52" s="368"/>
      <c r="G52" s="368"/>
      <c r="H52" s="384"/>
      <c r="I52" s="384"/>
    </row>
    <row r="53" spans="1:9">
      <c r="A53" s="561">
        <v>46131</v>
      </c>
      <c r="B53" s="562" t="s">
        <v>643</v>
      </c>
      <c r="C53" s="565">
        <v>2</v>
      </c>
      <c r="D53" s="566" t="s">
        <v>654</v>
      </c>
      <c r="E53" s="566">
        <f>257*1</f>
        <v>257</v>
      </c>
      <c r="F53" s="564">
        <f>12+6+22</f>
        <v>40</v>
      </c>
      <c r="G53" s="563">
        <f>+E53*F53</f>
        <v>10280</v>
      </c>
      <c r="H53" s="559">
        <f>+SUM(G53/F53)</f>
        <v>257</v>
      </c>
      <c r="I53" s="559">
        <f>+'19'!I38</f>
        <v>42.658000000000001</v>
      </c>
    </row>
    <row r="54" spans="1:9">
      <c r="A54" s="561"/>
      <c r="B54" s="562" t="s">
        <v>648</v>
      </c>
      <c r="C54" s="565">
        <v>2</v>
      </c>
      <c r="D54" s="566" t="s">
        <v>584</v>
      </c>
      <c r="E54" s="566">
        <f>256.5*1</f>
        <v>256.5</v>
      </c>
      <c r="F54" s="566">
        <v>14</v>
      </c>
      <c r="G54" s="563">
        <f>+E54*F54</f>
        <v>3591</v>
      </c>
      <c r="H54" s="559">
        <f>+SUM(G54/F54)</f>
        <v>256.5</v>
      </c>
      <c r="I54" s="559"/>
    </row>
    <row r="55" spans="1:9" ht="13.5" thickBot="1">
      <c r="A55" s="367"/>
      <c r="B55" s="382"/>
      <c r="C55" s="368"/>
      <c r="D55" s="369"/>
      <c r="E55" s="368"/>
      <c r="F55" s="368"/>
      <c r="G55" s="368"/>
      <c r="H55" s="384"/>
      <c r="I55" s="384"/>
    </row>
    <row r="56" spans="1:9">
      <c r="A56" s="561">
        <v>46132</v>
      </c>
      <c r="B56" s="562" t="s">
        <v>663</v>
      </c>
      <c r="C56" s="565">
        <v>2</v>
      </c>
      <c r="D56" s="566" t="s">
        <v>670</v>
      </c>
      <c r="E56" s="566">
        <f>128*2</f>
        <v>256</v>
      </c>
      <c r="F56" s="564">
        <f>6+13+14+10+10</f>
        <v>53</v>
      </c>
      <c r="G56" s="563">
        <f>+E56*F56</f>
        <v>13568</v>
      </c>
      <c r="H56" s="559">
        <f>+SUM(G56/F56)</f>
        <v>256</v>
      </c>
      <c r="I56" s="559">
        <f>+'20'!I38</f>
        <v>42.622</v>
      </c>
    </row>
    <row r="57" spans="1:9">
      <c r="A57" s="561"/>
      <c r="B57" s="562" t="s">
        <v>460</v>
      </c>
      <c r="C57" s="565">
        <v>2</v>
      </c>
      <c r="D57" s="566" t="s">
        <v>671</v>
      </c>
      <c r="E57" s="566">
        <f>130*2</f>
        <v>260</v>
      </c>
      <c r="F57" s="566">
        <v>4</v>
      </c>
      <c r="G57" s="563">
        <f>+E57*F57</f>
        <v>1040</v>
      </c>
      <c r="H57" s="559">
        <f>+SUM(G57/F57)</f>
        <v>260</v>
      </c>
      <c r="I57" s="559"/>
    </row>
    <row r="58" spans="1:9">
      <c r="A58" s="561"/>
      <c r="B58" s="562" t="s">
        <v>648</v>
      </c>
      <c r="C58" s="565">
        <v>2</v>
      </c>
      <c r="D58" s="566" t="s">
        <v>584</v>
      </c>
      <c r="E58" s="566">
        <f>256.5*1</f>
        <v>256.5</v>
      </c>
      <c r="F58" s="566">
        <v>7</v>
      </c>
      <c r="G58" s="563">
        <f>+E58*F58</f>
        <v>1795.5</v>
      </c>
      <c r="H58" s="559">
        <f>+SUM(G58/F58)</f>
        <v>256.5</v>
      </c>
      <c r="I58" s="559"/>
    </row>
    <row r="59" spans="1:9" ht="13.5" thickBot="1">
      <c r="A59" s="367"/>
      <c r="B59" s="382"/>
      <c r="C59" s="368"/>
      <c r="D59" s="369"/>
      <c r="E59" s="368"/>
      <c r="F59" s="368"/>
      <c r="G59" s="368"/>
      <c r="H59" s="384"/>
      <c r="I59" s="384"/>
    </row>
    <row r="60" spans="1:9">
      <c r="A60" s="561">
        <v>46133</v>
      </c>
      <c r="B60" s="562" t="s">
        <v>663</v>
      </c>
      <c r="C60" s="565">
        <v>2</v>
      </c>
      <c r="D60" s="566" t="s">
        <v>670</v>
      </c>
      <c r="E60" s="566">
        <f>256.5*1</f>
        <v>256.5</v>
      </c>
      <c r="F60" s="566">
        <v>64</v>
      </c>
      <c r="G60" s="563">
        <f>+E60*F60</f>
        <v>16416</v>
      </c>
      <c r="H60" s="559">
        <f>+SUM(G60/F60)</f>
        <v>256.5</v>
      </c>
      <c r="I60" s="559">
        <f>+'21'!I38</f>
        <v>44.065999999999995</v>
      </c>
    </row>
    <row r="61" spans="1:9" ht="13.5" thickBot="1">
      <c r="A61" s="367"/>
      <c r="B61" s="382"/>
      <c r="C61" s="368"/>
      <c r="D61" s="369"/>
      <c r="E61" s="368"/>
      <c r="F61" s="368"/>
      <c r="G61" s="368"/>
      <c r="H61" s="384"/>
      <c r="I61" s="384"/>
    </row>
    <row r="62" spans="1:9">
      <c r="A62" s="561">
        <v>46134</v>
      </c>
      <c r="B62" s="562" t="s">
        <v>663</v>
      </c>
      <c r="C62" s="565">
        <v>2</v>
      </c>
      <c r="D62" s="566" t="s">
        <v>670</v>
      </c>
      <c r="E62" s="566">
        <f>256.5*1</f>
        <v>256.5</v>
      </c>
      <c r="F62" s="566">
        <v>61</v>
      </c>
      <c r="G62" s="563">
        <f>+E62*F62</f>
        <v>15646.5</v>
      </c>
      <c r="H62" s="559">
        <f>+SUM(G62/F62)</f>
        <v>256.5</v>
      </c>
      <c r="I62" s="559">
        <f>+'22'!I38</f>
        <v>42.384</v>
      </c>
    </row>
    <row r="63" spans="1:9" ht="13.5" thickBot="1">
      <c r="A63" s="367"/>
      <c r="B63" s="382"/>
      <c r="C63" s="368"/>
      <c r="D63" s="369"/>
      <c r="E63" s="368"/>
      <c r="F63" s="368"/>
      <c r="G63" s="368"/>
      <c r="H63" s="384"/>
      <c r="I63" s="384"/>
    </row>
    <row r="64" spans="1:9">
      <c r="A64" s="561">
        <v>46135</v>
      </c>
      <c r="B64" s="562" t="s">
        <v>663</v>
      </c>
      <c r="C64" s="565">
        <v>2</v>
      </c>
      <c r="D64" s="566" t="s">
        <v>670</v>
      </c>
      <c r="E64" s="566">
        <f>256.5*1</f>
        <v>256.5</v>
      </c>
      <c r="F64" s="566">
        <f>122/2</f>
        <v>61</v>
      </c>
      <c r="G64" s="563">
        <f>+E64*F64</f>
        <v>15646.5</v>
      </c>
      <c r="H64" s="559">
        <f>+SUM(G64/F64)</f>
        <v>256.5</v>
      </c>
      <c r="I64" s="559">
        <f>+'23'!I38</f>
        <v>44.05</v>
      </c>
    </row>
    <row r="65" spans="1:9" ht="13.5" thickBot="1">
      <c r="A65" s="367"/>
      <c r="B65" s="382"/>
      <c r="C65" s="368"/>
      <c r="D65" s="369"/>
      <c r="E65" s="368"/>
      <c r="F65" s="368"/>
      <c r="G65" s="368"/>
      <c r="H65" s="384"/>
      <c r="I65" s="384"/>
    </row>
    <row r="66" spans="1:9">
      <c r="A66" s="561">
        <v>46136</v>
      </c>
      <c r="B66" s="562" t="s">
        <v>443</v>
      </c>
      <c r="C66" s="565">
        <v>2</v>
      </c>
      <c r="D66" s="566" t="s">
        <v>468</v>
      </c>
      <c r="E66" s="566">
        <f>120+140</f>
        <v>260</v>
      </c>
      <c r="F66" s="566">
        <f>13+2+1+1</f>
        <v>17</v>
      </c>
      <c r="G66" s="563">
        <f>+E66*F66</f>
        <v>4420</v>
      </c>
      <c r="H66" s="559">
        <f>+SUM(G66/F66)</f>
        <v>260</v>
      </c>
      <c r="I66" s="559">
        <f>+'24'!I38</f>
        <v>38.176000000000002</v>
      </c>
    </row>
    <row r="67" spans="1:9">
      <c r="A67" s="561"/>
      <c r="B67" s="562" t="s">
        <v>444</v>
      </c>
      <c r="C67" s="565">
        <v>2</v>
      </c>
      <c r="D67" s="566" t="s">
        <v>693</v>
      </c>
      <c r="E67" s="566">
        <f>116*2+25</f>
        <v>257</v>
      </c>
      <c r="F67" s="566">
        <f>3+10+4+1</f>
        <v>18</v>
      </c>
      <c r="G67" s="563">
        <f>+E67*F67</f>
        <v>4626</v>
      </c>
      <c r="H67" s="559">
        <f>+(F67*E67+F68*E68)/SUM(F67:F68)</f>
        <v>257.625</v>
      </c>
      <c r="I67" s="559"/>
    </row>
    <row r="68" spans="1:9">
      <c r="A68" s="561"/>
      <c r="B68" s="562" t="s">
        <v>444</v>
      </c>
      <c r="C68" s="565">
        <v>2</v>
      </c>
      <c r="D68" s="566" t="s">
        <v>533</v>
      </c>
      <c r="E68" s="566">
        <f>129*2</f>
        <v>258</v>
      </c>
      <c r="F68" s="566">
        <f>11+13+6</f>
        <v>30</v>
      </c>
      <c r="G68" s="563">
        <f>+E68*F68</f>
        <v>7740</v>
      </c>
      <c r="H68" s="559"/>
      <c r="I68" s="559"/>
    </row>
    <row r="69" spans="1:9" ht="13.5" thickBot="1">
      <c r="A69" s="367"/>
      <c r="B69" s="382"/>
      <c r="C69" s="368"/>
      <c r="D69" s="369"/>
      <c r="E69" s="368"/>
      <c r="F69" s="368"/>
      <c r="G69" s="368"/>
      <c r="H69" s="384"/>
      <c r="I69" s="384"/>
    </row>
    <row r="70" spans="1:9">
      <c r="A70" s="561">
        <v>46137</v>
      </c>
      <c r="B70" s="562" t="s">
        <v>444</v>
      </c>
      <c r="C70" s="565">
        <v>2</v>
      </c>
      <c r="D70" s="566" t="s">
        <v>722</v>
      </c>
      <c r="E70" s="566">
        <f>135+127.5</f>
        <v>262.5</v>
      </c>
      <c r="F70" s="566">
        <f>11+10+6</f>
        <v>27</v>
      </c>
      <c r="G70" s="563">
        <f>+E70*F70</f>
        <v>7087.5</v>
      </c>
      <c r="H70" s="559">
        <f>+(F70*E70+F71*E71)/SUM(F70:F71)</f>
        <v>261.2837837837838</v>
      </c>
      <c r="I70" s="559">
        <f>+'25'!I38</f>
        <v>39.643999999999998</v>
      </c>
    </row>
    <row r="71" spans="1:9">
      <c r="A71" s="561"/>
      <c r="B71" s="562" t="s">
        <v>444</v>
      </c>
      <c r="C71" s="565">
        <v>2</v>
      </c>
      <c r="D71" s="566" t="s">
        <v>533</v>
      </c>
      <c r="E71" s="566">
        <f>129*2</f>
        <v>258</v>
      </c>
      <c r="F71" s="566">
        <v>10</v>
      </c>
      <c r="G71" s="563">
        <f>+E71*F71</f>
        <v>2580</v>
      </c>
      <c r="H71" s="559"/>
      <c r="I71" s="559"/>
    </row>
    <row r="72" spans="1:9">
      <c r="A72" s="561"/>
      <c r="B72" s="562" t="s">
        <v>460</v>
      </c>
      <c r="C72" s="565">
        <v>2</v>
      </c>
      <c r="D72" s="566" t="s">
        <v>723</v>
      </c>
      <c r="E72" s="566">
        <f>140+122.5</f>
        <v>262.5</v>
      </c>
      <c r="F72" s="566">
        <f>4+13+1+9</f>
        <v>27</v>
      </c>
      <c r="G72" s="563">
        <f>+E72*F72</f>
        <v>7087.5</v>
      </c>
      <c r="H72" s="559">
        <f>+SUM(G72/F72)</f>
        <v>262.5</v>
      </c>
      <c r="I72" s="559"/>
    </row>
    <row r="73" spans="1:9" ht="13.5" thickBot="1">
      <c r="A73" s="367"/>
      <c r="B73" s="382"/>
      <c r="C73" s="368"/>
      <c r="D73" s="369"/>
      <c r="E73" s="368"/>
      <c r="F73" s="368"/>
      <c r="G73" s="368"/>
      <c r="H73" s="384"/>
      <c r="I73" s="384"/>
    </row>
    <row r="74" spans="1:9">
      <c r="A74" s="561">
        <v>46138</v>
      </c>
      <c r="B74" s="562" t="s">
        <v>460</v>
      </c>
      <c r="C74" s="565">
        <v>2</v>
      </c>
      <c r="D74" s="566" t="s">
        <v>723</v>
      </c>
      <c r="E74" s="566">
        <f>140+122.5</f>
        <v>262.5</v>
      </c>
      <c r="F74" s="566">
        <f>12+3</f>
        <v>15</v>
      </c>
      <c r="G74" s="563">
        <f>+E74*F74</f>
        <v>3937.5</v>
      </c>
      <c r="H74" s="559">
        <f>+(F74*E74+F75*E75)/SUM(F74:F75)</f>
        <v>264.5</v>
      </c>
      <c r="I74" s="559">
        <f>+'26'!I38</f>
        <v>42.364000000000004</v>
      </c>
    </row>
    <row r="75" spans="1:9">
      <c r="A75" s="561"/>
      <c r="B75" s="562" t="s">
        <v>460</v>
      </c>
      <c r="C75" s="565">
        <v>2</v>
      </c>
      <c r="D75" s="566" t="s">
        <v>417</v>
      </c>
      <c r="E75" s="566">
        <f>133*2</f>
        <v>266</v>
      </c>
      <c r="F75" s="566">
        <f>9+6+5</f>
        <v>20</v>
      </c>
      <c r="G75" s="563">
        <f>+E75*F75</f>
        <v>5320</v>
      </c>
      <c r="H75" s="559"/>
      <c r="I75" s="559"/>
    </row>
    <row r="76" spans="1:9">
      <c r="A76" s="561"/>
      <c r="B76" s="562" t="s">
        <v>714</v>
      </c>
      <c r="C76" s="565">
        <v>2</v>
      </c>
      <c r="D76" s="566" t="s">
        <v>724</v>
      </c>
      <c r="E76" s="566">
        <f>268*1</f>
        <v>268</v>
      </c>
      <c r="F76" s="566">
        <f>5+3+9+13</f>
        <v>30</v>
      </c>
      <c r="G76" s="563">
        <f>+E76*F76</f>
        <v>8040</v>
      </c>
      <c r="H76" s="559">
        <f>+SUM(G76/F76)</f>
        <v>268</v>
      </c>
      <c r="I76" s="559"/>
    </row>
    <row r="77" spans="1:9" ht="13.5" thickBot="1">
      <c r="A77" s="367"/>
      <c r="B77" s="382"/>
      <c r="C77" s="368"/>
      <c r="D77" s="369"/>
      <c r="E77" s="368"/>
      <c r="F77" s="368"/>
      <c r="G77" s="368"/>
      <c r="H77" s="384"/>
      <c r="I77" s="384"/>
    </row>
    <row r="78" spans="1:9">
      <c r="A78" s="561">
        <v>46139</v>
      </c>
      <c r="B78" s="562" t="s">
        <v>714</v>
      </c>
      <c r="C78" s="565">
        <v>2</v>
      </c>
      <c r="D78" s="566" t="s">
        <v>724</v>
      </c>
      <c r="E78" s="566">
        <f>268*1</f>
        <v>268</v>
      </c>
      <c r="F78" s="566">
        <v>6</v>
      </c>
      <c r="G78" s="563">
        <f>+E78*F78</f>
        <v>1608</v>
      </c>
      <c r="H78" s="559">
        <f>+SUM(G78/F78)</f>
        <v>268</v>
      </c>
      <c r="I78" s="559">
        <f>+'27'!I38</f>
        <v>42.835999999999999</v>
      </c>
    </row>
    <row r="79" spans="1:9">
      <c r="A79" s="561"/>
      <c r="B79" s="562" t="s">
        <v>714</v>
      </c>
      <c r="C79" s="565">
        <v>2</v>
      </c>
      <c r="D79" s="566" t="s">
        <v>671</v>
      </c>
      <c r="E79" s="566">
        <f>130*2</f>
        <v>260</v>
      </c>
      <c r="F79" s="566">
        <f>9+7+1</f>
        <v>17</v>
      </c>
      <c r="G79" s="563">
        <f>+E79*F79</f>
        <v>4420</v>
      </c>
      <c r="H79" s="559"/>
      <c r="I79" s="559"/>
    </row>
    <row r="80" spans="1:9">
      <c r="A80" s="561"/>
      <c r="B80" s="562" t="s">
        <v>648</v>
      </c>
      <c r="C80" s="565">
        <v>2</v>
      </c>
      <c r="D80" s="566" t="s">
        <v>724</v>
      </c>
      <c r="E80" s="566">
        <f>268*1</f>
        <v>268</v>
      </c>
      <c r="F80" s="566">
        <f>9+8+9+8</f>
        <v>34</v>
      </c>
      <c r="G80" s="563">
        <f>+E80*F80</f>
        <v>9112</v>
      </c>
      <c r="H80" s="559">
        <f>+SUM(G80/F80)</f>
        <v>268</v>
      </c>
      <c r="I80" s="559"/>
    </row>
    <row r="81" spans="1:9">
      <c r="A81" s="561"/>
      <c r="B81" s="562" t="s">
        <v>526</v>
      </c>
      <c r="C81" s="565">
        <v>2</v>
      </c>
      <c r="D81" s="566" t="s">
        <v>735</v>
      </c>
      <c r="E81" s="566">
        <f>134*2</f>
        <v>268</v>
      </c>
      <c r="F81" s="566">
        <v>0</v>
      </c>
      <c r="G81" s="565">
        <v>0</v>
      </c>
      <c r="H81" s="559">
        <f>+E81</f>
        <v>268</v>
      </c>
      <c r="I81" s="559"/>
    </row>
    <row r="82" spans="1:9" ht="13.5" thickBot="1">
      <c r="A82" s="367"/>
      <c r="B82" s="382"/>
      <c r="C82" s="368"/>
      <c r="D82" s="369"/>
      <c r="E82" s="368"/>
      <c r="F82" s="368"/>
      <c r="G82" s="368"/>
      <c r="H82" s="384"/>
      <c r="I82" s="384"/>
    </row>
    <row r="83" spans="1:9">
      <c r="A83" s="561">
        <v>46140</v>
      </c>
      <c r="B83" s="562" t="s">
        <v>526</v>
      </c>
      <c r="C83" s="565">
        <v>2</v>
      </c>
      <c r="D83" s="566" t="s">
        <v>735</v>
      </c>
      <c r="E83" s="566">
        <f>134*2</f>
        <v>268</v>
      </c>
      <c r="F83" s="564">
        <v>21</v>
      </c>
      <c r="G83" s="563">
        <f>+E83*F83</f>
        <v>5628</v>
      </c>
      <c r="H83" s="559">
        <f>+SUM(G83/F83)</f>
        <v>268</v>
      </c>
      <c r="I83" s="559">
        <f>+'28'!I38</f>
        <v>41.369</v>
      </c>
    </row>
    <row r="84" spans="1:9">
      <c r="A84" s="561"/>
      <c r="B84" s="562" t="s">
        <v>504</v>
      </c>
      <c r="C84" s="565">
        <v>2</v>
      </c>
      <c r="D84" s="566" t="s">
        <v>724</v>
      </c>
      <c r="E84" s="566">
        <f>268*1</f>
        <v>268</v>
      </c>
      <c r="F84" s="566">
        <v>1</v>
      </c>
      <c r="G84" s="563">
        <f>+E84*F84</f>
        <v>268</v>
      </c>
      <c r="H84" s="559"/>
      <c r="I84" s="559"/>
    </row>
    <row r="85" spans="1:9">
      <c r="A85" s="561"/>
      <c r="B85" s="562" t="s">
        <v>643</v>
      </c>
      <c r="C85" s="565">
        <v>2</v>
      </c>
      <c r="D85" s="566" t="s">
        <v>752</v>
      </c>
      <c r="E85" s="566">
        <f>256*1</f>
        <v>256</v>
      </c>
      <c r="F85" s="566">
        <f>18+17</f>
        <v>35</v>
      </c>
      <c r="G85" s="563">
        <f>+E85*F85</f>
        <v>8960</v>
      </c>
      <c r="H85" s="559">
        <f>+SUM(G85/F85)</f>
        <v>256</v>
      </c>
      <c r="I85" s="559"/>
    </row>
    <row r="86" spans="1:9" ht="14.25" customHeight="1" thickBot="1">
      <c r="A86" s="367"/>
      <c r="B86" s="382"/>
      <c r="C86" s="368"/>
      <c r="D86" s="369"/>
      <c r="E86" s="368"/>
      <c r="F86" s="368"/>
      <c r="G86" s="368"/>
      <c r="H86" s="384"/>
      <c r="I86" s="384"/>
    </row>
    <row r="87" spans="1:9">
      <c r="A87" s="561">
        <v>46141</v>
      </c>
      <c r="B87" s="562" t="s">
        <v>643</v>
      </c>
      <c r="C87" s="565">
        <v>2</v>
      </c>
      <c r="D87" s="566" t="s">
        <v>752</v>
      </c>
      <c r="E87" s="566">
        <f>256*1</f>
        <v>256</v>
      </c>
      <c r="F87" s="566">
        <f>5+8</f>
        <v>13</v>
      </c>
      <c r="G87" s="563">
        <f>+E87*F87</f>
        <v>3328</v>
      </c>
      <c r="H87" s="559">
        <f>+(F87*E87+F88*E88+E89*F89)/SUM(F87:F89)</f>
        <v>259.20512820512823</v>
      </c>
      <c r="I87" s="559">
        <f>+'29'!I38</f>
        <v>29.343999999999998</v>
      </c>
    </row>
    <row r="88" spans="1:9">
      <c r="A88" s="561"/>
      <c r="B88" s="562" t="s">
        <v>643</v>
      </c>
      <c r="C88" s="565">
        <v>2</v>
      </c>
      <c r="D88" s="566" t="s">
        <v>654</v>
      </c>
      <c r="E88" s="566">
        <f>257*1</f>
        <v>257</v>
      </c>
      <c r="F88" s="566">
        <f>6+11</f>
        <v>17</v>
      </c>
      <c r="G88" s="563">
        <f>+E88*F88</f>
        <v>4369</v>
      </c>
      <c r="H88" s="559"/>
      <c r="I88" s="559"/>
    </row>
    <row r="89" spans="1:9">
      <c r="A89" s="561"/>
      <c r="B89" s="562" t="s">
        <v>643</v>
      </c>
      <c r="C89" s="565">
        <v>2</v>
      </c>
      <c r="D89" s="566" t="s">
        <v>724</v>
      </c>
      <c r="E89" s="566">
        <f>268*1</f>
        <v>268</v>
      </c>
      <c r="F89" s="566">
        <f>3+6</f>
        <v>9</v>
      </c>
      <c r="G89" s="563">
        <f>+E89*F89</f>
        <v>2412</v>
      </c>
      <c r="H89" s="559"/>
      <c r="I89" s="559"/>
    </row>
    <row r="90" spans="1:9" ht="13.5" thickBot="1">
      <c r="A90" s="367"/>
      <c r="B90" s="382"/>
      <c r="C90" s="368"/>
      <c r="D90" s="369"/>
      <c r="E90" s="368"/>
      <c r="F90" s="368"/>
      <c r="G90" s="368"/>
      <c r="H90" s="384"/>
      <c r="I90" s="384"/>
    </row>
    <row r="91" spans="1:9">
      <c r="A91" s="561">
        <v>46142</v>
      </c>
      <c r="B91" s="562" t="s">
        <v>643</v>
      </c>
      <c r="C91" s="565">
        <v>2</v>
      </c>
      <c r="D91" s="566" t="s">
        <v>654</v>
      </c>
      <c r="E91" s="566">
        <f>257*1</f>
        <v>257</v>
      </c>
      <c r="F91" s="566">
        <f>3+5</f>
        <v>8</v>
      </c>
      <c r="G91" s="563">
        <f>+E91*F91</f>
        <v>2056</v>
      </c>
      <c r="H91" s="559">
        <f>+(F91*E91+F92*E92)/SUM(F91:F92)</f>
        <v>262.13333333333333</v>
      </c>
      <c r="I91" s="559">
        <f>+'30'!I38</f>
        <v>33.688999999999993</v>
      </c>
    </row>
    <row r="92" spans="1:9">
      <c r="A92" s="561"/>
      <c r="B92" s="562" t="s">
        <v>643</v>
      </c>
      <c r="C92" s="565">
        <v>2</v>
      </c>
      <c r="D92" s="566" t="s">
        <v>724</v>
      </c>
      <c r="E92" s="566">
        <f>268*1</f>
        <v>268</v>
      </c>
      <c r="F92" s="566">
        <f>4+3</f>
        <v>7</v>
      </c>
      <c r="G92" s="563">
        <f>+E92*F92</f>
        <v>1876</v>
      </c>
      <c r="H92" s="559"/>
      <c r="I92" s="559"/>
    </row>
    <row r="93" spans="1:9">
      <c r="A93" s="561"/>
      <c r="B93" s="562" t="s">
        <v>460</v>
      </c>
      <c r="C93" s="565">
        <v>2</v>
      </c>
      <c r="D93" s="566" t="s">
        <v>417</v>
      </c>
      <c r="E93" s="566">
        <f>133*2</f>
        <v>266</v>
      </c>
      <c r="F93" s="566">
        <f>3+8+7+3</f>
        <v>21</v>
      </c>
      <c r="G93" s="563">
        <f>+E93*F93</f>
        <v>5586</v>
      </c>
      <c r="H93" s="559">
        <f>+(F93*E93+F94*E94)/SUM(F93:F94)</f>
        <v>265.32692307692309</v>
      </c>
      <c r="I93" s="559"/>
    </row>
    <row r="94" spans="1:9">
      <c r="A94" s="561"/>
      <c r="B94" s="562" t="s">
        <v>460</v>
      </c>
      <c r="C94" s="565">
        <v>2</v>
      </c>
      <c r="D94" s="566" t="s">
        <v>723</v>
      </c>
      <c r="E94" s="566">
        <f>140+122.5</f>
        <v>262.5</v>
      </c>
      <c r="F94" s="566">
        <f>3+2</f>
        <v>5</v>
      </c>
      <c r="G94" s="565">
        <f>+E94*F94</f>
        <v>1312.5</v>
      </c>
      <c r="H94" s="559"/>
      <c r="I94" s="559"/>
    </row>
    <row r="95" spans="1:9" ht="13.5" thickBot="1">
      <c r="A95" s="367"/>
      <c r="B95" s="382"/>
      <c r="C95" s="368"/>
      <c r="D95" s="369"/>
      <c r="E95" s="368"/>
      <c r="F95" s="368"/>
      <c r="G95" s="368"/>
      <c r="H95" s="384"/>
      <c r="I95" s="384"/>
    </row>
  </sheetData>
  <phoneticPr fontId="3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6"/>
  <sheetViews>
    <sheetView tabSelected="1" zoomScale="90" zoomScaleNormal="90" workbookViewId="0">
      <pane xSplit="6" ySplit="6" topLeftCell="V175" activePane="bottomRight" state="frozen"/>
      <selection pane="topRight" activeCell="F1" sqref="F1"/>
      <selection pane="bottomLeft" activeCell="A7" sqref="A7"/>
      <selection pane="bottomRight" activeCell="Z170" sqref="Z170:AA170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3" customWidth="1"/>
    <col min="7" max="9" width="10.28515625" style="28" customWidth="1"/>
    <col min="10" max="11" width="10.28515625" style="82" customWidth="1"/>
    <col min="12" max="13" width="12.7109375" style="54" customWidth="1"/>
    <col min="14" max="15" width="10.28515625" style="28" customWidth="1"/>
    <col min="16" max="16" width="16.85546875" style="28" bestFit="1" customWidth="1"/>
    <col min="17" max="17" width="12.7109375" style="331" customWidth="1"/>
    <col min="18" max="18" width="12.7109375" style="28" bestFit="1" customWidth="1"/>
    <col min="19" max="19" width="12" style="28" bestFit="1" customWidth="1"/>
    <col min="20" max="20" width="10.7109375" style="28" customWidth="1"/>
    <col min="21" max="21" width="11.8554687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2" style="28" customWidth="1"/>
    <col min="30" max="30" width="11.42578125" style="28" bestFit="1" customWidth="1"/>
    <col min="31" max="31" width="41.42578125" style="28" customWidth="1"/>
    <col min="32" max="38" width="10.28515625" style="28" customWidth="1"/>
    <col min="39" max="39" width="11.7109375" style="28" customWidth="1"/>
    <col min="40" max="41" width="10.28515625" style="28" customWidth="1"/>
    <col min="42" max="43" width="12.42578125" style="28" customWidth="1"/>
    <col min="44" max="44" width="29.7109375" style="28" customWidth="1"/>
    <col min="45" max="53" width="10.28515625" style="28" customWidth="1"/>
    <col min="54" max="16384" width="10.28515625" style="28"/>
  </cols>
  <sheetData>
    <row r="1" spans="1:58" s="21" customFormat="1" ht="15.75">
      <c r="A1" s="20" t="s">
        <v>187</v>
      </c>
      <c r="G1" s="22"/>
      <c r="H1" s="22"/>
      <c r="I1" s="22"/>
      <c r="J1" s="79"/>
      <c r="K1" s="79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8" s="21" customFormat="1">
      <c r="A2" s="89"/>
      <c r="G2" s="22"/>
      <c r="H2" s="22"/>
      <c r="I2" s="22"/>
      <c r="J2" s="79"/>
      <c r="K2" s="79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8" ht="24" customHeight="1">
      <c r="A3" s="650" t="s">
        <v>8</v>
      </c>
      <c r="B3" s="650" t="s">
        <v>9</v>
      </c>
      <c r="C3" s="650" t="s">
        <v>182</v>
      </c>
      <c r="D3" s="650" t="s">
        <v>91</v>
      </c>
      <c r="E3" s="650" t="s">
        <v>92</v>
      </c>
      <c r="F3" s="650" t="s">
        <v>93</v>
      </c>
      <c r="G3" s="663" t="s">
        <v>94</v>
      </c>
      <c r="H3" s="664"/>
      <c r="I3" s="664"/>
      <c r="J3" s="664"/>
      <c r="K3" s="665"/>
      <c r="L3" s="669" t="s">
        <v>95</v>
      </c>
      <c r="M3" s="670"/>
      <c r="N3" s="671"/>
      <c r="O3" s="675" t="s">
        <v>96</v>
      </c>
      <c r="P3" s="662" t="s">
        <v>108</v>
      </c>
      <c r="Q3" s="675" t="s">
        <v>97</v>
      </c>
      <c r="R3" s="648" t="s">
        <v>98</v>
      </c>
      <c r="S3" s="648" t="s">
        <v>99</v>
      </c>
      <c r="T3" s="650" t="s">
        <v>154</v>
      </c>
      <c r="U3" s="650" t="s">
        <v>153</v>
      </c>
      <c r="V3" s="650" t="s">
        <v>155</v>
      </c>
      <c r="W3" s="648" t="s">
        <v>144</v>
      </c>
      <c r="X3" s="655" t="s">
        <v>101</v>
      </c>
      <c r="Y3" s="655" t="s">
        <v>294</v>
      </c>
      <c r="Z3" s="648" t="s">
        <v>102</v>
      </c>
      <c r="AA3" s="650" t="s">
        <v>156</v>
      </c>
      <c r="AB3" s="650" t="s">
        <v>167</v>
      </c>
      <c r="AC3" s="650" t="s">
        <v>165</v>
      </c>
      <c r="AD3" s="650" t="s">
        <v>126</v>
      </c>
      <c r="AE3" s="650" t="s">
        <v>127</v>
      </c>
      <c r="AF3" s="690" t="s">
        <v>128</v>
      </c>
      <c r="AG3" s="690"/>
      <c r="AH3" s="690"/>
      <c r="AI3" s="690"/>
      <c r="AJ3" s="690"/>
      <c r="AK3" s="690"/>
      <c r="AL3" s="690"/>
      <c r="AM3" s="687" t="s">
        <v>129</v>
      </c>
      <c r="AN3" s="695" t="s">
        <v>103</v>
      </c>
      <c r="AO3" s="695"/>
      <c r="AP3" s="695"/>
      <c r="AQ3" s="695"/>
      <c r="AR3" s="695"/>
      <c r="AS3" s="696" t="s">
        <v>104</v>
      </c>
      <c r="AT3" s="683" t="s">
        <v>290</v>
      </c>
      <c r="AU3" s="684"/>
      <c r="AV3" s="691" t="s">
        <v>130</v>
      </c>
      <c r="AW3" s="692"/>
      <c r="AX3" s="693" t="s">
        <v>130</v>
      </c>
      <c r="AY3" s="694"/>
      <c r="AZ3" s="677" t="s">
        <v>306</v>
      </c>
      <c r="BA3" s="682" t="s">
        <v>105</v>
      </c>
      <c r="BB3" s="646" t="s">
        <v>106</v>
      </c>
      <c r="BC3" s="646" t="s">
        <v>107</v>
      </c>
      <c r="BD3" s="640" t="s">
        <v>396</v>
      </c>
      <c r="BE3" s="643" t="s">
        <v>397</v>
      </c>
      <c r="BF3" s="646" t="s">
        <v>398</v>
      </c>
    </row>
    <row r="4" spans="1:58" ht="12" customHeight="1">
      <c r="A4" s="651"/>
      <c r="B4" s="651"/>
      <c r="C4" s="651"/>
      <c r="D4" s="651"/>
      <c r="E4" s="651"/>
      <c r="F4" s="651"/>
      <c r="G4" s="666"/>
      <c r="H4" s="667"/>
      <c r="I4" s="667"/>
      <c r="J4" s="667"/>
      <c r="K4" s="668"/>
      <c r="L4" s="672"/>
      <c r="M4" s="673"/>
      <c r="N4" s="674"/>
      <c r="O4" s="676"/>
      <c r="P4" s="658"/>
      <c r="Q4" s="676"/>
      <c r="R4" s="649"/>
      <c r="S4" s="649"/>
      <c r="T4" s="651"/>
      <c r="U4" s="651"/>
      <c r="V4" s="651"/>
      <c r="W4" s="649"/>
      <c r="X4" s="656"/>
      <c r="Y4" s="656"/>
      <c r="Z4" s="649"/>
      <c r="AA4" s="651"/>
      <c r="AB4" s="651"/>
      <c r="AC4" s="651"/>
      <c r="AD4" s="651"/>
      <c r="AE4" s="651"/>
      <c r="AF4" s="652" t="s">
        <v>131</v>
      </c>
      <c r="AG4" s="653"/>
      <c r="AH4" s="654"/>
      <c r="AI4" s="658" t="s">
        <v>380</v>
      </c>
      <c r="AJ4" s="658" t="s">
        <v>15</v>
      </c>
      <c r="AK4" s="658" t="s">
        <v>132</v>
      </c>
      <c r="AL4" s="658" t="s">
        <v>18</v>
      </c>
      <c r="AM4" s="688"/>
      <c r="AN4" s="661" t="s">
        <v>109</v>
      </c>
      <c r="AO4" s="661" t="s">
        <v>15</v>
      </c>
      <c r="AP4" s="661" t="s">
        <v>110</v>
      </c>
      <c r="AQ4" s="661" t="s">
        <v>18</v>
      </c>
      <c r="AR4" s="682" t="s">
        <v>111</v>
      </c>
      <c r="AS4" s="696"/>
      <c r="AT4" s="685"/>
      <c r="AU4" s="686"/>
      <c r="AV4" s="513" t="s">
        <v>6</v>
      </c>
      <c r="AW4" s="513" t="s">
        <v>133</v>
      </c>
      <c r="AX4" s="514" t="s">
        <v>6</v>
      </c>
      <c r="AY4" s="515" t="s">
        <v>133</v>
      </c>
      <c r="AZ4" s="678"/>
      <c r="BA4" s="682"/>
      <c r="BB4" s="646"/>
      <c r="BC4" s="646"/>
      <c r="BD4" s="641"/>
      <c r="BE4" s="644"/>
      <c r="BF4" s="646"/>
    </row>
    <row r="5" spans="1:58" s="31" customFormat="1" ht="48">
      <c r="A5" s="651"/>
      <c r="B5" s="651"/>
      <c r="C5" s="660"/>
      <c r="D5" s="651"/>
      <c r="E5" s="651"/>
      <c r="F5" s="651"/>
      <c r="G5" s="494" t="s">
        <v>112</v>
      </c>
      <c r="H5" s="493" t="s">
        <v>113</v>
      </c>
      <c r="I5" s="29" t="s">
        <v>114</v>
      </c>
      <c r="J5" s="80" t="s">
        <v>115</v>
      </c>
      <c r="K5" s="80" t="s">
        <v>100</v>
      </c>
      <c r="L5" s="30" t="s">
        <v>116</v>
      </c>
      <c r="M5" s="30" t="s">
        <v>117</v>
      </c>
      <c r="N5" s="493" t="s">
        <v>118</v>
      </c>
      <c r="O5" s="676"/>
      <c r="P5" s="659"/>
      <c r="Q5" s="676"/>
      <c r="R5" s="649"/>
      <c r="S5" s="649"/>
      <c r="T5" s="651"/>
      <c r="U5" s="651"/>
      <c r="V5" s="651"/>
      <c r="W5" s="649"/>
      <c r="X5" s="656"/>
      <c r="Y5" s="657"/>
      <c r="Z5" s="649"/>
      <c r="AA5" s="651"/>
      <c r="AB5" s="660"/>
      <c r="AC5" s="651"/>
      <c r="AD5" s="660"/>
      <c r="AE5" s="651"/>
      <c r="AF5" s="443" t="s">
        <v>295</v>
      </c>
      <c r="AG5" s="518" t="s">
        <v>296</v>
      </c>
      <c r="AH5" s="518" t="s">
        <v>297</v>
      </c>
      <c r="AI5" s="659"/>
      <c r="AJ5" s="659"/>
      <c r="AK5" s="659"/>
      <c r="AL5" s="659"/>
      <c r="AM5" s="689"/>
      <c r="AN5" s="662"/>
      <c r="AO5" s="662"/>
      <c r="AP5" s="662"/>
      <c r="AQ5" s="662"/>
      <c r="AR5" s="648"/>
      <c r="AS5" s="697"/>
      <c r="AT5" s="517" t="s">
        <v>291</v>
      </c>
      <c r="AU5" s="517" t="s">
        <v>292</v>
      </c>
      <c r="AV5" s="516" t="s">
        <v>293</v>
      </c>
      <c r="AW5" s="516" t="s">
        <v>293</v>
      </c>
      <c r="AX5" s="514" t="s">
        <v>17</v>
      </c>
      <c r="AY5" s="514" t="s">
        <v>17</v>
      </c>
      <c r="AZ5" s="679"/>
      <c r="BA5" s="648"/>
      <c r="BB5" s="650"/>
      <c r="BC5" s="650"/>
      <c r="BD5" s="642"/>
      <c r="BE5" s="645"/>
      <c r="BF5" s="647"/>
    </row>
    <row r="6" spans="1:58" ht="12.75" customHeight="1">
      <c r="A6" s="39">
        <f>+Report1!A9</f>
        <v>46113</v>
      </c>
      <c r="B6" s="40" t="s">
        <v>7</v>
      </c>
      <c r="C6" s="414">
        <f>(M6*E6*O6*Q6)/100000000</f>
        <v>40.731196799999992</v>
      </c>
      <c r="D6" s="40" t="s">
        <v>302</v>
      </c>
      <c r="E6" s="41">
        <v>11.5</v>
      </c>
      <c r="F6" s="41">
        <v>1</v>
      </c>
      <c r="G6" s="499">
        <v>1230</v>
      </c>
      <c r="H6" s="43">
        <v>0.23</v>
      </c>
      <c r="I6" s="44">
        <v>0.88</v>
      </c>
      <c r="J6" s="81">
        <f>E6*G6*(1-H6)*1440/1000000*2.74</f>
        <v>42.974094239999999</v>
      </c>
      <c r="K6" s="81">
        <f>(IF(G6&lt;L6,L6,G6)*(1-IF(H6&lt;N6,H6,N6))*E6*O6*Q6)/100000000</f>
        <v>41.719376160000003</v>
      </c>
      <c r="L6" s="34">
        <v>1216.6666666666667</v>
      </c>
      <c r="M6" s="34">
        <v>924.66666666666663</v>
      </c>
      <c r="N6" s="45">
        <f>1-(M6/L6)</f>
        <v>0.2400000000000001</v>
      </c>
      <c r="O6" s="46">
        <f>+'Trim Rwd'!H4</f>
        <v>266</v>
      </c>
      <c r="P6" s="47">
        <f>O6*(Q6-R6-S6)</f>
        <v>361228</v>
      </c>
      <c r="Q6" s="46">
        <v>1440</v>
      </c>
      <c r="R6" s="500">
        <v>0</v>
      </c>
      <c r="S6" s="500">
        <v>82</v>
      </c>
      <c r="T6" s="36">
        <f>E6*M6*O6*Q6/100000000</f>
        <v>40.731196799999992</v>
      </c>
      <c r="U6" s="36">
        <f>E6*M6*O6*(Q6-R6-S6)/100000000</f>
        <v>38.411781426666657</v>
      </c>
      <c r="V6" s="36">
        <f>E6*G6*(1-N6)*O6/100*(R6+S6)/1000000</f>
        <v>2.3448336239999996</v>
      </c>
      <c r="W6" s="36">
        <f>+'1'!C34/1000</f>
        <v>34.951000000000001</v>
      </c>
      <c r="X6" s="501">
        <f>SUM(W6:W10)/SUM(K6:K10)</f>
        <v>0.83776420495737336</v>
      </c>
      <c r="Y6" s="210">
        <v>0</v>
      </c>
      <c r="Z6" s="36">
        <f>+'1'!D25/1000</f>
        <v>0</v>
      </c>
      <c r="AA6" s="48">
        <f>SUM(U6:U10)-SUM(W6:W10)-SUM(Z6:Z10)-SUM(Y6:Y10)</f>
        <v>3.4607814266666566</v>
      </c>
      <c r="AB6" s="48">
        <f>(SUM(K6:K10)-SUM(W6:W10)-SUM(Y6:Y10)-SUM(Z6:Z10)-SUM(AC6:AC10)-SUM(V6:V10))-AA6</f>
        <v>-2.5418250666664477E-2</v>
      </c>
      <c r="AC6" s="36">
        <f>K6-T6</f>
        <v>0.98817936000001083</v>
      </c>
      <c r="AD6" s="36">
        <f>+AM6+BA6</f>
        <v>16</v>
      </c>
      <c r="AE6" s="229" t="s">
        <v>415</v>
      </c>
      <c r="AF6" s="36">
        <v>16</v>
      </c>
      <c r="AG6" s="36"/>
      <c r="AH6" s="36"/>
      <c r="AI6" s="502"/>
      <c r="AJ6" s="36"/>
      <c r="AK6" s="36"/>
      <c r="AL6" s="36"/>
      <c r="AM6" s="36">
        <f t="shared" ref="AM6:AM9" si="0">SUM(AF6:AL6)+AT6+AV6+AX6</f>
        <v>16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>
        <f>+AR6+AS6+AU6+AW6+AY6+AZ6</f>
        <v>0</v>
      </c>
      <c r="BB6" s="32">
        <v>6</v>
      </c>
      <c r="BC6" s="50"/>
      <c r="BD6" s="50"/>
      <c r="BE6" s="32"/>
      <c r="BF6" s="50"/>
    </row>
    <row r="7" spans="1:58" ht="12.95" customHeight="1">
      <c r="A7" s="39"/>
      <c r="B7" s="40"/>
      <c r="C7" s="414"/>
      <c r="D7" s="40"/>
      <c r="E7" s="41"/>
      <c r="F7" s="41"/>
      <c r="G7" s="499"/>
      <c r="H7" s="43"/>
      <c r="I7" s="44"/>
      <c r="J7" s="81"/>
      <c r="K7" s="81"/>
      <c r="L7" s="34"/>
      <c r="M7" s="34"/>
      <c r="N7" s="45"/>
      <c r="O7" s="46"/>
      <c r="P7" s="47"/>
      <c r="Q7" s="46"/>
      <c r="R7" s="500"/>
      <c r="S7" s="500"/>
      <c r="T7" s="36"/>
      <c r="U7" s="36"/>
      <c r="V7" s="36"/>
      <c r="W7" s="36"/>
      <c r="X7" s="37"/>
      <c r="Y7" s="210"/>
      <c r="Z7" s="36"/>
      <c r="AA7" s="36"/>
      <c r="AB7" s="36"/>
      <c r="AC7" s="36"/>
      <c r="AD7" s="36">
        <f>+AM7+BA7</f>
        <v>13</v>
      </c>
      <c r="AE7" s="229" t="s">
        <v>416</v>
      </c>
      <c r="AF7" s="36"/>
      <c r="AG7" s="36">
        <v>13</v>
      </c>
      <c r="AH7" s="36"/>
      <c r="AI7" s="502"/>
      <c r="AJ7" s="36"/>
      <c r="AK7" s="36"/>
      <c r="AL7" s="36"/>
      <c r="AM7" s="36">
        <f t="shared" si="0"/>
        <v>13</v>
      </c>
      <c r="AN7" s="82"/>
      <c r="AO7" s="36"/>
      <c r="AP7" s="36"/>
      <c r="AQ7" s="36"/>
      <c r="AR7" s="36">
        <f t="shared" ref="AR7:AR9" si="1">SUM(AN7:AQ7)</f>
        <v>0</v>
      </c>
      <c r="AS7" s="36"/>
      <c r="AT7" s="36"/>
      <c r="AU7" s="36"/>
      <c r="AV7" s="36"/>
      <c r="AW7" s="36"/>
      <c r="AX7" s="36"/>
      <c r="AY7" s="36"/>
      <c r="AZ7" s="36"/>
      <c r="BA7" s="36">
        <f>+AR7+AS7+AU7+AW7+AY7+AZ7</f>
        <v>0</v>
      </c>
      <c r="BB7" s="49"/>
      <c r="BC7" s="50">
        <v>6</v>
      </c>
      <c r="BD7" s="50"/>
      <c r="BE7" s="49"/>
      <c r="BF7" s="50"/>
    </row>
    <row r="8" spans="1:58" ht="12.95" customHeight="1">
      <c r="A8" s="39"/>
      <c r="B8" s="40"/>
      <c r="C8" s="414"/>
      <c r="D8" s="40"/>
      <c r="E8" s="41"/>
      <c r="F8" s="41"/>
      <c r="G8" s="42"/>
      <c r="H8" s="43"/>
      <c r="I8" s="44"/>
      <c r="J8" s="81"/>
      <c r="K8" s="81"/>
      <c r="L8" s="34"/>
      <c r="M8" s="34"/>
      <c r="N8" s="45"/>
      <c r="O8" s="46"/>
      <c r="P8" s="47"/>
      <c r="Q8" s="46"/>
      <c r="R8" s="500"/>
      <c r="S8" s="500"/>
      <c r="T8" s="36"/>
      <c r="U8" s="36"/>
      <c r="V8" s="36"/>
      <c r="W8" s="36"/>
      <c r="X8" s="37"/>
      <c r="Y8" s="210"/>
      <c r="Z8" s="36"/>
      <c r="AA8" s="36"/>
      <c r="AB8" s="36"/>
      <c r="AC8" s="36"/>
      <c r="AD8" s="36">
        <f>+AM8+BA8</f>
        <v>53</v>
      </c>
      <c r="AE8" s="229" t="s">
        <v>388</v>
      </c>
      <c r="AF8" s="32"/>
      <c r="AG8" s="32"/>
      <c r="AH8" s="32">
        <v>53</v>
      </c>
      <c r="AJ8" s="36"/>
      <c r="AK8" s="36"/>
      <c r="AL8" s="36"/>
      <c r="AM8" s="36">
        <f t="shared" si="0"/>
        <v>53</v>
      </c>
      <c r="AN8" s="36"/>
      <c r="AO8" s="36"/>
      <c r="AP8" s="36"/>
      <c r="AQ8" s="36"/>
      <c r="AR8" s="36">
        <f t="shared" si="1"/>
        <v>0</v>
      </c>
      <c r="AS8" s="36"/>
      <c r="AT8" s="36"/>
      <c r="AU8" s="36"/>
      <c r="AV8" s="36"/>
      <c r="AW8" s="36"/>
      <c r="AX8" s="36"/>
      <c r="AY8" s="36"/>
      <c r="AZ8" s="36"/>
      <c r="BA8" s="36">
        <f>+AR8+AS8+AU8+AW8+AY8+AZ8</f>
        <v>0</v>
      </c>
      <c r="BB8" s="32"/>
      <c r="BC8" s="503"/>
      <c r="BD8" s="503"/>
      <c r="BE8" s="32"/>
      <c r="BF8" s="503"/>
    </row>
    <row r="9" spans="1:58" ht="12.95" customHeight="1">
      <c r="A9" s="39"/>
      <c r="B9" s="40"/>
      <c r="C9" s="414"/>
      <c r="D9" s="40"/>
      <c r="E9" s="41"/>
      <c r="F9" s="41"/>
      <c r="G9" s="42"/>
      <c r="H9" s="43"/>
      <c r="I9" s="44"/>
      <c r="J9" s="81"/>
      <c r="K9" s="81"/>
      <c r="L9" s="34"/>
      <c r="M9" s="34"/>
      <c r="N9" s="45"/>
      <c r="O9" s="46"/>
      <c r="P9" s="47"/>
      <c r="Q9" s="33"/>
      <c r="R9" s="500"/>
      <c r="S9" s="500"/>
      <c r="T9" s="36"/>
      <c r="U9" s="36"/>
      <c r="V9" s="36"/>
      <c r="W9" s="36"/>
      <c r="X9" s="37"/>
      <c r="Y9" s="210"/>
      <c r="Z9" s="36"/>
      <c r="AA9" s="36"/>
      <c r="AB9" s="36"/>
      <c r="AC9" s="36"/>
      <c r="AD9" s="36">
        <f>+AM9+BA9</f>
        <v>0</v>
      </c>
      <c r="AE9" s="232" t="s">
        <v>378</v>
      </c>
      <c r="AF9" s="36"/>
      <c r="AG9" s="36"/>
      <c r="AH9" s="36"/>
      <c r="AI9" s="502"/>
      <c r="AJ9" s="36"/>
      <c r="AK9" s="36"/>
      <c r="AL9" s="36"/>
      <c r="AM9" s="36">
        <f t="shared" si="0"/>
        <v>0</v>
      </c>
      <c r="AN9" s="36"/>
      <c r="AO9" s="36"/>
      <c r="AP9" s="36"/>
      <c r="AQ9" s="36"/>
      <c r="AR9" s="36">
        <f t="shared" si="1"/>
        <v>0</v>
      </c>
      <c r="AS9" s="36"/>
      <c r="AT9" s="36"/>
      <c r="AU9" s="36"/>
      <c r="AV9" s="36"/>
      <c r="AW9" s="36"/>
      <c r="AX9" s="36"/>
      <c r="AY9" s="36"/>
      <c r="AZ9" s="36"/>
      <c r="BA9" s="36">
        <f>+AR9+AS9+AU9+AW9+AY9+AZ9</f>
        <v>0</v>
      </c>
      <c r="BB9" s="49"/>
      <c r="BC9" s="50"/>
      <c r="BD9" s="50"/>
      <c r="BE9" s="49"/>
      <c r="BF9" s="50"/>
    </row>
    <row r="10" spans="1:58" ht="12.95" customHeight="1">
      <c r="A10" s="39"/>
      <c r="B10" s="40"/>
      <c r="C10" s="414"/>
      <c r="D10" s="40"/>
      <c r="E10" s="41"/>
      <c r="F10" s="41"/>
      <c r="G10" s="42"/>
      <c r="H10" s="43"/>
      <c r="I10" s="44"/>
      <c r="J10" s="81"/>
      <c r="K10" s="81"/>
      <c r="L10" s="34"/>
      <c r="M10" s="34"/>
      <c r="N10" s="45"/>
      <c r="O10" s="46"/>
      <c r="P10" s="47"/>
      <c r="Q10" s="33"/>
      <c r="R10" s="500"/>
      <c r="S10" s="500"/>
      <c r="T10" s="36"/>
      <c r="U10" s="36"/>
      <c r="V10" s="36"/>
      <c r="W10" s="36"/>
      <c r="X10" s="37"/>
      <c r="Y10" s="210"/>
      <c r="Z10" s="36"/>
      <c r="AA10" s="36"/>
      <c r="AB10" s="36"/>
      <c r="AC10" s="36"/>
      <c r="AD10" s="36"/>
      <c r="AE10" s="232"/>
      <c r="AF10" s="36"/>
      <c r="AG10" s="36"/>
      <c r="AH10" s="36"/>
      <c r="AI10" s="502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49"/>
      <c r="BC10" s="50"/>
      <c r="BD10" s="50"/>
      <c r="BE10" s="32"/>
      <c r="BF10" s="50"/>
    </row>
    <row r="11" spans="1:58" ht="12.75" customHeight="1">
      <c r="A11" s="39">
        <v>46114</v>
      </c>
      <c r="B11" s="40" t="s">
        <v>7</v>
      </c>
      <c r="C11" s="414">
        <f>(M11*E11*O11*Q11)/100000000</f>
        <v>41.177566079999998</v>
      </c>
      <c r="D11" s="40" t="s">
        <v>302</v>
      </c>
      <c r="E11" s="41">
        <v>11.5</v>
      </c>
      <c r="F11" s="41">
        <v>1</v>
      </c>
      <c r="G11" s="499">
        <v>1230</v>
      </c>
      <c r="H11" s="43">
        <v>0.23</v>
      </c>
      <c r="I11" s="44">
        <v>0.88</v>
      </c>
      <c r="J11" s="81">
        <f>E11*G11*(1-H11)*1440/1000000*2.74</f>
        <v>42.974094239999999</v>
      </c>
      <c r="K11" s="81">
        <f>(IF(G11&lt;L11,L11,G11)*(1-IF(H11&lt;N11,H11,N11))*E11*O11*Q11)/100000000</f>
        <v>41.719376160000003</v>
      </c>
      <c r="L11" s="34">
        <v>1230</v>
      </c>
      <c r="M11" s="34">
        <v>934.8</v>
      </c>
      <c r="N11" s="45">
        <f>1-(M11/L11)</f>
        <v>0.24</v>
      </c>
      <c r="O11" s="46">
        <f>+'Trim Rwd'!H6</f>
        <v>266</v>
      </c>
      <c r="P11" s="47">
        <f>O11*(Q11-R11-S11)</f>
        <v>367080</v>
      </c>
      <c r="Q11" s="46">
        <v>1440</v>
      </c>
      <c r="R11" s="500">
        <v>0</v>
      </c>
      <c r="S11" s="500">
        <v>60</v>
      </c>
      <c r="T11" s="36">
        <f>E11*M11*O11*Q11/100000000</f>
        <v>41.177566079999998</v>
      </c>
      <c r="U11" s="36">
        <f>E11*M11*O11*(Q11-R11-S11)/100000000</f>
        <v>39.461834159999995</v>
      </c>
      <c r="V11" s="36">
        <f>E11*G11*(1-N11)*O11/100*(R11+S11)/1000000</f>
        <v>1.7157319200000001</v>
      </c>
      <c r="W11" s="36">
        <f>+'2'!K7/1000</f>
        <v>37.249000000000002</v>
      </c>
      <c r="X11" s="501">
        <f>SUM(W11:W15)/SUM(K11:K15)</f>
        <v>0.89284652428992595</v>
      </c>
      <c r="Y11" s="210">
        <v>0</v>
      </c>
      <c r="Z11" s="36">
        <f>+'2'!D25/1000</f>
        <v>0.7</v>
      </c>
      <c r="AA11" s="48">
        <f>SUM(U11:U15)-SUM(W11:W15)-SUM(Z11:Z15)-SUM(Y11:Y15)</f>
        <v>1.5128341599999928</v>
      </c>
      <c r="AB11" s="48">
        <f>(SUM(K11:K15)-SUM(W11:W15)-SUM(Y11:Y15)-SUM(Z11:Z15)-SUM(AC11:AC15)-SUM(V11:V15))-AA11</f>
        <v>2.886579864025407E-15</v>
      </c>
      <c r="AC11" s="36">
        <f>K11-T11</f>
        <v>0.54181008000000475</v>
      </c>
      <c r="AD11" s="36">
        <f>+AM11+BA11</f>
        <v>4</v>
      </c>
      <c r="AE11" s="229" t="s">
        <v>400</v>
      </c>
      <c r="AF11" s="36">
        <v>4</v>
      </c>
      <c r="AG11" s="36"/>
      <c r="AH11" s="36"/>
      <c r="AI11" s="502"/>
      <c r="AJ11" s="36"/>
      <c r="AK11" s="36"/>
      <c r="AL11" s="36"/>
      <c r="AM11" s="36">
        <f t="shared" ref="AM11:AM14" si="2">SUM(AF11:AL11)+AT11+AV11+AX11</f>
        <v>4</v>
      </c>
      <c r="AN11" s="36"/>
      <c r="AO11" s="36"/>
      <c r="AP11" s="36"/>
      <c r="AQ11" s="36"/>
      <c r="AR11" s="36">
        <f>SUM(AN11:AQ11)</f>
        <v>0</v>
      </c>
      <c r="AS11" s="36"/>
      <c r="AT11" s="36"/>
      <c r="AU11" s="36"/>
      <c r="AV11" s="36"/>
      <c r="AW11" s="36"/>
      <c r="AX11" s="36"/>
      <c r="AY11" s="36"/>
      <c r="AZ11" s="36"/>
      <c r="BA11" s="36">
        <f>+AR11+AS11+AU11+AW11+AY11+AZ11</f>
        <v>0</v>
      </c>
      <c r="BB11" s="32">
        <v>2</v>
      </c>
      <c r="BC11" s="50"/>
      <c r="BD11" s="50"/>
      <c r="BE11" s="32"/>
      <c r="BF11" s="50"/>
    </row>
    <row r="12" spans="1:58" ht="12.95" customHeight="1">
      <c r="A12" s="39"/>
      <c r="B12" s="40"/>
      <c r="C12" s="414"/>
      <c r="D12" s="40"/>
      <c r="E12" s="41"/>
      <c r="F12" s="41"/>
      <c r="G12" s="499"/>
      <c r="H12" s="43"/>
      <c r="I12" s="44"/>
      <c r="J12" s="81"/>
      <c r="K12" s="81"/>
      <c r="L12" s="34"/>
      <c r="M12" s="34"/>
      <c r="N12" s="45"/>
      <c r="O12" s="46"/>
      <c r="P12" s="47"/>
      <c r="Q12" s="46"/>
      <c r="R12" s="500"/>
      <c r="S12" s="500"/>
      <c r="T12" s="36"/>
      <c r="U12" s="36"/>
      <c r="V12" s="36"/>
      <c r="W12" s="36"/>
      <c r="X12" s="37"/>
      <c r="Y12" s="210"/>
      <c r="Z12" s="36"/>
      <c r="AA12" s="36"/>
      <c r="AB12" s="36"/>
      <c r="AC12" s="36"/>
      <c r="AD12" s="36">
        <f>+AM12+BA12</f>
        <v>19</v>
      </c>
      <c r="AE12" s="229" t="s">
        <v>430</v>
      </c>
      <c r="AF12" s="36"/>
      <c r="AG12" s="36">
        <v>19</v>
      </c>
      <c r="AH12" s="36"/>
      <c r="AI12" s="502"/>
      <c r="AJ12" s="36"/>
      <c r="AK12" s="36"/>
      <c r="AL12" s="36"/>
      <c r="AM12" s="36">
        <f t="shared" si="2"/>
        <v>19</v>
      </c>
      <c r="AN12" s="82"/>
      <c r="AO12" s="36"/>
      <c r="AP12" s="36"/>
      <c r="AQ12" s="36"/>
      <c r="AR12" s="36">
        <f t="shared" ref="AR12:AR14" si="3"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>
        <f>+AR12+AS12+AU12+AW12+AY12+AZ12</f>
        <v>0</v>
      </c>
      <c r="BB12" s="49"/>
      <c r="BC12" s="50">
        <v>9</v>
      </c>
      <c r="BD12" s="50"/>
      <c r="BE12" s="49"/>
      <c r="BF12" s="50"/>
    </row>
    <row r="13" spans="1:58" ht="12.95" customHeight="1">
      <c r="A13" s="39"/>
      <c r="B13" s="40"/>
      <c r="C13" s="414"/>
      <c r="D13" s="40"/>
      <c r="E13" s="41"/>
      <c r="F13" s="41"/>
      <c r="G13" s="42"/>
      <c r="H13" s="43"/>
      <c r="I13" s="44"/>
      <c r="J13" s="81"/>
      <c r="K13" s="81"/>
      <c r="L13" s="34"/>
      <c r="M13" s="34"/>
      <c r="N13" s="45"/>
      <c r="O13" s="46"/>
      <c r="P13" s="47"/>
      <c r="Q13" s="46"/>
      <c r="R13" s="500"/>
      <c r="S13" s="500"/>
      <c r="T13" s="36"/>
      <c r="U13" s="36"/>
      <c r="V13" s="36"/>
      <c r="W13" s="36"/>
      <c r="X13" s="37"/>
      <c r="Y13" s="210"/>
      <c r="Z13" s="36"/>
      <c r="AA13" s="36"/>
      <c r="AB13" s="36"/>
      <c r="AC13" s="36"/>
      <c r="AD13" s="36">
        <f>+AM13+BA13</f>
        <v>37</v>
      </c>
      <c r="AE13" s="229" t="s">
        <v>431</v>
      </c>
      <c r="AF13" s="32"/>
      <c r="AG13" s="32"/>
      <c r="AH13" s="32">
        <v>37</v>
      </c>
      <c r="AJ13" s="36"/>
      <c r="AK13" s="36"/>
      <c r="AL13" s="36"/>
      <c r="AM13" s="36">
        <f t="shared" si="2"/>
        <v>37</v>
      </c>
      <c r="AN13" s="36"/>
      <c r="AO13" s="36"/>
      <c r="AP13" s="36"/>
      <c r="AQ13" s="36"/>
      <c r="AR13" s="36">
        <f t="shared" si="3"/>
        <v>0</v>
      </c>
      <c r="AS13" s="36"/>
      <c r="AT13" s="36"/>
      <c r="AU13" s="36"/>
      <c r="AV13" s="36"/>
      <c r="AW13" s="36"/>
      <c r="AX13" s="36"/>
      <c r="AY13" s="36"/>
      <c r="AZ13" s="36"/>
      <c r="BA13" s="36">
        <f>+AR13+AS13+AU13+AW13+AY13+AZ13</f>
        <v>0</v>
      </c>
      <c r="BB13" s="32"/>
      <c r="BC13" s="503"/>
      <c r="BD13" s="503"/>
      <c r="BE13" s="32"/>
      <c r="BF13" s="503"/>
    </row>
    <row r="14" spans="1:58" ht="12.95" customHeight="1">
      <c r="A14" s="39"/>
      <c r="B14" s="40"/>
      <c r="C14" s="414"/>
      <c r="D14" s="40"/>
      <c r="E14" s="41"/>
      <c r="F14" s="41"/>
      <c r="G14" s="42"/>
      <c r="H14" s="43"/>
      <c r="I14" s="44"/>
      <c r="J14" s="81"/>
      <c r="K14" s="81"/>
      <c r="L14" s="34"/>
      <c r="M14" s="34"/>
      <c r="N14" s="45"/>
      <c r="O14" s="46"/>
      <c r="P14" s="47"/>
      <c r="Q14" s="33"/>
      <c r="R14" s="500"/>
      <c r="S14" s="500"/>
      <c r="T14" s="36"/>
      <c r="U14" s="36"/>
      <c r="V14" s="36"/>
      <c r="W14" s="36"/>
      <c r="X14" s="37"/>
      <c r="Y14" s="210"/>
      <c r="Z14" s="36"/>
      <c r="AA14" s="36"/>
      <c r="AB14" s="36"/>
      <c r="AC14" s="36"/>
      <c r="AD14" s="36">
        <f>+AM14+BA14</f>
        <v>0</v>
      </c>
      <c r="AE14" s="232" t="s">
        <v>378</v>
      </c>
      <c r="AF14" s="36"/>
      <c r="AG14" s="36"/>
      <c r="AH14" s="36"/>
      <c r="AI14" s="502"/>
      <c r="AJ14" s="36"/>
      <c r="AK14" s="36"/>
      <c r="AL14" s="36"/>
      <c r="AM14" s="36">
        <f t="shared" si="2"/>
        <v>0</v>
      </c>
      <c r="AN14" s="36"/>
      <c r="AO14" s="36"/>
      <c r="AP14" s="36"/>
      <c r="AQ14" s="36"/>
      <c r="AR14" s="36">
        <f t="shared" si="3"/>
        <v>0</v>
      </c>
      <c r="AS14" s="36"/>
      <c r="AT14" s="36"/>
      <c r="AU14" s="36"/>
      <c r="AV14" s="36"/>
      <c r="AW14" s="36"/>
      <c r="AX14" s="36"/>
      <c r="AY14" s="36"/>
      <c r="AZ14" s="36"/>
      <c r="BA14" s="36">
        <f>+AR14+AS14+AU14+AW14+AY14+AZ14</f>
        <v>0</v>
      </c>
      <c r="BB14" s="49"/>
      <c r="BC14" s="50"/>
      <c r="BD14" s="50"/>
      <c r="BE14" s="49"/>
      <c r="BF14" s="50"/>
    </row>
    <row r="15" spans="1:58" ht="12.95" customHeight="1">
      <c r="A15" s="39"/>
      <c r="B15" s="40"/>
      <c r="C15" s="414"/>
      <c r="D15" s="40"/>
      <c r="E15" s="41"/>
      <c r="F15" s="41"/>
      <c r="G15" s="42"/>
      <c r="H15" s="43"/>
      <c r="I15" s="44"/>
      <c r="J15" s="81"/>
      <c r="K15" s="81"/>
      <c r="L15" s="34"/>
      <c r="M15" s="34"/>
      <c r="N15" s="45"/>
      <c r="O15" s="46"/>
      <c r="P15" s="47"/>
      <c r="Q15" s="33"/>
      <c r="R15" s="500"/>
      <c r="S15" s="500"/>
      <c r="T15" s="36"/>
      <c r="U15" s="36"/>
      <c r="V15" s="36"/>
      <c r="W15" s="36"/>
      <c r="X15" s="37"/>
      <c r="Y15" s="210"/>
      <c r="Z15" s="36"/>
      <c r="AA15" s="36"/>
      <c r="AB15" s="36"/>
      <c r="AC15" s="36"/>
      <c r="AD15" s="36"/>
      <c r="AE15" s="232"/>
      <c r="AF15" s="36"/>
      <c r="AG15" s="36"/>
      <c r="AH15" s="36"/>
      <c r="AI15" s="502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49"/>
      <c r="BC15" s="50"/>
      <c r="BD15" s="50"/>
      <c r="BE15" s="49"/>
      <c r="BF15" s="50"/>
    </row>
    <row r="16" spans="1:58" ht="12.75" customHeight="1">
      <c r="A16" s="39">
        <v>46115</v>
      </c>
      <c r="B16" s="40" t="s">
        <v>7</v>
      </c>
      <c r="C16" s="414">
        <f>(M16*E16*O16*Q16)/100000000</f>
        <v>41.177566079999998</v>
      </c>
      <c r="D16" s="40" t="s">
        <v>302</v>
      </c>
      <c r="E16" s="41">
        <v>11.5</v>
      </c>
      <c r="F16" s="41">
        <v>1</v>
      </c>
      <c r="G16" s="499">
        <v>1230</v>
      </c>
      <c r="H16" s="43">
        <v>0.23</v>
      </c>
      <c r="I16" s="44">
        <v>0.88</v>
      </c>
      <c r="J16" s="81">
        <f>E16*G16*(1-H16)*1440/1000000*2.74</f>
        <v>42.974094239999999</v>
      </c>
      <c r="K16" s="81">
        <f>(IF(G16&lt;L16,L16,G16)*(1-IF(H16&lt;N16,H16,N16))*E16*O16*Q16)/100000000</f>
        <v>41.719376160000003</v>
      </c>
      <c r="L16" s="34">
        <v>1230</v>
      </c>
      <c r="M16" s="34">
        <v>934.8</v>
      </c>
      <c r="N16" s="45">
        <f>1-(M16/L16)</f>
        <v>0.24</v>
      </c>
      <c r="O16" s="46">
        <f>+'Trim Rwd'!H8</f>
        <v>266</v>
      </c>
      <c r="P16" s="47">
        <f>O16*(Q16-R16-S16)</f>
        <v>366016</v>
      </c>
      <c r="Q16" s="46">
        <v>1440</v>
      </c>
      <c r="R16" s="500">
        <v>0</v>
      </c>
      <c r="S16" s="500">
        <v>64</v>
      </c>
      <c r="T16" s="36">
        <f>E16*M16*O16*Q16/100000000</f>
        <v>41.177566079999998</v>
      </c>
      <c r="U16" s="36">
        <f>E16*M16*O16*(Q16-R16-S16)/100000000</f>
        <v>39.347452032</v>
      </c>
      <c r="V16" s="36">
        <f>E16*G16*(1-N16)*O16/100*(R16+S16)/1000000</f>
        <v>1.8301140480000002</v>
      </c>
      <c r="W16" s="36">
        <f>+'3'!K7/1000</f>
        <v>37.430999999999997</v>
      </c>
      <c r="X16" s="501">
        <f>SUM(W16:W20)/SUM(K16:K20)</f>
        <v>0.89720900562957973</v>
      </c>
      <c r="Y16" s="210">
        <v>0</v>
      </c>
      <c r="Z16" s="36">
        <f>+'1'!D35/1000</f>
        <v>0</v>
      </c>
      <c r="AA16" s="48">
        <f>SUM(U16:U20)-SUM(W16:W20)-SUM(Z16:Z20)-SUM(Y16:Y20)</f>
        <v>1.9164520320000022</v>
      </c>
      <c r="AB16" s="48">
        <f>(SUM(K16:K20)-SUM(W16:W20)-SUM(Y16:Y20)-SUM(Z16:Z20)-SUM(AC16:AC20)-SUM(V16:V20))-AA16</f>
        <v>0</v>
      </c>
      <c r="AC16" s="36">
        <f>K16-T16</f>
        <v>0.54181008000000475</v>
      </c>
      <c r="AD16" s="36">
        <f>+AM16+BA16</f>
        <v>6</v>
      </c>
      <c r="AE16" s="229" t="s">
        <v>400</v>
      </c>
      <c r="AF16" s="36">
        <v>6</v>
      </c>
      <c r="AG16" s="36"/>
      <c r="AH16" s="36"/>
      <c r="AI16" s="502"/>
      <c r="AJ16" s="36"/>
      <c r="AK16" s="36"/>
      <c r="AL16" s="36"/>
      <c r="AM16" s="36">
        <f t="shared" ref="AM16:AM19" si="4">SUM(AF16:AL16)+AT16+AV16+AX16</f>
        <v>6</v>
      </c>
      <c r="AN16" s="36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>
        <f>+AR16+AS16+AU16+AW16+AY16+AZ16</f>
        <v>0</v>
      </c>
      <c r="BB16" s="32">
        <v>2</v>
      </c>
      <c r="BC16" s="50"/>
      <c r="BD16" s="50"/>
      <c r="BE16" s="32"/>
      <c r="BF16" s="50"/>
    </row>
    <row r="17" spans="1:58" ht="12.95" customHeight="1">
      <c r="A17" s="39"/>
      <c r="B17" s="40"/>
      <c r="C17" s="414"/>
      <c r="D17" s="40"/>
      <c r="E17" s="41"/>
      <c r="F17" s="41"/>
      <c r="G17" s="499"/>
      <c r="H17" s="43"/>
      <c r="I17" s="44"/>
      <c r="J17" s="81"/>
      <c r="K17" s="81"/>
      <c r="L17" s="34"/>
      <c r="M17" s="34"/>
      <c r="N17" s="45"/>
      <c r="O17" s="46"/>
      <c r="P17" s="47"/>
      <c r="Q17" s="46"/>
      <c r="R17" s="500"/>
      <c r="S17" s="500"/>
      <c r="T17" s="36"/>
      <c r="U17" s="36"/>
      <c r="V17" s="36"/>
      <c r="W17" s="36"/>
      <c r="X17" s="37"/>
      <c r="Y17" s="210"/>
      <c r="Z17" s="36"/>
      <c r="AA17" s="36"/>
      <c r="AB17" s="36"/>
      <c r="AC17" s="36"/>
      <c r="AD17" s="36">
        <f>+AM17+BA17</f>
        <v>8</v>
      </c>
      <c r="AE17" s="229" t="s">
        <v>416</v>
      </c>
      <c r="AF17" s="36"/>
      <c r="AG17" s="36">
        <v>8</v>
      </c>
      <c r="AH17" s="36"/>
      <c r="AI17" s="502"/>
      <c r="AJ17" s="36"/>
      <c r="AK17" s="36"/>
      <c r="AL17" s="36"/>
      <c r="AM17" s="36">
        <f t="shared" si="4"/>
        <v>8</v>
      </c>
      <c r="AN17" s="82"/>
      <c r="AO17" s="36"/>
      <c r="AP17" s="36"/>
      <c r="AQ17" s="36"/>
      <c r="AR17" s="36">
        <f t="shared" ref="AR17:AR19" si="5"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>
        <f>+AR17+AS17+AU17+AW17+AY17+AZ17</f>
        <v>0</v>
      </c>
      <c r="BB17" s="49"/>
      <c r="BC17" s="50">
        <v>6</v>
      </c>
      <c r="BD17" s="50"/>
      <c r="BE17" s="49"/>
      <c r="BF17" s="50"/>
    </row>
    <row r="18" spans="1:58" ht="12.95" customHeight="1">
      <c r="A18" s="39"/>
      <c r="B18" s="40"/>
      <c r="C18" s="414"/>
      <c r="D18" s="40"/>
      <c r="E18" s="41"/>
      <c r="F18" s="41"/>
      <c r="G18" s="42"/>
      <c r="H18" s="43"/>
      <c r="I18" s="44"/>
      <c r="J18" s="81"/>
      <c r="K18" s="81"/>
      <c r="L18" s="34"/>
      <c r="M18" s="34"/>
      <c r="N18" s="45"/>
      <c r="O18" s="46"/>
      <c r="P18" s="47"/>
      <c r="Q18" s="46"/>
      <c r="R18" s="500"/>
      <c r="S18" s="500"/>
      <c r="T18" s="36"/>
      <c r="U18" s="36"/>
      <c r="V18" s="36"/>
      <c r="W18" s="36"/>
      <c r="X18" s="37"/>
      <c r="Y18" s="210"/>
      <c r="Z18" s="36"/>
      <c r="AA18" s="36"/>
      <c r="AB18" s="36"/>
      <c r="AC18" s="36"/>
      <c r="AD18" s="36">
        <f>+AM18+BA18</f>
        <v>50</v>
      </c>
      <c r="AE18" s="229" t="s">
        <v>429</v>
      </c>
      <c r="AF18" s="32"/>
      <c r="AG18" s="32"/>
      <c r="AH18" s="32">
        <v>50</v>
      </c>
      <c r="AJ18" s="36"/>
      <c r="AK18" s="36"/>
      <c r="AL18" s="36"/>
      <c r="AM18" s="36">
        <f t="shared" si="4"/>
        <v>50</v>
      </c>
      <c r="AN18" s="36"/>
      <c r="AO18" s="36"/>
      <c r="AP18" s="36"/>
      <c r="AQ18" s="36"/>
      <c r="AR18" s="36">
        <f t="shared" si="5"/>
        <v>0</v>
      </c>
      <c r="AS18" s="36"/>
      <c r="AT18" s="36"/>
      <c r="AU18" s="36"/>
      <c r="AV18" s="36"/>
      <c r="AW18" s="36"/>
      <c r="AX18" s="36"/>
      <c r="AY18" s="36"/>
      <c r="AZ18" s="36"/>
      <c r="BA18" s="36">
        <f>+AR18+AS18+AU18+AW18+AY18+AZ18</f>
        <v>0</v>
      </c>
      <c r="BB18" s="32"/>
      <c r="BC18" s="503"/>
      <c r="BD18" s="503"/>
      <c r="BE18" s="32"/>
      <c r="BF18" s="503"/>
    </row>
    <row r="19" spans="1:58" ht="12.95" customHeight="1">
      <c r="A19" s="39"/>
      <c r="B19" s="40"/>
      <c r="C19" s="414"/>
      <c r="D19" s="40"/>
      <c r="E19" s="41"/>
      <c r="F19" s="41"/>
      <c r="G19" s="42"/>
      <c r="H19" s="43"/>
      <c r="I19" s="44"/>
      <c r="J19" s="81"/>
      <c r="K19" s="81"/>
      <c r="L19" s="34"/>
      <c r="M19" s="34"/>
      <c r="N19" s="45"/>
      <c r="O19" s="46"/>
      <c r="P19" s="47"/>
      <c r="Q19" s="33"/>
      <c r="R19" s="500"/>
      <c r="S19" s="500"/>
      <c r="T19" s="36"/>
      <c r="U19" s="36"/>
      <c r="V19" s="36"/>
      <c r="W19" s="36"/>
      <c r="X19" s="37"/>
      <c r="Y19" s="210"/>
      <c r="Z19" s="36"/>
      <c r="AA19" s="36"/>
      <c r="AB19" s="36"/>
      <c r="AC19" s="36"/>
      <c r="AD19" s="36">
        <f>+AM19+BA19</f>
        <v>0</v>
      </c>
      <c r="AE19" s="232" t="s">
        <v>378</v>
      </c>
      <c r="AF19" s="36"/>
      <c r="AG19" s="36"/>
      <c r="AH19" s="36"/>
      <c r="AI19" s="502"/>
      <c r="AJ19" s="36"/>
      <c r="AK19" s="36"/>
      <c r="AL19" s="36"/>
      <c r="AM19" s="36">
        <f t="shared" si="4"/>
        <v>0</v>
      </c>
      <c r="AN19" s="36"/>
      <c r="AO19" s="36"/>
      <c r="AP19" s="36"/>
      <c r="AQ19" s="36"/>
      <c r="AR19" s="36">
        <f t="shared" si="5"/>
        <v>0</v>
      </c>
      <c r="AS19" s="36"/>
      <c r="AT19" s="36"/>
      <c r="AU19" s="36"/>
      <c r="AV19" s="36"/>
      <c r="AW19" s="36"/>
      <c r="AX19" s="36"/>
      <c r="AY19" s="36"/>
      <c r="AZ19" s="36"/>
      <c r="BA19" s="36">
        <f>+AR19+AS19+AU19+AW19+AY19+AZ19</f>
        <v>0</v>
      </c>
      <c r="BB19" s="49"/>
      <c r="BC19" s="50"/>
      <c r="BD19" s="50"/>
      <c r="BE19" s="49"/>
      <c r="BF19" s="50"/>
    </row>
    <row r="20" spans="1:58" ht="12.95" customHeight="1">
      <c r="A20" s="39"/>
      <c r="B20" s="40"/>
      <c r="C20" s="414"/>
      <c r="D20" s="40"/>
      <c r="E20" s="41"/>
      <c r="F20" s="41"/>
      <c r="G20" s="499"/>
      <c r="H20" s="43"/>
      <c r="I20" s="44"/>
      <c r="J20" s="81"/>
      <c r="K20" s="81"/>
      <c r="L20" s="34"/>
      <c r="M20" s="34"/>
      <c r="N20" s="45"/>
      <c r="O20" s="46"/>
      <c r="P20" s="47"/>
      <c r="Q20" s="46"/>
      <c r="R20" s="500"/>
      <c r="S20" s="500"/>
      <c r="T20" s="36"/>
      <c r="U20" s="36"/>
      <c r="V20" s="36"/>
      <c r="W20" s="36"/>
      <c r="X20" s="37"/>
      <c r="Y20" s="210"/>
      <c r="Z20" s="36"/>
      <c r="AA20" s="36"/>
      <c r="AB20" s="36"/>
      <c r="AC20" s="36"/>
      <c r="AD20" s="36"/>
      <c r="AE20" s="229"/>
      <c r="AF20" s="32"/>
      <c r="AG20" s="32"/>
      <c r="AH20" s="32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2"/>
      <c r="BC20" s="503"/>
      <c r="BD20" s="503"/>
      <c r="BE20" s="32"/>
      <c r="BF20" s="503"/>
    </row>
    <row r="21" spans="1:58" ht="12.75" customHeight="1">
      <c r="A21" s="39">
        <v>46116</v>
      </c>
      <c r="B21" s="40" t="s">
        <v>7</v>
      </c>
      <c r="C21" s="414">
        <f>(M21*E21*O21*Q21)/100000000</f>
        <v>13.725855359999997</v>
      </c>
      <c r="D21" s="40" t="s">
        <v>302</v>
      </c>
      <c r="E21" s="41">
        <v>11.5</v>
      </c>
      <c r="F21" s="41">
        <v>1</v>
      </c>
      <c r="G21" s="499">
        <v>1230</v>
      </c>
      <c r="H21" s="43">
        <v>0.23</v>
      </c>
      <c r="I21" s="44">
        <v>0.88</v>
      </c>
      <c r="J21" s="81">
        <f>E21*G21*(1-H21)*1440/1000000*2.74</f>
        <v>42.974094239999999</v>
      </c>
      <c r="K21" s="81">
        <f>(IF(G21&lt;L21,L21,G21)*(1-IF(H21&lt;N21,H21,N21))*E21*O21*Q21)/100000000</f>
        <v>13.90645872</v>
      </c>
      <c r="L21" s="34">
        <v>1230</v>
      </c>
      <c r="M21" s="34">
        <v>934.8</v>
      </c>
      <c r="N21" s="45">
        <f>1-(M21/L21)</f>
        <v>0.24</v>
      </c>
      <c r="O21" s="46">
        <f>+'Trim Rwd'!H10</f>
        <v>266</v>
      </c>
      <c r="P21" s="47">
        <f>O21*(Q21-R21-S21)</f>
        <v>122360</v>
      </c>
      <c r="Q21" s="46">
        <v>480</v>
      </c>
      <c r="R21" s="500">
        <v>0</v>
      </c>
      <c r="S21" s="500">
        <v>20</v>
      </c>
      <c r="T21" s="36">
        <f>E21*M21*O21*Q21/100000000</f>
        <v>13.725855359999997</v>
      </c>
      <c r="U21" s="36">
        <f>E21*M21*O21*(Q21-R21-S21)/100000000</f>
        <v>13.153944719999998</v>
      </c>
      <c r="V21" s="36">
        <f>E21*G21*(1-N21)*O21/100*(R21+S21)/1000000</f>
        <v>0.57191064000000003</v>
      </c>
      <c r="W21" s="36">
        <f>+'4'!K7/1000</f>
        <v>14.036</v>
      </c>
      <c r="X21" s="501">
        <f>SUM(W21:W25)/SUM(K21:K25)</f>
        <v>0.91752820960639481</v>
      </c>
      <c r="Y21" s="210">
        <v>0</v>
      </c>
      <c r="Z21" s="36">
        <f>+'1'!D40/1000</f>
        <v>0</v>
      </c>
      <c r="AA21" s="48">
        <f>SUM(U21:U25)-SUM(W21:W25)-SUM(Z21:Z25)-SUM(Y21:Y25)</f>
        <v>8.1616512000003638E-2</v>
      </c>
      <c r="AB21" s="48">
        <f>(SUM(K21:K25)-SUM(W21:W25)-SUM(Y21:Y25)-SUM(Z21:Z25)-SUM(AC21:AC25)-SUM(V21:V25))-AA21</f>
        <v>-3.6215059999999966E-2</v>
      </c>
      <c r="AC21" s="36">
        <f>K21-T21</f>
        <v>0.18060336000000277</v>
      </c>
      <c r="AD21" s="36">
        <f>+AM21+BA21</f>
        <v>8</v>
      </c>
      <c r="AE21" s="229" t="s">
        <v>453</v>
      </c>
      <c r="AF21" s="36">
        <v>8</v>
      </c>
      <c r="AG21" s="36"/>
      <c r="AH21" s="36"/>
      <c r="AI21" s="502"/>
      <c r="AJ21" s="36"/>
      <c r="AK21" s="36"/>
      <c r="AL21" s="36"/>
      <c r="AM21" s="36">
        <f t="shared" ref="AM21:AM24" si="6">SUM(AF21:AL21)+AT21+AV21+AX21</f>
        <v>8</v>
      </c>
      <c r="AN21" s="36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>
        <f>+AR21+AS21+AU21+AW21+AY21+AZ21</f>
        <v>0</v>
      </c>
      <c r="BB21" s="32">
        <v>4</v>
      </c>
      <c r="BC21" s="50"/>
      <c r="BD21" s="50"/>
      <c r="BE21" s="32"/>
      <c r="BF21" s="50"/>
    </row>
    <row r="22" spans="1:58" ht="12.95" customHeight="1">
      <c r="A22" s="39"/>
      <c r="B22" s="40" t="s">
        <v>7</v>
      </c>
      <c r="C22" s="414">
        <f t="shared" ref="C22:C23" si="7">(M22*E22*O22*Q22)/100000000</f>
        <v>5.9204375999999987</v>
      </c>
      <c r="D22" s="40" t="s">
        <v>302</v>
      </c>
      <c r="E22" s="41">
        <v>14</v>
      </c>
      <c r="F22" s="41">
        <v>1</v>
      </c>
      <c r="G22" s="499">
        <v>1230</v>
      </c>
      <c r="H22" s="43">
        <v>0.23</v>
      </c>
      <c r="I22" s="44">
        <v>0.88</v>
      </c>
      <c r="J22" s="81">
        <f t="shared" ref="J22:J23" si="8">E22*G22*(1-H22)*1440/1000000*2.74</f>
        <v>52.316288640000003</v>
      </c>
      <c r="K22" s="81">
        <f t="shared" ref="K22:K23" si="9">(IF(G22&lt;L22,L22,G22)*(1-IF(H22&lt;N22,H22,N22))*E22*O22*Q22)/100000000</f>
        <v>6.5998663500000001</v>
      </c>
      <c r="L22" s="34">
        <v>1180</v>
      </c>
      <c r="M22" s="34">
        <v>849.59999999999991</v>
      </c>
      <c r="N22" s="45">
        <f t="shared" ref="N22:N23" si="10">1-(M22/L22)</f>
        <v>0.28000000000000003</v>
      </c>
      <c r="O22" s="46">
        <f>+'Trim Rwd'!H11</f>
        <v>275</v>
      </c>
      <c r="P22" s="47">
        <f t="shared" ref="P22:P23" si="11">O22*(Q22-R22-S22)</f>
        <v>46200</v>
      </c>
      <c r="Q22" s="46">
        <v>181</v>
      </c>
      <c r="R22" s="500">
        <v>0</v>
      </c>
      <c r="S22" s="500">
        <v>13</v>
      </c>
      <c r="T22" s="36">
        <f t="shared" ref="T22:T23" si="12">E22*M22*O22*Q22/100000000</f>
        <v>5.9204375999999987</v>
      </c>
      <c r="U22" s="36">
        <f t="shared" ref="U22:U23" si="13">E22*M22*O22*(Q22-R22-S22)/100000000</f>
        <v>5.4952127999999991</v>
      </c>
      <c r="V22" s="36">
        <f t="shared" ref="V22:V23" si="14">E22*G22*(1-N22)*O22/100*(R22+S22)/1000000</f>
        <v>0.44324279999999999</v>
      </c>
      <c r="W22" s="36">
        <f>+'4'!K8/1000</f>
        <v>5.6929999999999996</v>
      </c>
      <c r="X22" s="37"/>
      <c r="Y22" s="210"/>
      <c r="Z22" s="36"/>
      <c r="AA22" s="36"/>
      <c r="AB22" s="36"/>
      <c r="AC22" s="36">
        <f>K22-T22</f>
        <v>0.67942875000000136</v>
      </c>
      <c r="AD22" s="36">
        <f>+AM22+BA22</f>
        <v>0</v>
      </c>
      <c r="AE22" s="229" t="s">
        <v>412</v>
      </c>
      <c r="AF22" s="36"/>
      <c r="AG22" s="36">
        <v>0</v>
      </c>
      <c r="AH22" s="36"/>
      <c r="AI22" s="502"/>
      <c r="AJ22" s="36"/>
      <c r="AK22" s="36"/>
      <c r="AL22" s="36"/>
      <c r="AM22" s="36">
        <f t="shared" si="6"/>
        <v>0</v>
      </c>
      <c r="AN22" s="82"/>
      <c r="AO22" s="36"/>
      <c r="AP22" s="36"/>
      <c r="AQ22" s="36"/>
      <c r="AR22" s="36">
        <f t="shared" ref="AR22:AR24" si="15">SUM(AN22:AQ22)</f>
        <v>0</v>
      </c>
      <c r="AS22" s="36"/>
      <c r="AT22" s="36"/>
      <c r="AU22" s="36"/>
      <c r="AV22" s="36"/>
      <c r="AW22" s="36"/>
      <c r="AX22" s="36"/>
      <c r="AY22" s="36"/>
      <c r="AZ22" s="36"/>
      <c r="BA22" s="36">
        <f>+AR22+AS22+AU22+AW22+AY22+AZ22</f>
        <v>0</v>
      </c>
      <c r="BB22" s="49"/>
      <c r="BC22" s="50">
        <v>0</v>
      </c>
      <c r="BD22" s="50"/>
      <c r="BE22" s="49"/>
      <c r="BF22" s="50"/>
    </row>
    <row r="23" spans="1:58" ht="12.95" customHeight="1">
      <c r="A23" s="39"/>
      <c r="B23" s="40" t="s">
        <v>7</v>
      </c>
      <c r="C23" s="414">
        <f t="shared" si="7"/>
        <v>24.503381122000008</v>
      </c>
      <c r="D23" s="40" t="s">
        <v>302</v>
      </c>
      <c r="E23" s="41">
        <v>13</v>
      </c>
      <c r="F23" s="41">
        <v>1</v>
      </c>
      <c r="G23" s="499">
        <v>1230</v>
      </c>
      <c r="H23" s="43">
        <v>0.23</v>
      </c>
      <c r="I23" s="44">
        <v>0.88</v>
      </c>
      <c r="J23" s="81">
        <f t="shared" si="8"/>
        <v>48.579410880000005</v>
      </c>
      <c r="K23" s="81">
        <f t="shared" si="9"/>
        <v>25.236137734500009</v>
      </c>
      <c r="L23" s="34">
        <v>1210</v>
      </c>
      <c r="M23" s="34">
        <v>919.6</v>
      </c>
      <c r="N23" s="45">
        <f t="shared" si="10"/>
        <v>0.24</v>
      </c>
      <c r="O23" s="46">
        <f>+'Trim Rwd'!H12</f>
        <v>263.11538461538464</v>
      </c>
      <c r="P23" s="47">
        <f t="shared" si="11"/>
        <v>195757.84615384619</v>
      </c>
      <c r="Q23" s="46">
        <v>779</v>
      </c>
      <c r="R23" s="500">
        <v>0</v>
      </c>
      <c r="S23" s="500">
        <v>35</v>
      </c>
      <c r="T23" s="36">
        <f t="shared" si="12"/>
        <v>24.503381122000008</v>
      </c>
      <c r="U23" s="36">
        <f t="shared" si="13"/>
        <v>23.402458992000007</v>
      </c>
      <c r="V23" s="36">
        <f t="shared" si="14"/>
        <v>1.1191191900000002</v>
      </c>
      <c r="W23" s="36">
        <f>+'4'!K9/1000</f>
        <v>22.241</v>
      </c>
      <c r="X23" s="37"/>
      <c r="Y23" s="210"/>
      <c r="Z23" s="36"/>
      <c r="AA23" s="36"/>
      <c r="AB23" s="36"/>
      <c r="AC23" s="36">
        <f>K23-T23</f>
        <v>0.73275661250000113</v>
      </c>
      <c r="AD23" s="36">
        <f>+AM23+BA23</f>
        <v>60</v>
      </c>
      <c r="AE23" s="229" t="s">
        <v>431</v>
      </c>
      <c r="AF23" s="32"/>
      <c r="AG23" s="32"/>
      <c r="AH23" s="32">
        <v>60</v>
      </c>
      <c r="AJ23" s="36"/>
      <c r="AK23" s="36"/>
      <c r="AL23" s="36"/>
      <c r="AM23" s="36">
        <f t="shared" si="6"/>
        <v>60</v>
      </c>
      <c r="AN23" s="36"/>
      <c r="AO23" s="36"/>
      <c r="AP23" s="36"/>
      <c r="AQ23" s="36"/>
      <c r="AR23" s="36">
        <f t="shared" si="15"/>
        <v>0</v>
      </c>
      <c r="AS23" s="36"/>
      <c r="AT23" s="36"/>
      <c r="AU23" s="36"/>
      <c r="AV23" s="36"/>
      <c r="AW23" s="36"/>
      <c r="AX23" s="36"/>
      <c r="AY23" s="36"/>
      <c r="AZ23" s="36"/>
      <c r="BA23" s="36">
        <f>+AR23+AS23+AU23+AW23+AY23+AZ23</f>
        <v>0</v>
      </c>
      <c r="BB23" s="32"/>
      <c r="BC23" s="503"/>
      <c r="BD23" s="503"/>
      <c r="BE23" s="32"/>
      <c r="BF23" s="503"/>
    </row>
    <row r="24" spans="1:58" ht="12.95" customHeight="1">
      <c r="A24" s="39"/>
      <c r="B24" s="40"/>
      <c r="C24" s="414"/>
      <c r="D24" s="40"/>
      <c r="E24" s="41"/>
      <c r="F24" s="41"/>
      <c r="G24" s="42"/>
      <c r="H24" s="43"/>
      <c r="I24" s="44"/>
      <c r="J24" s="81"/>
      <c r="K24" s="81"/>
      <c r="L24" s="34"/>
      <c r="M24" s="34"/>
      <c r="N24" s="45"/>
      <c r="O24" s="46"/>
      <c r="P24" s="47"/>
      <c r="Q24" s="33"/>
      <c r="R24" s="500"/>
      <c r="S24" s="500"/>
      <c r="T24" s="36"/>
      <c r="U24" s="36"/>
      <c r="V24" s="36"/>
      <c r="W24" s="36"/>
      <c r="X24" s="37"/>
      <c r="Y24" s="210"/>
      <c r="Z24" s="36"/>
      <c r="AA24" s="36"/>
      <c r="AB24" s="36"/>
      <c r="AC24" s="36"/>
      <c r="AD24" s="36">
        <f>+AM24+BA24</f>
        <v>0</v>
      </c>
      <c r="AE24" s="232" t="s">
        <v>378</v>
      </c>
      <c r="AF24" s="36"/>
      <c r="AG24" s="36"/>
      <c r="AH24" s="36"/>
      <c r="AI24" s="502"/>
      <c r="AJ24" s="36"/>
      <c r="AK24" s="36"/>
      <c r="AL24" s="36"/>
      <c r="AM24" s="36">
        <f t="shared" si="6"/>
        <v>0</v>
      </c>
      <c r="AN24" s="36"/>
      <c r="AO24" s="36"/>
      <c r="AP24" s="36"/>
      <c r="AQ24" s="36"/>
      <c r="AR24" s="36">
        <f t="shared" si="15"/>
        <v>0</v>
      </c>
      <c r="AS24" s="36"/>
      <c r="AT24" s="36"/>
      <c r="AU24" s="36"/>
      <c r="AV24" s="36"/>
      <c r="AW24" s="36"/>
      <c r="AX24" s="36"/>
      <c r="AY24" s="36"/>
      <c r="AZ24" s="36"/>
      <c r="BA24" s="36">
        <f>+AR24+AS24+AU24+AW24+AY24+AZ24</f>
        <v>0</v>
      </c>
      <c r="BB24" s="49"/>
      <c r="BC24" s="50"/>
      <c r="BD24" s="50"/>
      <c r="BE24" s="49"/>
      <c r="BF24" s="50"/>
    </row>
    <row r="25" spans="1:58" ht="12.95" customHeight="1">
      <c r="A25" s="39"/>
      <c r="B25" s="40"/>
      <c r="C25" s="414"/>
      <c r="D25" s="40"/>
      <c r="E25" s="41"/>
      <c r="F25" s="41"/>
      <c r="G25" s="42"/>
      <c r="H25" s="43"/>
      <c r="I25" s="44"/>
      <c r="J25" s="81"/>
      <c r="K25" s="81"/>
      <c r="L25" s="34"/>
      <c r="M25" s="34"/>
      <c r="N25" s="45"/>
      <c r="O25" s="46"/>
      <c r="P25" s="47"/>
      <c r="Q25" s="46"/>
      <c r="R25" s="500"/>
      <c r="S25" s="500"/>
      <c r="T25" s="36"/>
      <c r="U25" s="36"/>
      <c r="V25" s="36"/>
      <c r="W25" s="36"/>
      <c r="X25" s="37"/>
      <c r="Y25" s="210"/>
      <c r="Z25" s="36"/>
      <c r="AA25" s="36"/>
      <c r="AB25" s="36"/>
      <c r="AC25" s="36"/>
      <c r="AD25" s="36"/>
      <c r="AE25" s="229"/>
      <c r="AF25" s="32"/>
      <c r="AG25" s="32"/>
      <c r="AH25" s="32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2"/>
      <c r="BC25" s="503"/>
      <c r="BD25" s="50"/>
      <c r="BE25" s="50"/>
      <c r="BF25" s="50"/>
    </row>
    <row r="26" spans="1:58" ht="12.75" customHeight="1">
      <c r="A26" s="39">
        <v>46117</v>
      </c>
      <c r="B26" s="40" t="s">
        <v>7</v>
      </c>
      <c r="C26" s="414">
        <f>(M26*E26*O26*Q26)/100000000</f>
        <v>41.177566079999998</v>
      </c>
      <c r="D26" s="40" t="s">
        <v>302</v>
      </c>
      <c r="E26" s="41">
        <v>11.5</v>
      </c>
      <c r="F26" s="41">
        <v>1</v>
      </c>
      <c r="G26" s="499">
        <v>1230</v>
      </c>
      <c r="H26" s="43">
        <v>0.23</v>
      </c>
      <c r="I26" s="44">
        <v>0.88</v>
      </c>
      <c r="J26" s="81">
        <f>E26*G26*(1-H26)*1440/1000000*2.74</f>
        <v>42.974094239999999</v>
      </c>
      <c r="K26" s="81">
        <f>(IF(G26&lt;L26,L26,G26)*(1-IF(H26&lt;N26,H26,N26))*E26*O26*Q26)/100000000</f>
        <v>41.719376160000003</v>
      </c>
      <c r="L26" s="34">
        <v>1230</v>
      </c>
      <c r="M26" s="34">
        <v>934.8</v>
      </c>
      <c r="N26" s="45">
        <f>1-(M26/L26)</f>
        <v>0.24</v>
      </c>
      <c r="O26" s="46">
        <f>+'Trim Rwd'!H15</f>
        <v>266</v>
      </c>
      <c r="P26" s="47">
        <f>O26*(Q26-R26-S26)</f>
        <v>363888</v>
      </c>
      <c r="Q26" s="46">
        <v>1440</v>
      </c>
      <c r="R26" s="500">
        <v>0</v>
      </c>
      <c r="S26" s="500">
        <v>72</v>
      </c>
      <c r="T26" s="36">
        <f>E26*M26*O26*Q26/100000000</f>
        <v>41.177566079999998</v>
      </c>
      <c r="U26" s="36">
        <f>E26*M26*O26*(Q26-R26-S26)/100000000</f>
        <v>39.118687775999994</v>
      </c>
      <c r="V26" s="36">
        <f>E26*G26*(1-N26)*O26/100*(R26+S26)/1000000</f>
        <v>2.0588783040000003</v>
      </c>
      <c r="W26" s="36">
        <f>+'5'!K7/1000</f>
        <v>39.289000000000001</v>
      </c>
      <c r="X26" s="501">
        <f>SUM(W26:W30)/SUM(K26:K30)</f>
        <v>0.94174466677835378</v>
      </c>
      <c r="Y26" s="210">
        <v>0</v>
      </c>
      <c r="Z26" s="36">
        <f>+'1'!D45/1000</f>
        <v>0</v>
      </c>
      <c r="AA26" s="48">
        <f>SUM(U26:U30)-SUM(W26:W30)-SUM(Z26:Z30)-SUM(Y26:Y30)</f>
        <v>-0.17031222400000701</v>
      </c>
      <c r="AB26" s="48">
        <f>(SUM(K26:K30)-SUM(W26:W30)-SUM(Y26:Y30)-SUM(Z26:Z30)-SUM(AC26:AC30)-SUM(V26:V30))-AA26</f>
        <v>3.5527136788005009E-15</v>
      </c>
      <c r="AC26" s="36">
        <f>K26-T26</f>
        <v>0.54181008000000475</v>
      </c>
      <c r="AD26" s="36">
        <f>+AM26+BA26</f>
        <v>0</v>
      </c>
      <c r="AE26" s="229" t="s">
        <v>415</v>
      </c>
      <c r="AF26" s="36">
        <v>0</v>
      </c>
      <c r="AG26" s="36"/>
      <c r="AH26" s="36"/>
      <c r="AI26" s="502"/>
      <c r="AJ26" s="36"/>
      <c r="AK26" s="36"/>
      <c r="AL26" s="36"/>
      <c r="AM26" s="36">
        <f t="shared" ref="AM26:AM29" si="16">SUM(AF26:AL26)+AT26+AV26+AX26</f>
        <v>0</v>
      </c>
      <c r="AN26" s="36"/>
      <c r="AO26" s="36"/>
      <c r="AP26" s="36"/>
      <c r="AQ26" s="36"/>
      <c r="AR26" s="36">
        <f>SUM(AN26:AQ26)</f>
        <v>0</v>
      </c>
      <c r="AS26" s="36"/>
      <c r="AT26" s="36"/>
      <c r="AU26" s="36"/>
      <c r="AV26" s="36"/>
      <c r="AW26" s="36"/>
      <c r="AX26" s="36"/>
      <c r="AY26" s="36"/>
      <c r="AZ26" s="36"/>
      <c r="BA26" s="36">
        <f>+AR26+AS26+AU26+AW26+AY26+AZ26</f>
        <v>0</v>
      </c>
      <c r="BB26" s="32">
        <v>6</v>
      </c>
      <c r="BC26" s="50"/>
      <c r="BD26" s="50"/>
      <c r="BE26" s="32"/>
      <c r="BF26" s="50"/>
    </row>
    <row r="27" spans="1:58" ht="12.95" customHeight="1">
      <c r="A27" s="39"/>
      <c r="B27" s="40"/>
      <c r="C27" s="414"/>
      <c r="D27" s="40"/>
      <c r="E27" s="41"/>
      <c r="F27" s="41"/>
      <c r="G27" s="499"/>
      <c r="H27" s="43"/>
      <c r="I27" s="44"/>
      <c r="J27" s="81"/>
      <c r="K27" s="81"/>
      <c r="L27" s="34"/>
      <c r="M27" s="34"/>
      <c r="N27" s="45"/>
      <c r="O27" s="46"/>
      <c r="P27" s="47"/>
      <c r="Q27" s="46"/>
      <c r="R27" s="500"/>
      <c r="S27" s="500"/>
      <c r="T27" s="36"/>
      <c r="U27" s="36"/>
      <c r="V27" s="36"/>
      <c r="W27" s="36"/>
      <c r="X27" s="37"/>
      <c r="Y27" s="210"/>
      <c r="Z27" s="36"/>
      <c r="AA27" s="36"/>
      <c r="AB27" s="36"/>
      <c r="AC27" s="36"/>
      <c r="AD27" s="36">
        <f>+AM27+BA27</f>
        <v>0</v>
      </c>
      <c r="AE27" s="229" t="s">
        <v>412</v>
      </c>
      <c r="AF27" s="36"/>
      <c r="AG27" s="36">
        <v>0</v>
      </c>
      <c r="AH27" s="36"/>
      <c r="AI27" s="502"/>
      <c r="AJ27" s="36"/>
      <c r="AK27" s="36"/>
      <c r="AL27" s="36"/>
      <c r="AM27" s="36">
        <f t="shared" si="16"/>
        <v>0</v>
      </c>
      <c r="AN27" s="82"/>
      <c r="AO27" s="36"/>
      <c r="AP27" s="36"/>
      <c r="AQ27" s="36"/>
      <c r="AR27" s="36">
        <f t="shared" ref="AR27:AR29" si="17">SUM(AN27:AQ27)</f>
        <v>0</v>
      </c>
      <c r="AS27" s="36"/>
      <c r="AT27" s="36"/>
      <c r="AU27" s="36"/>
      <c r="AV27" s="36"/>
      <c r="AW27" s="36"/>
      <c r="AX27" s="36"/>
      <c r="AY27" s="36"/>
      <c r="AZ27" s="36"/>
      <c r="BA27" s="36">
        <f>+AR27+AS27+AU27+AW27+AY27+AZ27</f>
        <v>0</v>
      </c>
      <c r="BB27" s="49"/>
      <c r="BC27" s="50">
        <v>0</v>
      </c>
      <c r="BD27" s="50"/>
      <c r="BE27" s="49"/>
      <c r="BF27" s="50"/>
    </row>
    <row r="28" spans="1:58" ht="12.95" customHeight="1">
      <c r="A28" s="39"/>
      <c r="B28" s="40"/>
      <c r="C28" s="414"/>
      <c r="D28" s="40"/>
      <c r="E28" s="41"/>
      <c r="F28" s="41"/>
      <c r="G28" s="42"/>
      <c r="H28" s="43"/>
      <c r="I28" s="44"/>
      <c r="J28" s="81"/>
      <c r="K28" s="81"/>
      <c r="L28" s="34"/>
      <c r="M28" s="34"/>
      <c r="N28" s="45"/>
      <c r="O28" s="46"/>
      <c r="P28" s="47"/>
      <c r="Q28" s="46"/>
      <c r="R28" s="500"/>
      <c r="S28" s="500"/>
      <c r="T28" s="36"/>
      <c r="U28" s="36"/>
      <c r="V28" s="36"/>
      <c r="W28" s="36"/>
      <c r="X28" s="37"/>
      <c r="Y28" s="210"/>
      <c r="Z28" s="36"/>
      <c r="AA28" s="36"/>
      <c r="AB28" s="36"/>
      <c r="AC28" s="36"/>
      <c r="AD28" s="36">
        <f>+AM28+BA28</f>
        <v>72</v>
      </c>
      <c r="AE28" s="229" t="s">
        <v>431</v>
      </c>
      <c r="AF28" s="32"/>
      <c r="AG28" s="32"/>
      <c r="AH28" s="32">
        <v>72</v>
      </c>
      <c r="AJ28" s="36"/>
      <c r="AK28" s="36"/>
      <c r="AL28" s="36"/>
      <c r="AM28" s="36">
        <f t="shared" si="16"/>
        <v>72</v>
      </c>
      <c r="AN28" s="36"/>
      <c r="AO28" s="36"/>
      <c r="AP28" s="36"/>
      <c r="AQ28" s="36"/>
      <c r="AR28" s="36">
        <f t="shared" si="17"/>
        <v>0</v>
      </c>
      <c r="AS28" s="36"/>
      <c r="AT28" s="36"/>
      <c r="AU28" s="36"/>
      <c r="AV28" s="36"/>
      <c r="AW28" s="36"/>
      <c r="AX28" s="36"/>
      <c r="AY28" s="36"/>
      <c r="AZ28" s="36"/>
      <c r="BA28" s="36">
        <f>+AR28+AS28+AU28+AW28+AY28+AZ28</f>
        <v>0</v>
      </c>
      <c r="BB28" s="32"/>
      <c r="BC28" s="503"/>
      <c r="BD28" s="503"/>
      <c r="BE28" s="32"/>
      <c r="BF28" s="503"/>
    </row>
    <row r="29" spans="1:58" ht="12.95" customHeight="1">
      <c r="A29" s="39"/>
      <c r="B29" s="40"/>
      <c r="C29" s="414"/>
      <c r="D29" s="40"/>
      <c r="E29" s="41"/>
      <c r="F29" s="41"/>
      <c r="G29" s="42"/>
      <c r="H29" s="43"/>
      <c r="I29" s="44"/>
      <c r="J29" s="81"/>
      <c r="K29" s="81"/>
      <c r="L29" s="34"/>
      <c r="M29" s="34"/>
      <c r="N29" s="45"/>
      <c r="O29" s="46"/>
      <c r="P29" s="47"/>
      <c r="Q29" s="33"/>
      <c r="R29" s="500"/>
      <c r="S29" s="500"/>
      <c r="T29" s="36"/>
      <c r="U29" s="36"/>
      <c r="V29" s="36"/>
      <c r="W29" s="36"/>
      <c r="X29" s="37"/>
      <c r="Y29" s="210"/>
      <c r="Z29" s="36"/>
      <c r="AA29" s="36"/>
      <c r="AB29" s="36"/>
      <c r="AC29" s="36"/>
      <c r="AD29" s="36">
        <f>+AM29+BA29</f>
        <v>0</v>
      </c>
      <c r="AE29" s="232" t="s">
        <v>378</v>
      </c>
      <c r="AF29" s="36"/>
      <c r="AG29" s="36"/>
      <c r="AH29" s="36"/>
      <c r="AI29" s="502"/>
      <c r="AJ29" s="36"/>
      <c r="AK29" s="36"/>
      <c r="AL29" s="36"/>
      <c r="AM29" s="36">
        <f t="shared" si="16"/>
        <v>0</v>
      </c>
      <c r="AN29" s="36"/>
      <c r="AO29" s="36"/>
      <c r="AP29" s="36"/>
      <c r="AQ29" s="36"/>
      <c r="AR29" s="36">
        <f t="shared" si="17"/>
        <v>0</v>
      </c>
      <c r="AS29" s="36"/>
      <c r="AT29" s="36"/>
      <c r="AU29" s="36"/>
      <c r="AV29" s="36"/>
      <c r="AW29" s="36"/>
      <c r="AX29" s="36"/>
      <c r="AY29" s="36"/>
      <c r="AZ29" s="36"/>
      <c r="BA29" s="36">
        <f>+AR29+AS29+AU29+AW29+AY29+AZ29</f>
        <v>0</v>
      </c>
      <c r="BB29" s="49"/>
      <c r="BC29" s="50"/>
      <c r="BD29" s="50"/>
      <c r="BE29" s="49"/>
      <c r="BF29" s="50"/>
    </row>
    <row r="30" spans="1:58" ht="12.95" customHeight="1">
      <c r="A30" s="39"/>
      <c r="B30" s="40"/>
      <c r="C30" s="414"/>
      <c r="D30" s="40"/>
      <c r="E30" s="41"/>
      <c r="F30" s="41"/>
      <c r="G30" s="42"/>
      <c r="H30" s="43"/>
      <c r="I30" s="44"/>
      <c r="J30" s="81"/>
      <c r="K30" s="81"/>
      <c r="L30" s="34"/>
      <c r="M30" s="34"/>
      <c r="N30" s="45"/>
      <c r="O30" s="46"/>
      <c r="P30" s="47"/>
      <c r="Q30" s="46"/>
      <c r="R30" s="500"/>
      <c r="S30" s="500"/>
      <c r="T30" s="36"/>
      <c r="U30" s="36"/>
      <c r="V30" s="36"/>
      <c r="W30" s="36"/>
      <c r="X30" s="37"/>
      <c r="Y30" s="210"/>
      <c r="Z30" s="36"/>
      <c r="AA30" s="36"/>
      <c r="AB30" s="36"/>
      <c r="AC30" s="36"/>
      <c r="AD30" s="36"/>
      <c r="AE30" s="229"/>
      <c r="AF30" s="32"/>
      <c r="AG30" s="32"/>
      <c r="AH30" s="32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2"/>
      <c r="BC30" s="503"/>
      <c r="BD30" s="50"/>
      <c r="BE30" s="49"/>
      <c r="BF30" s="50"/>
    </row>
    <row r="31" spans="1:58" ht="12.75" customHeight="1">
      <c r="A31" s="39">
        <v>46118</v>
      </c>
      <c r="B31" s="40" t="s">
        <v>7</v>
      </c>
      <c r="C31" s="414">
        <f>(M31*E31*O31*Q31)/100000000</f>
        <v>4.7754538439999994</v>
      </c>
      <c r="D31" s="40" t="s">
        <v>302</v>
      </c>
      <c r="E31" s="41">
        <v>11.5</v>
      </c>
      <c r="F31" s="41">
        <v>1</v>
      </c>
      <c r="G31" s="499">
        <v>1230</v>
      </c>
      <c r="H31" s="43">
        <v>0.23</v>
      </c>
      <c r="I31" s="44">
        <v>0.88</v>
      </c>
      <c r="J31" s="81">
        <f>E31*G31*(1-H31)*1440/1000000*2.74</f>
        <v>42.974094239999999</v>
      </c>
      <c r="K31" s="81">
        <f>(IF(G31&lt;L31,L31,G31)*(1-IF(H31&lt;N31,H31,N31))*E31*O31*Q31)/100000000</f>
        <v>4.8382887630000004</v>
      </c>
      <c r="L31" s="34">
        <v>1230</v>
      </c>
      <c r="M31" s="34">
        <v>934.8</v>
      </c>
      <c r="N31" s="45">
        <f>1-(M31/L31)</f>
        <v>0.24</v>
      </c>
      <c r="O31" s="46">
        <f>+'Trim Rwd'!H17</f>
        <v>266</v>
      </c>
      <c r="P31" s="47">
        <f>O31*(Q31-R31-S31)</f>
        <v>42294</v>
      </c>
      <c r="Q31" s="46">
        <v>167</v>
      </c>
      <c r="R31" s="500">
        <v>0</v>
      </c>
      <c r="S31" s="500">
        <v>8</v>
      </c>
      <c r="T31" s="36">
        <f>E31*M31*O31*Q31/100000000</f>
        <v>4.7754538439999994</v>
      </c>
      <c r="U31" s="36">
        <f>E31*M31*O31*(Q31-R31-S31)/100000000</f>
        <v>4.5466895879999996</v>
      </c>
      <c r="V31" s="36">
        <f>E31*G31*(1-N31)*O31/100*(R31+S31)/1000000</f>
        <v>0.22876425600000003</v>
      </c>
      <c r="W31" s="36">
        <f>+'6'!K7/1000</f>
        <v>5.6580000000000004</v>
      </c>
      <c r="X31" s="501">
        <f>SUM(W31:W35)/SUM(K31:K35)</f>
        <v>0.83363160760019694</v>
      </c>
      <c r="Y31" s="210">
        <v>0</v>
      </c>
      <c r="Z31" s="36">
        <f>+'1'!D50/1000</f>
        <v>0</v>
      </c>
      <c r="AA31" s="48">
        <f>SUM(U31:U35)-SUM(W31:W35)-SUM(Z31:Z35)-SUM(Y31:Y35)</f>
        <v>3.1459555480000034</v>
      </c>
      <c r="AB31" s="48">
        <f>(SUM(K31:K35)-SUM(W31:W35)-SUM(Y31:Y35)-SUM(Z31:Z35)-SUM(AC31:AC35)-SUM(V31:V35))-AA31</f>
        <v>-0.10483200000000092</v>
      </c>
      <c r="AC31" s="36">
        <f>K31-T31</f>
        <v>6.2834919000001044E-2</v>
      </c>
      <c r="AD31" s="36">
        <f>+AM31+BA31</f>
        <v>9</v>
      </c>
      <c r="AE31" s="229" t="s">
        <v>453</v>
      </c>
      <c r="AF31" s="36">
        <v>9</v>
      </c>
      <c r="AG31" s="36"/>
      <c r="AH31" s="36"/>
      <c r="AI31" s="502"/>
      <c r="AJ31" s="36"/>
      <c r="AK31" s="36"/>
      <c r="AL31" s="36"/>
      <c r="AM31" s="36">
        <f t="shared" ref="AM31:AM34" si="18">SUM(AF31:AL31)+AT31+AV31+AX31</f>
        <v>9</v>
      </c>
      <c r="AN31" s="36"/>
      <c r="AO31" s="36"/>
      <c r="AP31" s="36"/>
      <c r="AQ31" s="36"/>
      <c r="AR31" s="36">
        <f>SUM(AN31:AQ31)</f>
        <v>0</v>
      </c>
      <c r="AS31" s="36"/>
      <c r="AT31" s="36"/>
      <c r="AU31" s="36"/>
      <c r="AV31" s="36"/>
      <c r="AW31" s="36"/>
      <c r="AX31" s="36"/>
      <c r="AY31" s="36"/>
      <c r="AZ31" s="36"/>
      <c r="BA31" s="36">
        <f>+AR31+AS31+AU31+AW31+AY31+AZ31</f>
        <v>0</v>
      </c>
      <c r="BB31" s="32">
        <v>4</v>
      </c>
      <c r="BC31" s="50"/>
      <c r="BD31" s="50"/>
      <c r="BE31" s="32"/>
      <c r="BF31" s="50"/>
    </row>
    <row r="32" spans="1:58" ht="12.95" customHeight="1">
      <c r="A32" s="39"/>
      <c r="B32" s="40" t="s">
        <v>7</v>
      </c>
      <c r="C32" s="414">
        <f t="shared" ref="C32:C33" si="19">(M32*E32*O32*Q32)/100000000</f>
        <v>6.027440831999999</v>
      </c>
      <c r="D32" s="40" t="s">
        <v>302</v>
      </c>
      <c r="E32" s="41">
        <v>12</v>
      </c>
      <c r="F32" s="41">
        <v>1</v>
      </c>
      <c r="G32" s="499">
        <v>1230</v>
      </c>
      <c r="H32" s="43">
        <f>+N32</f>
        <v>0.24</v>
      </c>
      <c r="I32" s="44">
        <v>0.88</v>
      </c>
      <c r="J32" s="81">
        <f t="shared" ref="J32:J33" si="20">E32*G32*(1-H32)*1440/1000000*2.74</f>
        <v>44.260162560000005</v>
      </c>
      <c r="K32" s="81">
        <f t="shared" ref="K32:K33" si="21">(IF(G32&lt;L32,L32,G32)*(1-IF(H32&lt;N32,H32,N32))*E32*O32*Q32)/100000000</f>
        <v>6.027440831999999</v>
      </c>
      <c r="L32" s="34">
        <v>1230</v>
      </c>
      <c r="M32" s="34">
        <v>934.8</v>
      </c>
      <c r="N32" s="45">
        <f t="shared" ref="N32:N33" si="22">1-(M32/L32)</f>
        <v>0.24</v>
      </c>
      <c r="O32" s="46">
        <f>+'Trim Rwd'!H18</f>
        <v>266</v>
      </c>
      <c r="P32" s="47">
        <f t="shared" ref="P32:P33" si="23">O32*(Q32-R32-S32)</f>
        <v>49210</v>
      </c>
      <c r="Q32" s="46">
        <v>202</v>
      </c>
      <c r="R32" s="500">
        <v>0</v>
      </c>
      <c r="S32" s="500">
        <v>17</v>
      </c>
      <c r="T32" s="36">
        <f t="shared" ref="T32:T33" si="24">E32*M32*O32*Q32/100000000</f>
        <v>6.027440831999999</v>
      </c>
      <c r="U32" s="36">
        <f t="shared" ref="U32:U33" si="25">E32*M32*O32*(Q32-R32-S32)/100000000</f>
        <v>5.5201809599999985</v>
      </c>
      <c r="V32" s="36">
        <f t="shared" ref="V32:V33" si="26">E32*G32*(1-N32)*O32/100*(R32+S32)/1000000</f>
        <v>0.507259872</v>
      </c>
      <c r="W32" s="36">
        <f>+'6'!K10/1000</f>
        <v>7.6449999999999996</v>
      </c>
      <c r="X32" s="37"/>
      <c r="Y32" s="210"/>
      <c r="Z32" s="36"/>
      <c r="AA32" s="36"/>
      <c r="AB32" s="36"/>
      <c r="AC32" s="36">
        <f>K32-T32</f>
        <v>0</v>
      </c>
      <c r="AD32" s="36">
        <f>+AM32+BA32</f>
        <v>9</v>
      </c>
      <c r="AE32" s="229" t="s">
        <v>465</v>
      </c>
      <c r="AF32" s="36"/>
      <c r="AG32" s="36">
        <v>9</v>
      </c>
      <c r="AH32" s="36"/>
      <c r="AI32" s="502"/>
      <c r="AJ32" s="36"/>
      <c r="AK32" s="36"/>
      <c r="AL32" s="36"/>
      <c r="AM32" s="36">
        <f t="shared" si="18"/>
        <v>9</v>
      </c>
      <c r="AN32" s="82"/>
      <c r="AO32" s="36"/>
      <c r="AP32" s="36"/>
      <c r="AQ32" s="36"/>
      <c r="AR32" s="36">
        <f t="shared" ref="AR32:AR34" si="27">SUM(AN32:AQ32)</f>
        <v>0</v>
      </c>
      <c r="AS32" s="36"/>
      <c r="AT32" s="36"/>
      <c r="AU32" s="36"/>
      <c r="AV32" s="36"/>
      <c r="AW32" s="36"/>
      <c r="AX32" s="36"/>
      <c r="AY32" s="36"/>
      <c r="AZ32" s="36"/>
      <c r="BA32" s="36">
        <f>+AR32+AS32+AU32+AW32+AY32+AZ32</f>
        <v>0</v>
      </c>
      <c r="BB32" s="49"/>
      <c r="BC32" s="50">
        <v>3</v>
      </c>
      <c r="BD32" s="50"/>
      <c r="BE32" s="49"/>
      <c r="BF32" s="50"/>
    </row>
    <row r="33" spans="1:58" ht="12.95" customHeight="1">
      <c r="A33" s="39"/>
      <c r="B33" s="40" t="s">
        <v>7</v>
      </c>
      <c r="C33" s="414">
        <f t="shared" si="19"/>
        <v>33.624045000000002</v>
      </c>
      <c r="D33" s="40" t="s">
        <v>302</v>
      </c>
      <c r="E33" s="41">
        <v>14</v>
      </c>
      <c r="F33" s="41">
        <v>1</v>
      </c>
      <c r="G33" s="499">
        <v>1230</v>
      </c>
      <c r="H33" s="43">
        <f>+N33</f>
        <v>0.25</v>
      </c>
      <c r="I33" s="44">
        <v>0.88</v>
      </c>
      <c r="J33" s="81">
        <f t="shared" si="20"/>
        <v>50.957424000000003</v>
      </c>
      <c r="K33" s="81">
        <f t="shared" si="21"/>
        <v>35.963109000000003</v>
      </c>
      <c r="L33" s="34">
        <v>1150</v>
      </c>
      <c r="M33" s="34">
        <v>862.5</v>
      </c>
      <c r="N33" s="45">
        <f t="shared" si="22"/>
        <v>0.25</v>
      </c>
      <c r="O33" s="46">
        <f>+'Trim Rwd'!H19</f>
        <v>260</v>
      </c>
      <c r="P33" s="47">
        <f t="shared" si="23"/>
        <v>265980</v>
      </c>
      <c r="Q33" s="46">
        <v>1071</v>
      </c>
      <c r="R33" s="500">
        <v>0</v>
      </c>
      <c r="S33" s="500">
        <f>73-S31-S32</f>
        <v>48</v>
      </c>
      <c r="T33" s="36">
        <f t="shared" si="24"/>
        <v>33.624045000000002</v>
      </c>
      <c r="U33" s="36">
        <f t="shared" si="25"/>
        <v>32.117085000000003</v>
      </c>
      <c r="V33" s="36">
        <f t="shared" si="26"/>
        <v>1.6117919999999999</v>
      </c>
      <c r="W33" s="36">
        <f>+'6'!K8/1000</f>
        <v>25.734999999999999</v>
      </c>
      <c r="X33" s="37"/>
      <c r="Y33" s="210"/>
      <c r="Z33" s="36"/>
      <c r="AA33" s="36"/>
      <c r="AB33" s="36"/>
      <c r="AC33" s="36">
        <f>K33-T33</f>
        <v>2.3390640000000005</v>
      </c>
      <c r="AD33" s="36">
        <f>+AM33+BA33</f>
        <v>55</v>
      </c>
      <c r="AE33" s="229" t="s">
        <v>467</v>
      </c>
      <c r="AF33" s="32"/>
      <c r="AG33" s="32"/>
      <c r="AH33" s="32">
        <v>55</v>
      </c>
      <c r="AJ33" s="36"/>
      <c r="AK33" s="36"/>
      <c r="AL33" s="36"/>
      <c r="AM33" s="36">
        <f t="shared" si="18"/>
        <v>55</v>
      </c>
      <c r="AN33" s="36"/>
      <c r="AO33" s="36"/>
      <c r="AP33" s="36"/>
      <c r="AQ33" s="36"/>
      <c r="AR33" s="36">
        <f t="shared" si="27"/>
        <v>0</v>
      </c>
      <c r="AS33" s="36"/>
      <c r="AT33" s="36"/>
      <c r="AU33" s="36"/>
      <c r="AV33" s="36"/>
      <c r="AW33" s="36"/>
      <c r="AX33" s="36"/>
      <c r="AY33" s="36"/>
      <c r="AZ33" s="36"/>
      <c r="BA33" s="36">
        <f>+AR33+AS33+AU33+AW33+AY33+AZ33</f>
        <v>0</v>
      </c>
      <c r="BB33" s="32"/>
      <c r="BC33" s="503"/>
      <c r="BD33" s="503"/>
      <c r="BE33" s="32"/>
      <c r="BF33" s="503"/>
    </row>
    <row r="34" spans="1:58" ht="12.95" customHeight="1">
      <c r="A34" s="39"/>
      <c r="B34" s="40"/>
      <c r="C34" s="414"/>
      <c r="D34" s="40"/>
      <c r="E34" s="41"/>
      <c r="F34" s="41"/>
      <c r="G34" s="42"/>
      <c r="H34" s="43"/>
      <c r="I34" s="44"/>
      <c r="J34" s="81"/>
      <c r="K34" s="81"/>
      <c r="L34" s="34"/>
      <c r="M34" s="34"/>
      <c r="N34" s="45"/>
      <c r="O34" s="46"/>
      <c r="P34" s="47"/>
      <c r="Q34" s="33"/>
      <c r="R34" s="500"/>
      <c r="S34" s="500"/>
      <c r="T34" s="36"/>
      <c r="U34" s="36"/>
      <c r="V34" s="36"/>
      <c r="W34" s="36"/>
      <c r="X34" s="37"/>
      <c r="Y34" s="210"/>
      <c r="Z34" s="36"/>
      <c r="AA34" s="36"/>
      <c r="AB34" s="36"/>
      <c r="AC34" s="36"/>
      <c r="AD34" s="36">
        <f>+AM34+BA34</f>
        <v>0</v>
      </c>
      <c r="AE34" s="232" t="s">
        <v>378</v>
      </c>
      <c r="AF34" s="36"/>
      <c r="AG34" s="36"/>
      <c r="AH34" s="36"/>
      <c r="AI34" s="502"/>
      <c r="AJ34" s="36"/>
      <c r="AK34" s="36"/>
      <c r="AL34" s="36"/>
      <c r="AM34" s="36">
        <f t="shared" si="18"/>
        <v>0</v>
      </c>
      <c r="AN34" s="36"/>
      <c r="AO34" s="36"/>
      <c r="AP34" s="36"/>
      <c r="AQ34" s="36"/>
      <c r="AR34" s="36">
        <f t="shared" si="27"/>
        <v>0</v>
      </c>
      <c r="AS34" s="36"/>
      <c r="AT34" s="36"/>
      <c r="AU34" s="36"/>
      <c r="AV34" s="36"/>
      <c r="AW34" s="36"/>
      <c r="AX34" s="36"/>
      <c r="AY34" s="36"/>
      <c r="AZ34" s="36"/>
      <c r="BA34" s="36">
        <f>+AR34+AS34+AU34+AW34+AY34+AZ34</f>
        <v>0</v>
      </c>
      <c r="BB34" s="49"/>
      <c r="BC34" s="50"/>
      <c r="BD34" s="50"/>
      <c r="BE34" s="49"/>
      <c r="BF34" s="50"/>
    </row>
    <row r="35" spans="1:58" ht="12.95" customHeight="1">
      <c r="A35" s="39"/>
      <c r="B35" s="40"/>
      <c r="C35" s="414"/>
      <c r="D35" s="40"/>
      <c r="E35" s="41"/>
      <c r="F35" s="41"/>
      <c r="G35" s="42"/>
      <c r="H35" s="43"/>
      <c r="I35" s="44"/>
      <c r="J35" s="81"/>
      <c r="K35" s="81"/>
      <c r="L35" s="34"/>
      <c r="M35" s="34"/>
      <c r="N35" s="45"/>
      <c r="O35" s="46"/>
      <c r="P35" s="47"/>
      <c r="Q35" s="46"/>
      <c r="R35" s="500"/>
      <c r="S35" s="500"/>
      <c r="T35" s="36"/>
      <c r="U35" s="36"/>
      <c r="V35" s="36"/>
      <c r="W35" s="36"/>
      <c r="X35" s="37"/>
      <c r="Y35" s="210"/>
      <c r="Z35" s="36"/>
      <c r="AA35" s="36"/>
      <c r="AB35" s="36"/>
      <c r="AC35" s="36"/>
      <c r="AD35" s="36"/>
      <c r="AE35" s="229"/>
      <c r="AF35" s="32"/>
      <c r="AG35" s="32"/>
      <c r="AH35" s="32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2"/>
      <c r="BC35" s="503"/>
      <c r="BD35" s="50"/>
      <c r="BE35" s="49"/>
      <c r="BF35" s="50"/>
    </row>
    <row r="36" spans="1:58" ht="12.75" customHeight="1">
      <c r="A36" s="39">
        <v>46119</v>
      </c>
      <c r="B36" s="40" t="s">
        <v>7</v>
      </c>
      <c r="C36" s="414">
        <f t="shared" ref="C36" si="28">(M36*E36*O36*Q36)/100000000</f>
        <v>38.207715</v>
      </c>
      <c r="D36" s="40" t="s">
        <v>302</v>
      </c>
      <c r="E36" s="41">
        <v>14</v>
      </c>
      <c r="F36" s="41">
        <v>1</v>
      </c>
      <c r="G36" s="499">
        <v>1230</v>
      </c>
      <c r="H36" s="43">
        <f>+N36</f>
        <v>0.25</v>
      </c>
      <c r="I36" s="44">
        <v>0.88</v>
      </c>
      <c r="J36" s="81">
        <f t="shared" ref="J36" si="29">E36*G36*(1-H36)*1440/1000000*2.74</f>
        <v>50.957424000000003</v>
      </c>
      <c r="K36" s="81">
        <f t="shared" ref="K36" si="30">(IF(G36&lt;L36,L36,G36)*(1-IF(H36&lt;N36,H36,N36))*E36*O36*Q36)/100000000</f>
        <v>40.865642999999999</v>
      </c>
      <c r="L36" s="34">
        <v>1150</v>
      </c>
      <c r="M36" s="34">
        <v>862.5</v>
      </c>
      <c r="N36" s="45">
        <f t="shared" ref="N36" si="31">1-(M36/L36)</f>
        <v>0.25</v>
      </c>
      <c r="O36" s="46">
        <f>+'Trim Rwd'!H21</f>
        <v>260</v>
      </c>
      <c r="P36" s="47">
        <f t="shared" ref="P36" si="32">O36*(Q36-R36-S36)</f>
        <v>301080</v>
      </c>
      <c r="Q36" s="46">
        <v>1217</v>
      </c>
      <c r="R36" s="500">
        <v>0</v>
      </c>
      <c r="S36" s="500">
        <v>59</v>
      </c>
      <c r="T36" s="36">
        <f t="shared" ref="T36" si="33">E36*M36*O36*Q36/100000000</f>
        <v>38.207715</v>
      </c>
      <c r="U36" s="36">
        <f t="shared" ref="U36" si="34">E36*M36*O36*(Q36-R36-S36)/100000000</f>
        <v>36.355409999999999</v>
      </c>
      <c r="V36" s="36">
        <f t="shared" ref="V36" si="35">E36*G36*(1-N36)*O36/100*(R36+S36)/1000000</f>
        <v>1.9811609999999999</v>
      </c>
      <c r="W36" s="36">
        <f>+'7'!K8/1000</f>
        <v>34.863</v>
      </c>
      <c r="X36" s="501">
        <f>SUM(W36:W40)/SUM(K36:K40)</f>
        <v>0.80586375766861051</v>
      </c>
      <c r="Y36" s="210">
        <v>0</v>
      </c>
      <c r="Z36" s="36">
        <f>+'7'!D16/1000</f>
        <v>0.39700000000000002</v>
      </c>
      <c r="AA36" s="48">
        <f>SUM(U36:U40)-SUM(W36:W40)-SUM(Z36:Z40)-SUM(Y36:Y40)</f>
        <v>3.4863100000000014</v>
      </c>
      <c r="AB36" s="48">
        <f>(SUM(K36:K40)-SUM(W36:W40)-SUM(Y36:Y40)-SUM(Z36:Z40)-SUM(AC36:AC40)-SUM(V36:V40))-AA36</f>
        <v>0.30657900000000149</v>
      </c>
      <c r="AC36" s="36">
        <f>K36-T36</f>
        <v>2.6579279999999983</v>
      </c>
      <c r="AD36" s="36">
        <f>+AM36+BA36</f>
        <v>16</v>
      </c>
      <c r="AE36" s="229" t="s">
        <v>415</v>
      </c>
      <c r="AF36" s="36">
        <v>16</v>
      </c>
      <c r="AG36" s="36"/>
      <c r="AH36" s="36"/>
      <c r="AI36" s="502"/>
      <c r="AJ36" s="36"/>
      <c r="AK36" s="36"/>
      <c r="AL36" s="36"/>
      <c r="AM36" s="36">
        <f t="shared" ref="AM36:AM39" si="36">SUM(AF36:AL36)+AT36+AV36+AX36</f>
        <v>16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>
        <f>+AR36+AS36+AU36+AW36+AY36+AZ36</f>
        <v>0</v>
      </c>
      <c r="BB36" s="32">
        <v>6</v>
      </c>
      <c r="BC36" s="50"/>
      <c r="BD36" s="50"/>
      <c r="BE36" s="32"/>
      <c r="BF36" s="50"/>
    </row>
    <row r="37" spans="1:58" ht="12.95" customHeight="1">
      <c r="A37" s="39"/>
      <c r="B37" s="40" t="s">
        <v>7</v>
      </c>
      <c r="C37" s="414">
        <f t="shared" ref="C37" si="37">(M37*E37*O37*Q37)/100000000</f>
        <v>8.0949000000000009</v>
      </c>
      <c r="D37" s="40" t="s">
        <v>302</v>
      </c>
      <c r="E37" s="41">
        <v>16</v>
      </c>
      <c r="F37" s="41">
        <v>1</v>
      </c>
      <c r="G37" s="499">
        <v>1165</v>
      </c>
      <c r="H37" s="43">
        <f>+N37</f>
        <v>0.25</v>
      </c>
      <c r="I37" s="44">
        <v>0.88</v>
      </c>
      <c r="J37" s="81">
        <f t="shared" ref="J37" si="38">E37*G37*(1-H37)*1440/1000000*2.74</f>
        <v>55.159488000000003</v>
      </c>
      <c r="K37" s="81">
        <f t="shared" ref="K37" si="39">(IF(G37&lt;L37,L37,G37)*(1-IF(H37&lt;N37,H37,N37))*E37*O37*Q37)/100000000</f>
        <v>8.5732350000000004</v>
      </c>
      <c r="L37" s="34">
        <v>1100</v>
      </c>
      <c r="M37" s="34">
        <v>825</v>
      </c>
      <c r="N37" s="45">
        <f t="shared" ref="N37" si="40">1-(M37/L37)</f>
        <v>0.25</v>
      </c>
      <c r="O37" s="46">
        <f>+'Trim Rwd'!H22</f>
        <v>275</v>
      </c>
      <c r="P37" s="47">
        <f t="shared" ref="P37" si="41">O37*(Q37-R37-S37)</f>
        <v>55825</v>
      </c>
      <c r="Q37" s="46">
        <v>223</v>
      </c>
      <c r="R37" s="500">
        <v>0</v>
      </c>
      <c r="S37" s="500">
        <v>20</v>
      </c>
      <c r="T37" s="36">
        <f t="shared" ref="T37" si="42">E37*M37*O37*Q37/100000000</f>
        <v>8.0949000000000009</v>
      </c>
      <c r="U37" s="36">
        <f t="shared" ref="U37" si="43">E37*M37*O37*(Q37-R37-S37)/100000000</f>
        <v>7.3689</v>
      </c>
      <c r="V37" s="36">
        <f t="shared" ref="V37" si="44">E37*G37*(1-N37)*O37/100*(R37+S37)/1000000</f>
        <v>0.76890000000000003</v>
      </c>
      <c r="W37" s="36">
        <f>+'7'!K11/1000</f>
        <v>4.9779999999999998</v>
      </c>
      <c r="X37" s="37"/>
      <c r="Y37" s="210"/>
      <c r="Z37" s="36"/>
      <c r="AA37" s="36"/>
      <c r="AB37" s="36"/>
      <c r="AC37" s="36"/>
      <c r="AD37" s="36">
        <f>+AM37+BA37</f>
        <v>4</v>
      </c>
      <c r="AE37" s="229" t="s">
        <v>480</v>
      </c>
      <c r="AF37" s="36"/>
      <c r="AG37" s="36">
        <v>4</v>
      </c>
      <c r="AH37" s="36"/>
      <c r="AI37" s="502"/>
      <c r="AJ37" s="36"/>
      <c r="AK37" s="36"/>
      <c r="AL37" s="36"/>
      <c r="AM37" s="36">
        <f t="shared" si="36"/>
        <v>4</v>
      </c>
      <c r="AN37" s="82"/>
      <c r="AO37" s="36"/>
      <c r="AP37" s="36"/>
      <c r="AQ37" s="36"/>
      <c r="AR37" s="36">
        <f t="shared" ref="AR37:AR39" si="45">SUM(AN37:AQ37)</f>
        <v>0</v>
      </c>
      <c r="AS37" s="36"/>
      <c r="AT37" s="36"/>
      <c r="AU37" s="36"/>
      <c r="AV37" s="36"/>
      <c r="AW37" s="36"/>
      <c r="AX37" s="36"/>
      <c r="AY37" s="36"/>
      <c r="AZ37" s="36"/>
      <c r="BA37" s="36">
        <f>+AR37+AS37+AU37+AW37+AY37+AZ37</f>
        <v>0</v>
      </c>
      <c r="BB37" s="49"/>
      <c r="BC37" s="50">
        <v>2</v>
      </c>
      <c r="BD37" s="50"/>
      <c r="BE37" s="49"/>
      <c r="BF37" s="50"/>
    </row>
    <row r="38" spans="1:58" ht="12.95" customHeight="1">
      <c r="A38" s="39"/>
      <c r="B38" s="40"/>
      <c r="C38" s="414"/>
      <c r="D38" s="40"/>
      <c r="E38" s="41"/>
      <c r="F38" s="41"/>
      <c r="G38" s="42"/>
      <c r="H38" s="43"/>
      <c r="I38" s="44"/>
      <c r="J38" s="81"/>
      <c r="K38" s="81"/>
      <c r="L38" s="34"/>
      <c r="M38" s="34"/>
      <c r="N38" s="45"/>
      <c r="O38" s="46"/>
      <c r="P38" s="47"/>
      <c r="Q38" s="46"/>
      <c r="R38" s="500"/>
      <c r="S38" s="500"/>
      <c r="T38" s="36"/>
      <c r="U38" s="36"/>
      <c r="V38" s="36"/>
      <c r="W38" s="36"/>
      <c r="X38" s="37"/>
      <c r="Y38" s="210"/>
      <c r="Z38" s="36"/>
      <c r="AA38" s="36"/>
      <c r="AB38" s="36"/>
      <c r="AC38" s="36"/>
      <c r="AD38" s="36">
        <f>+AM38+BA38</f>
        <v>59</v>
      </c>
      <c r="AE38" s="229" t="s">
        <v>431</v>
      </c>
      <c r="AF38" s="32"/>
      <c r="AG38" s="32"/>
      <c r="AH38" s="32">
        <v>59</v>
      </c>
      <c r="AJ38" s="36"/>
      <c r="AK38" s="36"/>
      <c r="AL38" s="36"/>
      <c r="AM38" s="36">
        <f t="shared" si="36"/>
        <v>59</v>
      </c>
      <c r="AN38" s="36"/>
      <c r="AO38" s="36"/>
      <c r="AP38" s="36"/>
      <c r="AQ38" s="36"/>
      <c r="AR38" s="36">
        <f t="shared" si="45"/>
        <v>0</v>
      </c>
      <c r="AS38" s="36"/>
      <c r="AT38" s="36"/>
      <c r="AU38" s="36"/>
      <c r="AV38" s="36"/>
      <c r="AW38" s="36"/>
      <c r="AX38" s="36"/>
      <c r="AY38" s="36"/>
      <c r="AZ38" s="36"/>
      <c r="BA38" s="36">
        <f>+AR38+AS38+AU38+AW38+AY38+AZ38</f>
        <v>0</v>
      </c>
      <c r="BB38" s="32"/>
      <c r="BC38" s="503"/>
      <c r="BD38" s="503"/>
      <c r="BE38" s="32"/>
      <c r="BF38" s="503"/>
    </row>
    <row r="39" spans="1:58" ht="12.95" customHeight="1">
      <c r="A39" s="39"/>
      <c r="B39" s="40"/>
      <c r="C39" s="414"/>
      <c r="D39" s="40"/>
      <c r="E39" s="41"/>
      <c r="F39" s="41"/>
      <c r="G39" s="42"/>
      <c r="H39" s="43"/>
      <c r="I39" s="44"/>
      <c r="J39" s="81"/>
      <c r="K39" s="81"/>
      <c r="L39" s="34"/>
      <c r="M39" s="34"/>
      <c r="N39" s="45"/>
      <c r="O39" s="46"/>
      <c r="P39" s="47"/>
      <c r="Q39" s="33"/>
      <c r="R39" s="500"/>
      <c r="S39" s="500"/>
      <c r="T39" s="36"/>
      <c r="U39" s="36"/>
      <c r="V39" s="36"/>
      <c r="W39" s="36"/>
      <c r="X39" s="37"/>
      <c r="Y39" s="210"/>
      <c r="Z39" s="36"/>
      <c r="AA39" s="36"/>
      <c r="AB39" s="36"/>
      <c r="AC39" s="36"/>
      <c r="AD39" s="36">
        <f>+AM39+BA39</f>
        <v>0</v>
      </c>
      <c r="AE39" s="232" t="s">
        <v>378</v>
      </c>
      <c r="AF39" s="36"/>
      <c r="AG39" s="36"/>
      <c r="AH39" s="36"/>
      <c r="AI39" s="502"/>
      <c r="AJ39" s="36"/>
      <c r="AK39" s="36"/>
      <c r="AL39" s="36"/>
      <c r="AM39" s="36">
        <f t="shared" si="36"/>
        <v>0</v>
      </c>
      <c r="AN39" s="36"/>
      <c r="AO39" s="36"/>
      <c r="AP39" s="36"/>
      <c r="AQ39" s="36"/>
      <c r="AR39" s="36">
        <f t="shared" si="45"/>
        <v>0</v>
      </c>
      <c r="AS39" s="36"/>
      <c r="AT39" s="36"/>
      <c r="AU39" s="36"/>
      <c r="AV39" s="36"/>
      <c r="AW39" s="36"/>
      <c r="AX39" s="36"/>
      <c r="AY39" s="36"/>
      <c r="AZ39" s="36"/>
      <c r="BA39" s="36">
        <f>+AR39+AS39+AU39+AW39+AY39+AZ39</f>
        <v>0</v>
      </c>
      <c r="BB39" s="49"/>
      <c r="BC39" s="50"/>
      <c r="BD39" s="50"/>
      <c r="BE39" s="49"/>
      <c r="BF39" s="50"/>
    </row>
    <row r="40" spans="1:58" ht="12.95" customHeight="1">
      <c r="A40" s="39"/>
      <c r="B40" s="40"/>
      <c r="C40" s="414"/>
      <c r="D40" s="40"/>
      <c r="E40" s="41"/>
      <c r="F40" s="41"/>
      <c r="G40" s="499"/>
      <c r="H40" s="43"/>
      <c r="I40" s="44"/>
      <c r="J40" s="81"/>
      <c r="K40" s="81"/>
      <c r="L40" s="34"/>
      <c r="M40" s="34"/>
      <c r="N40" s="45"/>
      <c r="O40" s="46"/>
      <c r="P40" s="47"/>
      <c r="Q40" s="46"/>
      <c r="R40" s="500"/>
      <c r="S40" s="500"/>
      <c r="T40" s="36"/>
      <c r="U40" s="36"/>
      <c r="V40" s="36"/>
      <c r="W40" s="36"/>
      <c r="X40" s="37"/>
      <c r="Y40" s="210"/>
      <c r="Z40" s="36"/>
      <c r="AA40" s="36"/>
      <c r="AB40" s="36"/>
      <c r="AC40" s="36"/>
      <c r="AD40" s="36"/>
      <c r="AE40" s="229"/>
      <c r="AF40" s="36"/>
      <c r="AG40" s="36"/>
      <c r="AH40" s="36"/>
      <c r="AI40" s="502"/>
      <c r="AJ40" s="36"/>
      <c r="AK40" s="36"/>
      <c r="AL40" s="36"/>
      <c r="AM40" s="36"/>
      <c r="AN40" s="82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49"/>
      <c r="BC40" s="50"/>
      <c r="BD40" s="503"/>
      <c r="BE40" s="32"/>
      <c r="BF40" s="503"/>
    </row>
    <row r="41" spans="1:58" ht="12.75" customHeight="1">
      <c r="A41" s="39">
        <v>46120</v>
      </c>
      <c r="B41" s="40" t="s">
        <v>7</v>
      </c>
      <c r="C41" s="414">
        <f t="shared" ref="C41:C42" si="46">(M41*E41*O41*Q41)/100000000</f>
        <v>8.1626999999999992</v>
      </c>
      <c r="D41" s="40" t="s">
        <v>302</v>
      </c>
      <c r="E41" s="41">
        <v>14</v>
      </c>
      <c r="F41" s="41">
        <v>1</v>
      </c>
      <c r="G41" s="499">
        <v>1230</v>
      </c>
      <c r="H41" s="43">
        <f>+N41</f>
        <v>0.25</v>
      </c>
      <c r="I41" s="44">
        <v>0.88</v>
      </c>
      <c r="J41" s="81">
        <f t="shared" ref="J41:J42" si="47">E41*G41*(1-H41)*1440/1000000*2.74</f>
        <v>50.957424000000003</v>
      </c>
      <c r="K41" s="81">
        <f t="shared" ref="K41:K42" si="48">(IF(G41&lt;L41,L41,G41)*(1-IF(H41&lt;N41,H41,N41))*E41*O41*Q41)/100000000</f>
        <v>8.7305399999999995</v>
      </c>
      <c r="L41" s="34">
        <v>1150</v>
      </c>
      <c r="M41" s="34">
        <v>862.5</v>
      </c>
      <c r="N41" s="45">
        <f t="shared" ref="N41:N42" si="49">1-(M41/L41)</f>
        <v>0.25</v>
      </c>
      <c r="O41" s="46">
        <f>+'Trim Rwd'!H24</f>
        <v>260</v>
      </c>
      <c r="P41" s="47">
        <f t="shared" ref="P41:P42" si="50">O41*(Q41-R41-S41)</f>
        <v>63700</v>
      </c>
      <c r="Q41" s="46">
        <v>260</v>
      </c>
      <c r="R41" s="500">
        <v>0</v>
      </c>
      <c r="S41" s="500">
        <v>15</v>
      </c>
      <c r="T41" s="36">
        <f t="shared" ref="T41:T42" si="51">E41*M41*O41*Q41/100000000</f>
        <v>8.1626999999999992</v>
      </c>
      <c r="U41" s="36">
        <f t="shared" ref="U41:U42" si="52">E41*M41*O41*(Q41-R41-S41)/100000000</f>
        <v>7.6917749999999998</v>
      </c>
      <c r="V41" s="36">
        <f t="shared" ref="V41:V42" si="53">E41*G41*(1-N41)*O41/100*(R41+S41)/1000000</f>
        <v>0.50368500000000005</v>
      </c>
      <c r="W41" s="36">
        <f>+'8'!K8/1000</f>
        <v>12.106999999999999</v>
      </c>
      <c r="X41" s="501">
        <f>SUM(W41:W45)/SUM(K41:K45)</f>
        <v>0.81688570620441436</v>
      </c>
      <c r="Y41" s="210">
        <v>0</v>
      </c>
      <c r="Z41" s="36">
        <v>0</v>
      </c>
      <c r="AA41" s="48">
        <f>SUM(U41:U45)-SUM(W41:W45)-SUM(Z41:Z45)-SUM(Y41:Y45)</f>
        <v>2.1067968750000077</v>
      </c>
      <c r="AB41" s="48">
        <f>(SUM(K41:K45)-SUM(W41:W45)-SUM(Y41:Y45)-SUM(Z41:Z45)-SUM(AC41:AC45)-SUM(V41:V45))-AA41</f>
        <v>-0.28152900000000569</v>
      </c>
      <c r="AC41" s="36">
        <f>K41-T41</f>
        <v>0.56784000000000034</v>
      </c>
      <c r="AD41" s="36">
        <f>+AM41+BA41</f>
        <v>16</v>
      </c>
      <c r="AE41" s="229" t="s">
        <v>494</v>
      </c>
      <c r="AF41" s="36">
        <v>16</v>
      </c>
      <c r="AG41" s="36"/>
      <c r="AH41" s="36"/>
      <c r="AI41" s="502"/>
      <c r="AJ41" s="36"/>
      <c r="AK41" s="36"/>
      <c r="AL41" s="36"/>
      <c r="AM41" s="36">
        <f t="shared" ref="AM41:AM44" si="54">SUM(AF41:AL41)+AT41+AV41+AX41</f>
        <v>16</v>
      </c>
      <c r="AN41" s="36"/>
      <c r="AO41" s="36"/>
      <c r="AP41" s="36"/>
      <c r="AQ41" s="36"/>
      <c r="AR41" s="36">
        <f>SUM(AN41:AQ41)</f>
        <v>0</v>
      </c>
      <c r="AS41" s="36"/>
      <c r="AT41" s="36"/>
      <c r="AU41" s="36"/>
      <c r="AV41" s="36"/>
      <c r="AW41" s="36"/>
      <c r="AX41" s="36"/>
      <c r="AY41" s="36"/>
      <c r="AZ41" s="36"/>
      <c r="BA41" s="36">
        <f>+AR41+AS41+AU41+AW41+AY41+AZ41</f>
        <v>0</v>
      </c>
      <c r="BB41" s="32">
        <v>5</v>
      </c>
      <c r="BC41" s="50"/>
      <c r="BD41" s="50"/>
      <c r="BE41" s="32"/>
      <c r="BF41" s="50"/>
    </row>
    <row r="42" spans="1:58" ht="12.95" customHeight="1">
      <c r="A42" s="39"/>
      <c r="B42" s="40" t="s">
        <v>7</v>
      </c>
      <c r="C42" s="414">
        <f t="shared" si="46"/>
        <v>39.951450000000001</v>
      </c>
      <c r="D42" s="40" t="s">
        <v>302</v>
      </c>
      <c r="E42" s="41">
        <v>16</v>
      </c>
      <c r="F42" s="41">
        <v>1</v>
      </c>
      <c r="G42" s="499">
        <v>1165</v>
      </c>
      <c r="H42" s="43">
        <f>+N42</f>
        <v>0.25</v>
      </c>
      <c r="I42" s="44">
        <v>0.88</v>
      </c>
      <c r="J42" s="81">
        <f t="shared" si="47"/>
        <v>55.159488000000003</v>
      </c>
      <c r="K42" s="81">
        <f t="shared" si="48"/>
        <v>44.327084999999997</v>
      </c>
      <c r="L42" s="34">
        <v>1050</v>
      </c>
      <c r="M42" s="34">
        <v>787.5</v>
      </c>
      <c r="N42" s="45">
        <f t="shared" si="49"/>
        <v>0.25</v>
      </c>
      <c r="O42" s="46">
        <f>+'Trim Rwd'!H25</f>
        <v>275</v>
      </c>
      <c r="P42" s="47">
        <f t="shared" si="50"/>
        <v>299750</v>
      </c>
      <c r="Q42" s="46">
        <v>1153</v>
      </c>
      <c r="R42" s="500">
        <v>0</v>
      </c>
      <c r="S42" s="500">
        <f>80-S41-S43</f>
        <v>63</v>
      </c>
      <c r="T42" s="36">
        <f t="shared" si="51"/>
        <v>39.951450000000001</v>
      </c>
      <c r="U42" s="36">
        <f t="shared" si="52"/>
        <v>37.768500000000003</v>
      </c>
      <c r="V42" s="36">
        <f t="shared" si="53"/>
        <v>2.4220350000000002</v>
      </c>
      <c r="W42" s="36">
        <f>+'8'!K11/1000</f>
        <v>32.055999999999997</v>
      </c>
      <c r="X42" s="37"/>
      <c r="Y42" s="210"/>
      <c r="Z42" s="36"/>
      <c r="AA42" s="36"/>
      <c r="AB42" s="36"/>
      <c r="AC42" s="36">
        <f>K42-T42</f>
        <v>4.3756349999999955</v>
      </c>
      <c r="AD42" s="36">
        <f>+AM42+BA42</f>
        <v>8</v>
      </c>
      <c r="AE42" s="229" t="s">
        <v>428</v>
      </c>
      <c r="AF42" s="36"/>
      <c r="AG42" s="36">
        <v>8</v>
      </c>
      <c r="AH42" s="36"/>
      <c r="AI42" s="502"/>
      <c r="AJ42" s="36"/>
      <c r="AK42" s="36"/>
      <c r="AL42" s="36"/>
      <c r="AM42" s="36">
        <f t="shared" si="54"/>
        <v>8</v>
      </c>
      <c r="AN42" s="82"/>
      <c r="AO42" s="36"/>
      <c r="AP42" s="36"/>
      <c r="AQ42" s="36"/>
      <c r="AR42" s="36">
        <f t="shared" ref="AR42:AR44" si="55">SUM(AN42:AQ42)</f>
        <v>0</v>
      </c>
      <c r="AS42" s="36"/>
      <c r="AT42" s="36"/>
      <c r="AU42" s="36"/>
      <c r="AV42" s="36"/>
      <c r="AW42" s="36"/>
      <c r="AX42" s="36"/>
      <c r="AY42" s="36"/>
      <c r="AZ42" s="36"/>
      <c r="BA42" s="36">
        <f>+AR42+AS42+AU42+AW42+AY42+AZ42</f>
        <v>0</v>
      </c>
      <c r="BB42" s="49"/>
      <c r="BC42" s="50">
        <v>4</v>
      </c>
      <c r="BD42" s="50"/>
      <c r="BE42" s="49"/>
      <c r="BF42" s="50"/>
    </row>
    <row r="43" spans="1:58" ht="12.95" customHeight="1">
      <c r="A43" s="39"/>
      <c r="B43" s="40" t="s">
        <v>7</v>
      </c>
      <c r="C43" s="414">
        <f t="shared" ref="C43" si="56">(M43*E43*O43*Q43)/100000000</f>
        <v>0.87428362500000001</v>
      </c>
      <c r="D43" s="40" t="s">
        <v>302</v>
      </c>
      <c r="E43" s="41">
        <v>15</v>
      </c>
      <c r="F43" s="41">
        <v>1</v>
      </c>
      <c r="G43" s="499">
        <v>1230</v>
      </c>
      <c r="H43" s="43">
        <f>+N43</f>
        <v>0.25</v>
      </c>
      <c r="I43" s="44">
        <v>0.88</v>
      </c>
      <c r="J43" s="81">
        <f>E43*G43*(1-H43)*1440/1000000*2.74</f>
        <v>54.597239999999999</v>
      </c>
      <c r="K43" s="81">
        <f>(IF(G43&lt;L43,L43,G43)*(1-IF(H43&lt;N43,H43,N43))*E43*O43*Q43)/100000000</f>
        <v>1.005017625</v>
      </c>
      <c r="L43" s="34">
        <v>1070</v>
      </c>
      <c r="M43" s="34">
        <v>802.5</v>
      </c>
      <c r="N43" s="45">
        <f t="shared" ref="N43" si="57">1-(M43/L43)</f>
        <v>0.25</v>
      </c>
      <c r="O43" s="46">
        <f>+'Trim Rwd'!H27</f>
        <v>269</v>
      </c>
      <c r="P43" s="47">
        <f t="shared" ref="P43" si="58">O43*(Q43-R43-S43)</f>
        <v>6725</v>
      </c>
      <c r="Q43" s="46">
        <v>27</v>
      </c>
      <c r="R43" s="500">
        <v>0</v>
      </c>
      <c r="S43" s="500">
        <v>2</v>
      </c>
      <c r="T43" s="36">
        <f t="shared" ref="T43" si="59">E43*M43*O43*Q43/100000000</f>
        <v>0.87428362500000001</v>
      </c>
      <c r="U43" s="36">
        <f t="shared" ref="U43" si="60">E43*M43*O43*(Q43-R43-S43)/100000000</f>
        <v>0.80952187499999995</v>
      </c>
      <c r="V43" s="36">
        <f>E43*G43*(1-N43)*O43/100*(R43+S43)/1000000</f>
        <v>7.4445750000000005E-2</v>
      </c>
      <c r="W43" s="36">
        <f>+'8'!K12/1000</f>
        <v>0</v>
      </c>
      <c r="X43" s="37"/>
      <c r="Y43" s="210"/>
      <c r="Z43" s="36"/>
      <c r="AA43" s="36"/>
      <c r="AB43" s="36"/>
      <c r="AC43" s="36">
        <f>K43-T43</f>
        <v>0.13073400000000002</v>
      </c>
      <c r="AD43" s="36">
        <f>+AM43+BA43</f>
        <v>56</v>
      </c>
      <c r="AE43" s="229" t="s">
        <v>431</v>
      </c>
      <c r="AF43" s="32"/>
      <c r="AG43" s="32"/>
      <c r="AH43" s="32">
        <v>56</v>
      </c>
      <c r="AJ43" s="36"/>
      <c r="AK43" s="36"/>
      <c r="AL43" s="36"/>
      <c r="AM43" s="36">
        <f t="shared" si="54"/>
        <v>56</v>
      </c>
      <c r="AN43" s="36"/>
      <c r="AO43" s="36"/>
      <c r="AP43" s="36"/>
      <c r="AQ43" s="36"/>
      <c r="AR43" s="36">
        <f t="shared" si="55"/>
        <v>0</v>
      </c>
      <c r="AS43" s="36"/>
      <c r="AT43" s="36"/>
      <c r="AU43" s="36"/>
      <c r="AV43" s="36"/>
      <c r="AW43" s="36"/>
      <c r="AX43" s="36"/>
      <c r="AY43" s="36"/>
      <c r="AZ43" s="36"/>
      <c r="BA43" s="36">
        <f>+AR43+AS43+AU43+AW43+AY43+AZ43</f>
        <v>0</v>
      </c>
      <c r="BB43" s="32"/>
      <c r="BC43" s="503"/>
      <c r="BD43" s="503"/>
      <c r="BE43" s="32"/>
      <c r="BF43" s="503"/>
    </row>
    <row r="44" spans="1:58" ht="12.95" customHeight="1">
      <c r="A44" s="39"/>
      <c r="B44" s="40"/>
      <c r="C44" s="414"/>
      <c r="D44" s="40"/>
      <c r="E44" s="41"/>
      <c r="F44" s="41"/>
      <c r="G44" s="42"/>
      <c r="H44" s="43"/>
      <c r="I44" s="44"/>
      <c r="J44" s="81"/>
      <c r="K44" s="81"/>
      <c r="L44" s="34"/>
      <c r="M44" s="34"/>
      <c r="N44" s="45"/>
      <c r="O44" s="46"/>
      <c r="P44" s="47"/>
      <c r="Q44" s="33"/>
      <c r="R44" s="500"/>
      <c r="S44" s="500"/>
      <c r="T44" s="36"/>
      <c r="U44" s="36"/>
      <c r="V44" s="36"/>
      <c r="W44" s="36"/>
      <c r="X44" s="37"/>
      <c r="Y44" s="210"/>
      <c r="Z44" s="36"/>
      <c r="AA44" s="36"/>
      <c r="AB44" s="36"/>
      <c r="AC44" s="36"/>
      <c r="AD44" s="36">
        <f>+AM44+BA44</f>
        <v>0</v>
      </c>
      <c r="AE44" s="232" t="s">
        <v>378</v>
      </c>
      <c r="AF44" s="36"/>
      <c r="AG44" s="36"/>
      <c r="AH44" s="36"/>
      <c r="AI44" s="502"/>
      <c r="AJ44" s="36"/>
      <c r="AK44" s="36"/>
      <c r="AL44" s="36"/>
      <c r="AM44" s="36">
        <f t="shared" si="54"/>
        <v>0</v>
      </c>
      <c r="AN44" s="36"/>
      <c r="AO44" s="36"/>
      <c r="AP44" s="36"/>
      <c r="AQ44" s="36"/>
      <c r="AR44" s="36">
        <f t="shared" si="55"/>
        <v>0</v>
      </c>
      <c r="AS44" s="36"/>
      <c r="AT44" s="36"/>
      <c r="AU44" s="36"/>
      <c r="AV44" s="36"/>
      <c r="AW44" s="36"/>
      <c r="AX44" s="36"/>
      <c r="AY44" s="36"/>
      <c r="AZ44" s="36"/>
      <c r="BA44" s="36">
        <f>+AR44+AS44+AU44+AW44+AY44+AZ44</f>
        <v>0</v>
      </c>
      <c r="BB44" s="49"/>
      <c r="BC44" s="50"/>
      <c r="BD44" s="50"/>
      <c r="BE44" s="49"/>
      <c r="BF44" s="50"/>
    </row>
    <row r="45" spans="1:58" ht="12.95" customHeight="1">
      <c r="A45" s="39"/>
      <c r="B45" s="40"/>
      <c r="C45" s="414"/>
      <c r="D45" s="40"/>
      <c r="E45" s="41"/>
      <c r="F45" s="41"/>
      <c r="G45" s="499"/>
      <c r="H45" s="43"/>
      <c r="I45" s="44"/>
      <c r="J45" s="81"/>
      <c r="K45" s="81"/>
      <c r="L45" s="34"/>
      <c r="M45" s="34"/>
      <c r="N45" s="45"/>
      <c r="O45" s="46"/>
      <c r="P45" s="47"/>
      <c r="Q45" s="46"/>
      <c r="R45" s="500"/>
      <c r="S45" s="500"/>
      <c r="T45" s="36"/>
      <c r="U45" s="36"/>
      <c r="V45" s="36"/>
      <c r="W45" s="36"/>
      <c r="X45" s="37"/>
      <c r="Y45" s="210"/>
      <c r="Z45" s="36"/>
      <c r="AA45" s="36"/>
      <c r="AB45" s="36"/>
      <c r="AC45" s="36"/>
      <c r="AD45" s="36"/>
      <c r="AE45" s="229"/>
      <c r="AF45" s="36"/>
      <c r="AG45" s="36"/>
      <c r="AH45" s="36"/>
      <c r="AI45" s="502"/>
      <c r="AJ45" s="36"/>
      <c r="AK45" s="36"/>
      <c r="AL45" s="36"/>
      <c r="AM45" s="36"/>
      <c r="AN45" s="82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49"/>
      <c r="BC45" s="50"/>
      <c r="BD45" s="50"/>
      <c r="BE45" s="49"/>
      <c r="BF45" s="50"/>
    </row>
    <row r="46" spans="1:58" ht="12.75" customHeight="1">
      <c r="A46" s="39">
        <v>46121</v>
      </c>
      <c r="B46" s="40" t="s">
        <v>7</v>
      </c>
      <c r="C46" s="414">
        <f t="shared" ref="C46" si="61">(M46*E46*O46*Q46)/100000000</f>
        <v>39.439905750000001</v>
      </c>
      <c r="D46" s="40" t="s">
        <v>302</v>
      </c>
      <c r="E46" s="41">
        <v>15</v>
      </c>
      <c r="F46" s="41">
        <v>1</v>
      </c>
      <c r="G46" s="499">
        <v>1230</v>
      </c>
      <c r="H46" s="43">
        <f>+N46</f>
        <v>0.25</v>
      </c>
      <c r="I46" s="44">
        <v>0.88</v>
      </c>
      <c r="J46" s="81">
        <f>E46*G46*(1-H46)*1440/1000000*2.74</f>
        <v>54.597239999999999</v>
      </c>
      <c r="K46" s="81">
        <f>(IF(G46&lt;L46,L46,G46)*(1-IF(H46&lt;N46,H46,N46))*E46*O46*Q46)/100000000</f>
        <v>45.337461750000003</v>
      </c>
      <c r="L46" s="34">
        <v>1070</v>
      </c>
      <c r="M46" s="34">
        <v>802.5</v>
      </c>
      <c r="N46" s="45">
        <f t="shared" ref="N46" si="62">1-(M46/L46)</f>
        <v>0.25</v>
      </c>
      <c r="O46" s="46">
        <f>+'Trim Rwd'!H27</f>
        <v>269</v>
      </c>
      <c r="P46" s="47">
        <f t="shared" ref="P46" si="63">O46*(Q46-R46-S46)</f>
        <v>16140</v>
      </c>
      <c r="Q46" s="46">
        <f>67+413+738</f>
        <v>1218</v>
      </c>
      <c r="R46" s="500">
        <f>413+738</f>
        <v>1151</v>
      </c>
      <c r="S46" s="500">
        <v>7</v>
      </c>
      <c r="T46" s="36">
        <f t="shared" ref="T46" si="64">E46*M46*O46*Q46/100000000</f>
        <v>39.439905750000001</v>
      </c>
      <c r="U46" s="36">
        <f t="shared" ref="U46" si="65">E46*M46*O46*(Q46-R46-S46)/100000000</f>
        <v>1.9428525000000001</v>
      </c>
      <c r="V46" s="36">
        <f>E46*G46*(1-N46)*O46/100*(R46+S46)/1000000</f>
        <v>43.104089250000001</v>
      </c>
      <c r="W46" s="36">
        <f>+'9'!K12/1000</f>
        <v>3.202</v>
      </c>
      <c r="X46" s="501">
        <f>SUM(W46:W50)/SUM(K46:K50)</f>
        <v>7.6207396674792843E-2</v>
      </c>
      <c r="Y46" s="210">
        <v>0</v>
      </c>
      <c r="Z46" s="36">
        <v>0</v>
      </c>
      <c r="AA46" s="48">
        <f>SUM(U46:U50)-SUM(W46:W50)-SUM(Z46:Z50)-SUM(Y46:Y50)</f>
        <v>2.5004402751351344</v>
      </c>
      <c r="AB46" s="48">
        <f>(SUM(K46:K50)-SUM(W46:W50)-SUM(Y46:Y50)-SUM(Z46:Z50)-SUM(AC46:AC50)-SUM(V46:V50))-AA46</f>
        <v>-5.7009005271351407</v>
      </c>
      <c r="AC46" s="36">
        <f>K46-T46</f>
        <v>5.8975560000000016</v>
      </c>
      <c r="AD46" s="36">
        <f>+AM46+BA46</f>
        <v>0</v>
      </c>
      <c r="AE46" s="229" t="s">
        <v>385</v>
      </c>
      <c r="AF46" s="36">
        <v>0</v>
      </c>
      <c r="AG46" s="36"/>
      <c r="AH46" s="36"/>
      <c r="AI46" s="502"/>
      <c r="AJ46" s="36"/>
      <c r="AK46" s="36"/>
      <c r="AL46" s="36"/>
      <c r="AM46" s="36">
        <f t="shared" ref="AM46:AM49" si="66">SUM(AF46:AL46)+AT46+AV46+AX46</f>
        <v>0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/>
      <c r="AW46" s="36"/>
      <c r="AX46" s="36"/>
      <c r="AY46" s="36"/>
      <c r="AZ46" s="36"/>
      <c r="BA46" s="36">
        <f>+AR46+AS46+AU46+AW46+AY46+AZ46</f>
        <v>0</v>
      </c>
      <c r="BB46" s="32">
        <v>0</v>
      </c>
      <c r="BC46" s="50"/>
      <c r="BD46" s="50"/>
      <c r="BE46" s="32"/>
      <c r="BF46" s="50"/>
    </row>
    <row r="47" spans="1:58" ht="12.95" customHeight="1">
      <c r="A47" s="39"/>
      <c r="B47" s="40" t="s">
        <v>513</v>
      </c>
      <c r="C47" s="414">
        <f t="shared" ref="C47" si="67">(M47*E47*O47*Q47)/100000000</f>
        <v>4.7514069119999984</v>
      </c>
      <c r="D47" s="40" t="s">
        <v>302</v>
      </c>
      <c r="E47" s="41">
        <v>14</v>
      </c>
      <c r="F47" s="41">
        <v>1</v>
      </c>
      <c r="G47" s="499">
        <v>1230</v>
      </c>
      <c r="H47" s="43">
        <f>+N47</f>
        <v>0.2400000000000001</v>
      </c>
      <c r="I47" s="44">
        <v>0.88</v>
      </c>
      <c r="J47" s="81">
        <f t="shared" ref="J47" si="68">E47*G47*(1-H47)*1440/1000000*2.74</f>
        <v>51.636856320000007</v>
      </c>
      <c r="K47" s="81">
        <f t="shared" ref="K47" si="69">(IF(G47&lt;L47,L47,G47)*(1-IF(H47&lt;N47,H47,N47))*E47*O47*Q47)/100000000</f>
        <v>7.7282533439999987</v>
      </c>
      <c r="L47" s="34">
        <v>756.21621621621625</v>
      </c>
      <c r="M47" s="34">
        <v>574.72432432432424</v>
      </c>
      <c r="N47" s="45">
        <f t="shared" ref="N47" si="70">1-(M47/L47)</f>
        <v>0.2400000000000001</v>
      </c>
      <c r="O47" s="46">
        <f>+'Trim Rwd'!H28</f>
        <v>266</v>
      </c>
      <c r="P47" s="47">
        <f t="shared" ref="P47" si="71">O47*(Q47-R47-S47)</f>
        <v>57190</v>
      </c>
      <c r="Q47" s="46">
        <v>222</v>
      </c>
      <c r="R47" s="500">
        <v>0</v>
      </c>
      <c r="S47" s="500">
        <v>7</v>
      </c>
      <c r="T47" s="36">
        <f t="shared" ref="T47" si="72">E47*M47*O47*Q47/100000000</f>
        <v>4.7514069119999984</v>
      </c>
      <c r="U47" s="36">
        <f t="shared" ref="U47" si="73">E47*M47*O47*(Q47-R47-S47)/100000000</f>
        <v>4.6015877751351342</v>
      </c>
      <c r="V47" s="36">
        <f t="shared" ref="V47" si="74">E47*G47*(1-N47)*O47/100*(R47+S47)/1000000</f>
        <v>0.24368366399999999</v>
      </c>
      <c r="W47" s="36">
        <f>+'9'!K13/1000</f>
        <v>0.84199999999999997</v>
      </c>
      <c r="X47" s="37"/>
      <c r="Y47" s="210"/>
      <c r="Z47" s="36"/>
      <c r="AA47" s="36"/>
      <c r="AB47" s="36"/>
      <c r="AC47" s="36">
        <f>K47-T47</f>
        <v>2.9768464320000003</v>
      </c>
      <c r="AD47" s="36">
        <f>+AM47+BA47</f>
        <v>0</v>
      </c>
      <c r="AE47" s="229" t="s">
        <v>412</v>
      </c>
      <c r="AF47" s="36"/>
      <c r="AG47" s="36">
        <v>0</v>
      </c>
      <c r="AH47" s="36"/>
      <c r="AI47" s="502"/>
      <c r="AJ47" s="36"/>
      <c r="AK47" s="36"/>
      <c r="AL47" s="36"/>
      <c r="AM47" s="36">
        <f t="shared" si="66"/>
        <v>0</v>
      </c>
      <c r="AN47" s="82"/>
      <c r="AO47" s="36"/>
      <c r="AP47" s="36"/>
      <c r="AQ47" s="36"/>
      <c r="AR47" s="36">
        <f t="shared" ref="AR47:AR49" si="75">SUM(AN47:AQ47)</f>
        <v>0</v>
      </c>
      <c r="AS47" s="36"/>
      <c r="AT47" s="36"/>
      <c r="AU47" s="36"/>
      <c r="AV47" s="36"/>
      <c r="AW47" s="36"/>
      <c r="AX47" s="36"/>
      <c r="AY47" s="36"/>
      <c r="AZ47" s="36"/>
      <c r="BA47" s="36">
        <f>+AR47+AS47+AU47+AW47+AY47+AZ47</f>
        <v>0</v>
      </c>
      <c r="BB47" s="49"/>
      <c r="BC47" s="50">
        <v>0</v>
      </c>
      <c r="BD47" s="50"/>
      <c r="BE47" s="49"/>
      <c r="BF47" s="50"/>
    </row>
    <row r="48" spans="1:58" ht="12.95" customHeight="1">
      <c r="A48" s="39"/>
      <c r="B48" s="40"/>
      <c r="C48" s="414"/>
      <c r="D48" s="40"/>
      <c r="E48" s="41"/>
      <c r="F48" s="41"/>
      <c r="G48" s="42"/>
      <c r="H48" s="43"/>
      <c r="I48" s="44"/>
      <c r="J48" s="81"/>
      <c r="K48" s="81"/>
      <c r="L48" s="34"/>
      <c r="M48" s="34"/>
      <c r="N48" s="45"/>
      <c r="O48" s="46"/>
      <c r="P48" s="47"/>
      <c r="Q48" s="46"/>
      <c r="R48" s="500"/>
      <c r="S48" s="500"/>
      <c r="T48" s="36"/>
      <c r="U48" s="36"/>
      <c r="V48" s="36"/>
      <c r="W48" s="36"/>
      <c r="X48" s="37"/>
      <c r="Y48" s="210"/>
      <c r="Z48" s="36"/>
      <c r="AA48" s="36"/>
      <c r="AB48" s="36"/>
      <c r="AC48" s="36"/>
      <c r="AD48" s="36">
        <f>+AM48+BA48</f>
        <v>14</v>
      </c>
      <c r="AE48" s="229" t="s">
        <v>514</v>
      </c>
      <c r="AF48" s="32"/>
      <c r="AG48" s="32"/>
      <c r="AH48" s="32">
        <v>14</v>
      </c>
      <c r="AJ48" s="36"/>
      <c r="AK48" s="36"/>
      <c r="AL48" s="36"/>
      <c r="AM48" s="36">
        <f t="shared" si="66"/>
        <v>14</v>
      </c>
      <c r="AN48" s="36"/>
      <c r="AO48" s="36"/>
      <c r="AP48" s="36"/>
      <c r="AQ48" s="36"/>
      <c r="AR48" s="36">
        <f t="shared" si="75"/>
        <v>0</v>
      </c>
      <c r="AS48" s="36"/>
      <c r="AT48" s="36"/>
      <c r="AU48" s="36"/>
      <c r="AV48" s="36"/>
      <c r="AW48" s="36"/>
      <c r="AX48" s="36"/>
      <c r="AY48" s="36"/>
      <c r="AZ48" s="36"/>
      <c r="BA48" s="36">
        <f>+AR48+AS48+AU48+AW48+AY48+AZ48</f>
        <v>0</v>
      </c>
      <c r="BB48" s="32"/>
      <c r="BC48" s="503"/>
      <c r="BD48" s="503"/>
      <c r="BE48" s="32"/>
      <c r="BF48" s="503"/>
    </row>
    <row r="49" spans="1:58" ht="12.95" customHeight="1">
      <c r="A49" s="39"/>
      <c r="B49" s="40"/>
      <c r="C49" s="414"/>
      <c r="D49" s="40"/>
      <c r="E49" s="41"/>
      <c r="F49" s="41"/>
      <c r="G49" s="42"/>
      <c r="H49" s="43"/>
      <c r="I49" s="44"/>
      <c r="J49" s="81"/>
      <c r="K49" s="81"/>
      <c r="L49" s="34"/>
      <c r="M49" s="34"/>
      <c r="N49" s="45"/>
      <c r="O49" s="46"/>
      <c r="P49" s="47"/>
      <c r="Q49" s="33"/>
      <c r="R49" s="500"/>
      <c r="S49" s="500"/>
      <c r="T49" s="36"/>
      <c r="U49" s="36"/>
      <c r="V49" s="36"/>
      <c r="W49" s="36"/>
      <c r="X49" s="37"/>
      <c r="Y49" s="210"/>
      <c r="Z49" s="36"/>
      <c r="AA49" s="36"/>
      <c r="AB49" s="36"/>
      <c r="AC49" s="36"/>
      <c r="AD49" s="36">
        <f>+AM49+BA49</f>
        <v>0</v>
      </c>
      <c r="AE49" s="232" t="s">
        <v>378</v>
      </c>
      <c r="AF49" s="36"/>
      <c r="AG49" s="36"/>
      <c r="AH49" s="36"/>
      <c r="AI49" s="502">
        <v>0</v>
      </c>
      <c r="AJ49" s="36"/>
      <c r="AK49" s="36"/>
      <c r="AL49" s="36"/>
      <c r="AM49" s="36">
        <f t="shared" si="66"/>
        <v>0</v>
      </c>
      <c r="AN49" s="36"/>
      <c r="AO49" s="36"/>
      <c r="AP49" s="36"/>
      <c r="AQ49" s="36"/>
      <c r="AR49" s="36">
        <f t="shared" si="75"/>
        <v>0</v>
      </c>
      <c r="AS49" s="36"/>
      <c r="AT49" s="36"/>
      <c r="AU49" s="36"/>
      <c r="AV49" s="36"/>
      <c r="AW49" s="36"/>
      <c r="AX49" s="36"/>
      <c r="AY49" s="36"/>
      <c r="AZ49" s="36"/>
      <c r="BA49" s="36">
        <f>+AR49+AS49+AU49+AW49+AY49+AZ49</f>
        <v>0</v>
      </c>
      <c r="BB49" s="49"/>
      <c r="BC49" s="50"/>
      <c r="BD49" s="50"/>
      <c r="BE49" s="49"/>
      <c r="BF49" s="50"/>
    </row>
    <row r="50" spans="1:58" ht="12.95" customHeight="1">
      <c r="A50" s="39"/>
      <c r="B50" s="40"/>
      <c r="C50" s="414"/>
      <c r="D50" s="40"/>
      <c r="E50" s="41"/>
      <c r="F50" s="41"/>
      <c r="G50" s="42"/>
      <c r="H50" s="43"/>
      <c r="I50" s="44"/>
      <c r="J50" s="81"/>
      <c r="K50" s="81"/>
      <c r="L50" s="34"/>
      <c r="M50" s="34"/>
      <c r="N50" s="45"/>
      <c r="O50" s="46"/>
      <c r="P50" s="47"/>
      <c r="Q50" s="33"/>
      <c r="R50" s="500"/>
      <c r="S50" s="500"/>
      <c r="T50" s="36"/>
      <c r="U50" s="36"/>
      <c r="V50" s="36"/>
      <c r="W50" s="36"/>
      <c r="X50" s="37"/>
      <c r="Y50" s="210"/>
      <c r="Z50" s="36"/>
      <c r="AA50" s="36"/>
      <c r="AB50" s="36"/>
      <c r="AC50" s="36"/>
      <c r="AD50" s="36">
        <f t="shared" ref="AD50:AD52" si="76">+AM50+BA50</f>
        <v>207</v>
      </c>
      <c r="AE50" s="232" t="s">
        <v>515</v>
      </c>
      <c r="AF50" s="36"/>
      <c r="AG50" s="36"/>
      <c r="AH50" s="36"/>
      <c r="AI50" s="502"/>
      <c r="AJ50" s="36"/>
      <c r="AK50" s="36"/>
      <c r="AL50" s="36"/>
      <c r="AM50" s="36">
        <f t="shared" ref="AM50:AM52" si="77">SUM(AF50:AL50)+AT50+AV50+AX50</f>
        <v>0</v>
      </c>
      <c r="AN50" s="36"/>
      <c r="AO50" s="36"/>
      <c r="AP50" s="36">
        <v>207</v>
      </c>
      <c r="AQ50" s="36"/>
      <c r="AR50" s="36">
        <f t="shared" ref="AR50:AR52" si="78">SUM(AN50:AQ50)</f>
        <v>207</v>
      </c>
      <c r="AS50" s="36"/>
      <c r="AT50" s="36"/>
      <c r="AU50" s="36"/>
      <c r="AV50" s="36"/>
      <c r="AW50" s="36"/>
      <c r="AX50" s="36"/>
      <c r="AY50" s="36"/>
      <c r="AZ50" s="36"/>
      <c r="BA50" s="36">
        <f t="shared" ref="BA50:BA52" si="79">+AR50+AS50+AU50+AW50+AY50+AZ50</f>
        <v>207</v>
      </c>
      <c r="BB50" s="49"/>
      <c r="BC50" s="50"/>
      <c r="BD50" s="50"/>
      <c r="BE50" s="49"/>
      <c r="BF50" s="50"/>
    </row>
    <row r="51" spans="1:58" ht="12.95" customHeight="1">
      <c r="A51" s="39"/>
      <c r="B51" s="40"/>
      <c r="C51" s="414"/>
      <c r="D51" s="40"/>
      <c r="E51" s="41"/>
      <c r="F51" s="41"/>
      <c r="G51" s="42"/>
      <c r="H51" s="43"/>
      <c r="I51" s="44"/>
      <c r="J51" s="81"/>
      <c r="K51" s="81"/>
      <c r="L51" s="34"/>
      <c r="M51" s="34"/>
      <c r="N51" s="45"/>
      <c r="O51" s="46"/>
      <c r="P51" s="47"/>
      <c r="Q51" s="33"/>
      <c r="R51" s="500"/>
      <c r="S51" s="500"/>
      <c r="T51" s="36"/>
      <c r="U51" s="36"/>
      <c r="V51" s="36"/>
      <c r="W51" s="36"/>
      <c r="X51" s="37"/>
      <c r="Y51" s="210"/>
      <c r="Z51" s="36"/>
      <c r="AA51" s="36"/>
      <c r="AB51" s="36"/>
      <c r="AC51" s="36"/>
      <c r="AD51" s="36">
        <f t="shared" ref="AD51" si="80">+AM51+BA51</f>
        <v>206</v>
      </c>
      <c r="AE51" s="232" t="s">
        <v>515</v>
      </c>
      <c r="AF51" s="36"/>
      <c r="AG51" s="36"/>
      <c r="AH51" s="36"/>
      <c r="AI51" s="502"/>
      <c r="AJ51" s="36"/>
      <c r="AK51" s="36"/>
      <c r="AL51" s="36"/>
      <c r="AM51" s="36"/>
      <c r="AN51" s="36"/>
      <c r="AO51" s="36">
        <v>206</v>
      </c>
      <c r="AP51" s="36"/>
      <c r="AQ51" s="36"/>
      <c r="AR51" s="36">
        <f t="shared" si="78"/>
        <v>206</v>
      </c>
      <c r="AS51" s="36"/>
      <c r="AT51" s="36"/>
      <c r="AU51" s="36"/>
      <c r="AV51" s="36"/>
      <c r="AW51" s="36"/>
      <c r="AX51" s="36"/>
      <c r="AY51" s="36"/>
      <c r="AZ51" s="36"/>
      <c r="BA51" s="36">
        <f t="shared" si="79"/>
        <v>206</v>
      </c>
      <c r="BB51" s="49"/>
      <c r="BC51" s="50"/>
      <c r="BD51" s="50"/>
      <c r="BE51" s="49"/>
      <c r="BF51" s="50"/>
    </row>
    <row r="52" spans="1:58" ht="12.95" customHeight="1">
      <c r="A52" s="39"/>
      <c r="B52" s="40"/>
      <c r="C52" s="414"/>
      <c r="D52" s="40"/>
      <c r="E52" s="41"/>
      <c r="F52" s="41"/>
      <c r="G52" s="42"/>
      <c r="H52" s="43"/>
      <c r="I52" s="44"/>
      <c r="J52" s="81"/>
      <c r="K52" s="81"/>
      <c r="L52" s="34"/>
      <c r="M52" s="34"/>
      <c r="N52" s="45"/>
      <c r="O52" s="46"/>
      <c r="P52" s="47"/>
      <c r="Q52" s="33"/>
      <c r="R52" s="500"/>
      <c r="S52" s="500"/>
      <c r="T52" s="36"/>
      <c r="U52" s="36"/>
      <c r="V52" s="36"/>
      <c r="W52" s="36"/>
      <c r="X52" s="37"/>
      <c r="Y52" s="210"/>
      <c r="Z52" s="36"/>
      <c r="AA52" s="36"/>
      <c r="AB52" s="36"/>
      <c r="AC52" s="36"/>
      <c r="AD52" s="36">
        <f t="shared" si="76"/>
        <v>738</v>
      </c>
      <c r="AE52" s="232" t="s">
        <v>516</v>
      </c>
      <c r="AF52" s="36"/>
      <c r="AG52" s="36"/>
      <c r="AH52" s="36"/>
      <c r="AI52" s="502"/>
      <c r="AJ52" s="36"/>
      <c r="AK52" s="36"/>
      <c r="AL52" s="36"/>
      <c r="AM52" s="36">
        <f t="shared" si="77"/>
        <v>0</v>
      </c>
      <c r="AN52" s="36"/>
      <c r="AO52" s="36"/>
      <c r="AP52" s="36"/>
      <c r="AQ52" s="36"/>
      <c r="AR52" s="36">
        <f t="shared" si="78"/>
        <v>0</v>
      </c>
      <c r="AS52" s="36">
        <v>738</v>
      </c>
      <c r="AT52" s="36"/>
      <c r="AU52" s="36"/>
      <c r="AV52" s="36"/>
      <c r="AW52" s="36"/>
      <c r="AX52" s="36"/>
      <c r="AY52" s="36"/>
      <c r="AZ52" s="36"/>
      <c r="BA52" s="36">
        <f t="shared" si="79"/>
        <v>738</v>
      </c>
      <c r="BB52" s="49"/>
      <c r="BC52" s="50"/>
      <c r="BD52" s="50"/>
      <c r="BE52" s="49"/>
      <c r="BF52" s="50"/>
    </row>
    <row r="53" spans="1:58" ht="12.95" customHeight="1">
      <c r="A53" s="39"/>
      <c r="B53" s="40"/>
      <c r="C53" s="414"/>
      <c r="D53" s="40"/>
      <c r="E53" s="41"/>
      <c r="F53" s="41"/>
      <c r="G53" s="42"/>
      <c r="H53" s="43"/>
      <c r="I53" s="44"/>
      <c r="J53" s="81"/>
      <c r="K53" s="81"/>
      <c r="L53" s="34"/>
      <c r="M53" s="34"/>
      <c r="N53" s="45"/>
      <c r="O53" s="46"/>
      <c r="P53" s="47"/>
      <c r="Q53" s="46"/>
      <c r="R53" s="500"/>
      <c r="S53" s="500"/>
      <c r="T53" s="36"/>
      <c r="U53" s="36"/>
      <c r="V53" s="36"/>
      <c r="W53" s="36"/>
      <c r="X53" s="37"/>
      <c r="Y53" s="210"/>
      <c r="Z53" s="36"/>
      <c r="AA53" s="36"/>
      <c r="AB53" s="36"/>
      <c r="AC53" s="36"/>
      <c r="AD53" s="36"/>
      <c r="AE53" s="229"/>
      <c r="AF53" s="32"/>
      <c r="AG53" s="32"/>
      <c r="AH53" s="32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2"/>
      <c r="BC53" s="503"/>
      <c r="BD53" s="50"/>
      <c r="BE53" s="49"/>
      <c r="BF53" s="50"/>
    </row>
    <row r="54" spans="1:58" ht="12.75" customHeight="1">
      <c r="A54" s="39">
        <v>46122</v>
      </c>
      <c r="B54" s="40" t="s">
        <v>513</v>
      </c>
      <c r="C54" s="414">
        <f t="shared" ref="C54" si="81">(M54*E54*O54*Q54)/100000000</f>
        <v>3.1698688000000002</v>
      </c>
      <c r="D54" s="40" t="s">
        <v>302</v>
      </c>
      <c r="E54" s="41">
        <v>14</v>
      </c>
      <c r="F54" s="41">
        <v>1</v>
      </c>
      <c r="G54" s="499">
        <v>1230</v>
      </c>
      <c r="H54" s="43">
        <f>+N54</f>
        <v>0.24</v>
      </c>
      <c r="I54" s="44">
        <v>0.88</v>
      </c>
      <c r="J54" s="81">
        <f t="shared" ref="J54" si="82">E54*G54*(1-H54)*1440/1000000*2.74</f>
        <v>51.636856320000007</v>
      </c>
      <c r="K54" s="81">
        <f t="shared" ref="K54" si="83">(IF(G54&lt;L54,L54,G54)*(1-IF(H54&lt;N54,H54,N54))*E54*O54*Q54)/100000000</f>
        <v>4.8736732799999993</v>
      </c>
      <c r="L54" s="34">
        <v>800</v>
      </c>
      <c r="M54" s="34">
        <v>608</v>
      </c>
      <c r="N54" s="45">
        <f t="shared" ref="N54" si="84">1-(M54/L54)</f>
        <v>0.24</v>
      </c>
      <c r="O54" s="46">
        <f>+'Trim Rwd'!H31</f>
        <v>266</v>
      </c>
      <c r="P54" s="47">
        <f t="shared" ref="P54" si="85">O54*(Q54-R54-S54)</f>
        <v>34846</v>
      </c>
      <c r="Q54" s="46">
        <v>140</v>
      </c>
      <c r="R54" s="500">
        <v>0</v>
      </c>
      <c r="S54" s="500">
        <v>9</v>
      </c>
      <c r="T54" s="36">
        <f t="shared" ref="T54" si="86">E54*M54*O54*Q54/100000000</f>
        <v>3.1698688000000002</v>
      </c>
      <c r="U54" s="36">
        <f t="shared" ref="U54" si="87">E54*M54*O54*(Q54-R54-S54)/100000000</f>
        <v>2.96609152</v>
      </c>
      <c r="V54" s="36">
        <f t="shared" ref="V54" si="88">E54*G54*(1-N54)*O54/100*(R54+S54)/1000000</f>
        <v>0.31330756800000004</v>
      </c>
      <c r="W54" s="36">
        <f>+'10'!K13/1000</f>
        <v>4.758</v>
      </c>
      <c r="X54" s="501">
        <f>SUM(W54:W58)/SUM(K54:K58)</f>
        <v>0.67229957799797802</v>
      </c>
      <c r="Y54" s="210">
        <v>0</v>
      </c>
      <c r="Z54" s="36">
        <v>0</v>
      </c>
      <c r="AA54" s="48">
        <f>SUM(U54:U58)-SUM(W54:W58)-SUM(Z54:Z58)-SUM(Y54:Y58)</f>
        <v>6.2953599449999977</v>
      </c>
      <c r="AB54" s="48">
        <f>(SUM(K54:K58)-SUM(W54:W58)-SUM(Y54:Y58)-SUM(Z54:Z58)-SUM(AC54:AC58)-SUM(V54:V58))-AA54</f>
        <v>-0.28541787354313897</v>
      </c>
      <c r="AC54" s="36">
        <f>K54-T54</f>
        <v>1.7038044799999992</v>
      </c>
      <c r="AD54" s="36">
        <f>+AM54+BA54</f>
        <v>0</v>
      </c>
      <c r="AE54" s="229" t="s">
        <v>385</v>
      </c>
      <c r="AF54" s="36">
        <v>0</v>
      </c>
      <c r="AG54" s="36"/>
      <c r="AH54" s="36"/>
      <c r="AI54" s="502"/>
      <c r="AJ54" s="36"/>
      <c r="AK54" s="36"/>
      <c r="AL54" s="36"/>
      <c r="AM54" s="36">
        <f t="shared" ref="AM54:AM57" si="89">SUM(AF54:AL54)+AT54+AV54+AX54</f>
        <v>0</v>
      </c>
      <c r="AN54" s="36"/>
      <c r="AO54" s="36"/>
      <c r="AP54" s="36"/>
      <c r="AQ54" s="36"/>
      <c r="AR54" s="36">
        <f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>
        <f>+AR54+AS54+AU54+AW54+AY54+AZ54</f>
        <v>0</v>
      </c>
      <c r="BB54" s="32">
        <v>0</v>
      </c>
      <c r="BC54" s="50"/>
      <c r="BD54" s="50"/>
      <c r="BE54" s="32"/>
      <c r="BF54" s="50"/>
    </row>
    <row r="55" spans="1:58" ht="12.95" customHeight="1">
      <c r="A55" s="39"/>
      <c r="B55" s="40" t="s">
        <v>513</v>
      </c>
      <c r="C55" s="414">
        <f t="shared" ref="C55" si="90">(M55*E55*O55*Q55)/100000000</f>
        <v>35.549559162000001</v>
      </c>
      <c r="D55" s="40" t="s">
        <v>302</v>
      </c>
      <c r="E55" s="41">
        <v>13</v>
      </c>
      <c r="F55" s="41">
        <v>1</v>
      </c>
      <c r="G55" s="499">
        <v>1230</v>
      </c>
      <c r="H55" s="43">
        <f>+N55</f>
        <v>0.25186850185283216</v>
      </c>
      <c r="I55" s="44">
        <v>0.88</v>
      </c>
      <c r="J55" s="81">
        <f t="shared" ref="J55" si="91">E55*G55*(1-H55)*1440/1000000*2.74</f>
        <v>47.199723949040553</v>
      </c>
      <c r="K55" s="81">
        <f t="shared" ref="K55" si="92">(IF(G55&lt;L55,L55,G55)*(1-IF(H55&lt;N55,H55,N55))*E55*O55*Q55)/100000000</f>
        <v>40.122636386121762</v>
      </c>
      <c r="L55" s="34">
        <v>1089.8076923076924</v>
      </c>
      <c r="M55" s="34">
        <v>815.31946153846161</v>
      </c>
      <c r="N55" s="45">
        <f t="shared" ref="N55" si="93">1-(M55/L55)</f>
        <v>0.25186850185283216</v>
      </c>
      <c r="O55" s="46">
        <f>+'Trim Rwd'!H30</f>
        <v>258</v>
      </c>
      <c r="P55" s="47">
        <f t="shared" ref="P55" si="94">O55*(Q55-R55-S55)</f>
        <v>322500</v>
      </c>
      <c r="Q55" s="46">
        <v>1300</v>
      </c>
      <c r="R55" s="500">
        <v>0</v>
      </c>
      <c r="S55" s="500">
        <v>50</v>
      </c>
      <c r="T55" s="36">
        <f t="shared" ref="T55" si="95">E55*M55*O55*Q55/100000000</f>
        <v>35.549559162000001</v>
      </c>
      <c r="U55" s="36">
        <f t="shared" ref="U55" si="96">E55*M55*O55*(Q55-R55-S55)/100000000</f>
        <v>34.182268424999997</v>
      </c>
      <c r="V55" s="36">
        <f t="shared" ref="V55" si="97">E55*G55*(1-N55)*O55/100*(R55+S55)/1000000</f>
        <v>1.5431783225431448</v>
      </c>
      <c r="W55" s="36">
        <f>+'10'!K14/1000</f>
        <v>25.492999999999999</v>
      </c>
      <c r="X55" s="37"/>
      <c r="Y55" s="210"/>
      <c r="Z55" s="36">
        <f>+'10'!D16/1000</f>
        <v>0.60199999999999998</v>
      </c>
      <c r="AA55" s="36"/>
      <c r="AB55" s="36"/>
      <c r="AC55" s="36">
        <f>K55-T55</f>
        <v>4.5730772241217608</v>
      </c>
      <c r="AD55" s="36">
        <f>+AM55+BA55</f>
        <v>0</v>
      </c>
      <c r="AE55" s="229" t="s">
        <v>412</v>
      </c>
      <c r="AF55" s="36"/>
      <c r="AG55" s="36">
        <v>0</v>
      </c>
      <c r="AH55" s="36"/>
      <c r="AI55" s="502"/>
      <c r="AJ55" s="36"/>
      <c r="AK55" s="36"/>
      <c r="AL55" s="36"/>
      <c r="AM55" s="36">
        <f t="shared" si="89"/>
        <v>0</v>
      </c>
      <c r="AN55" s="82"/>
      <c r="AO55" s="36"/>
      <c r="AP55" s="36"/>
      <c r="AQ55" s="36"/>
      <c r="AR55" s="36">
        <f t="shared" ref="AR55:AR57" si="98">SUM(AN55:AQ55)</f>
        <v>0</v>
      </c>
      <c r="AS55" s="36"/>
      <c r="AT55" s="36"/>
      <c r="AU55" s="36"/>
      <c r="AV55" s="36"/>
      <c r="AW55" s="36"/>
      <c r="AX55" s="36"/>
      <c r="AY55" s="36"/>
      <c r="AZ55" s="36"/>
      <c r="BA55" s="36">
        <f>+AR55+AS55+AU55+AW55+AY55+AZ55</f>
        <v>0</v>
      </c>
      <c r="BB55" s="49"/>
      <c r="BC55" s="50">
        <v>0</v>
      </c>
      <c r="BD55" s="50"/>
      <c r="BE55" s="49"/>
      <c r="BF55" s="50"/>
    </row>
    <row r="56" spans="1:58" ht="12.95" customHeight="1">
      <c r="A56" s="39"/>
      <c r="B56" s="40"/>
      <c r="C56" s="414"/>
      <c r="D56" s="40"/>
      <c r="E56" s="41"/>
      <c r="F56" s="41"/>
      <c r="G56" s="42"/>
      <c r="H56" s="43"/>
      <c r="I56" s="44"/>
      <c r="J56" s="81"/>
      <c r="K56" s="81"/>
      <c r="L56" s="34"/>
      <c r="M56" s="34"/>
      <c r="N56" s="45"/>
      <c r="O56" s="46"/>
      <c r="P56" s="47"/>
      <c r="Q56" s="46"/>
      <c r="R56" s="500"/>
      <c r="S56" s="500"/>
      <c r="T56" s="36"/>
      <c r="U56" s="36"/>
      <c r="V56" s="36"/>
      <c r="W56" s="36"/>
      <c r="X56" s="37"/>
      <c r="Y56" s="210"/>
      <c r="Z56" s="36"/>
      <c r="AA56" s="36"/>
      <c r="AB56" s="36"/>
      <c r="AC56" s="36"/>
      <c r="AD56" s="36">
        <f>+AM56+BA56</f>
        <v>59</v>
      </c>
      <c r="AE56" s="229" t="s">
        <v>532</v>
      </c>
      <c r="AF56" s="32"/>
      <c r="AG56" s="32"/>
      <c r="AH56" s="32">
        <v>59</v>
      </c>
      <c r="AJ56" s="36"/>
      <c r="AK56" s="36"/>
      <c r="AL56" s="36"/>
      <c r="AM56" s="36">
        <f t="shared" si="89"/>
        <v>59</v>
      </c>
      <c r="AN56" s="36"/>
      <c r="AO56" s="36"/>
      <c r="AP56" s="36"/>
      <c r="AQ56" s="36"/>
      <c r="AR56" s="36">
        <f t="shared" si="98"/>
        <v>0</v>
      </c>
      <c r="AS56" s="36"/>
      <c r="AT56" s="36"/>
      <c r="AU56" s="36"/>
      <c r="AV56" s="36"/>
      <c r="AW56" s="36"/>
      <c r="AX56" s="36"/>
      <c r="AY56" s="36"/>
      <c r="AZ56" s="36"/>
      <c r="BA56" s="36">
        <f>+AR56+AS56+AU56+AW56+AY56+AZ56</f>
        <v>0</v>
      </c>
      <c r="BB56" s="32"/>
      <c r="BC56" s="503"/>
      <c r="BD56" s="503"/>
      <c r="BE56" s="32"/>
      <c r="BF56" s="503"/>
    </row>
    <row r="57" spans="1:58" ht="12.95" customHeight="1">
      <c r="A57" s="39"/>
      <c r="B57" s="40"/>
      <c r="C57" s="414"/>
      <c r="D57" s="40"/>
      <c r="E57" s="41"/>
      <c r="F57" s="41"/>
      <c r="G57" s="42"/>
      <c r="H57" s="43"/>
      <c r="I57" s="44"/>
      <c r="J57" s="81"/>
      <c r="K57" s="81"/>
      <c r="L57" s="34"/>
      <c r="M57" s="34"/>
      <c r="N57" s="45"/>
      <c r="O57" s="46"/>
      <c r="P57" s="47"/>
      <c r="Q57" s="33"/>
      <c r="R57" s="500"/>
      <c r="S57" s="500"/>
      <c r="T57" s="36"/>
      <c r="U57" s="36"/>
      <c r="V57" s="36"/>
      <c r="W57" s="36"/>
      <c r="X57" s="37"/>
      <c r="Y57" s="210"/>
      <c r="Z57" s="36"/>
      <c r="AA57" s="36"/>
      <c r="AB57" s="36"/>
      <c r="AC57" s="36"/>
      <c r="AD57" s="36">
        <f>+AM57+BA57</f>
        <v>0</v>
      </c>
      <c r="AE57" s="232" t="s">
        <v>378</v>
      </c>
      <c r="AF57" s="36"/>
      <c r="AG57" s="36"/>
      <c r="AH57" s="36"/>
      <c r="AI57" s="502">
        <v>0</v>
      </c>
      <c r="AJ57" s="36"/>
      <c r="AK57" s="36"/>
      <c r="AL57" s="36"/>
      <c r="AM57" s="36">
        <f t="shared" si="89"/>
        <v>0</v>
      </c>
      <c r="AN57" s="36"/>
      <c r="AO57" s="36"/>
      <c r="AP57" s="36"/>
      <c r="AQ57" s="36"/>
      <c r="AR57" s="36">
        <f t="shared" si="98"/>
        <v>0</v>
      </c>
      <c r="AS57" s="36"/>
      <c r="AT57" s="36"/>
      <c r="AU57" s="36"/>
      <c r="AV57" s="36"/>
      <c r="AW57" s="36"/>
      <c r="AX57" s="36"/>
      <c r="AY57" s="36"/>
      <c r="AZ57" s="36"/>
      <c r="BA57" s="36">
        <f>+AR57+AS57+AU57+AW57+AY57+AZ57</f>
        <v>0</v>
      </c>
      <c r="BB57" s="49"/>
      <c r="BC57" s="50"/>
      <c r="BD57" s="50"/>
      <c r="BE57" s="49"/>
      <c r="BF57" s="50"/>
    </row>
    <row r="58" spans="1:58" ht="12.95" customHeight="1">
      <c r="A58" s="39"/>
      <c r="B58" s="40"/>
      <c r="C58" s="414"/>
      <c r="D58" s="40"/>
      <c r="E58" s="41"/>
      <c r="F58" s="41"/>
      <c r="G58" s="42"/>
      <c r="H58" s="43"/>
      <c r="I58" s="44"/>
      <c r="J58" s="81"/>
      <c r="K58" s="81"/>
      <c r="L58" s="34"/>
      <c r="M58" s="34"/>
      <c r="N58" s="45"/>
      <c r="O58" s="46"/>
      <c r="P58" s="47"/>
      <c r="Q58" s="46"/>
      <c r="R58" s="500"/>
      <c r="S58" s="500"/>
      <c r="T58" s="36"/>
      <c r="U58" s="36"/>
      <c r="V58" s="36"/>
      <c r="W58" s="36"/>
      <c r="X58" s="37"/>
      <c r="Y58" s="210"/>
      <c r="Z58" s="36"/>
      <c r="AA58" s="36"/>
      <c r="AB58" s="36"/>
      <c r="AC58" s="36"/>
      <c r="AD58" s="36"/>
      <c r="AE58" s="229"/>
      <c r="AF58" s="32"/>
      <c r="AG58" s="32"/>
      <c r="AH58" s="32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2"/>
      <c r="BC58" s="503"/>
      <c r="BD58" s="503"/>
      <c r="BE58" s="32"/>
      <c r="BF58" s="503"/>
    </row>
    <row r="59" spans="1:58" ht="12.75" customHeight="1">
      <c r="A59" s="39">
        <v>46123</v>
      </c>
      <c r="B59" s="40" t="s">
        <v>513</v>
      </c>
      <c r="C59" s="414">
        <f t="shared" ref="C59" si="99">(M59*E59*O59*Q59)/100000000</f>
        <v>41.669005949999999</v>
      </c>
      <c r="D59" s="40" t="s">
        <v>302</v>
      </c>
      <c r="E59" s="41">
        <v>13</v>
      </c>
      <c r="F59" s="41">
        <v>1</v>
      </c>
      <c r="G59" s="499">
        <v>1230</v>
      </c>
      <c r="H59" s="43">
        <f>+N59</f>
        <v>0.25</v>
      </c>
      <c r="I59" s="44">
        <v>0.88</v>
      </c>
      <c r="J59" s="81">
        <f t="shared" ref="J59" si="100">E59*G59*(1-H59)*1440/1000000*2.74</f>
        <v>47.317608000000007</v>
      </c>
      <c r="K59" s="81">
        <f t="shared" ref="K59" si="101">(IF(G59&lt;L59,L59,G59)*(1-IF(H59&lt;N59,H59,N59))*E59*O59*Q59)/100000000</f>
        <v>44.554535999999999</v>
      </c>
      <c r="L59" s="34">
        <v>1150.3402777777778</v>
      </c>
      <c r="M59" s="34">
        <v>862.75520833333337</v>
      </c>
      <c r="N59" s="45">
        <f t="shared" ref="N59" si="102">1-(M59/L59)</f>
        <v>0.25</v>
      </c>
      <c r="O59" s="46">
        <f>+'Trim Rwd'!H33</f>
        <v>258</v>
      </c>
      <c r="P59" s="47">
        <f t="shared" ref="P59" si="103">O59*(Q59-R59-S59)</f>
        <v>351138</v>
      </c>
      <c r="Q59" s="46">
        <v>1440</v>
      </c>
      <c r="R59" s="500">
        <v>0</v>
      </c>
      <c r="S59" s="500">
        <v>79</v>
      </c>
      <c r="T59" s="36">
        <f t="shared" ref="T59" si="104">E59*M59*O59*Q59/100000000</f>
        <v>41.669005949999999</v>
      </c>
      <c r="U59" s="36">
        <f t="shared" ref="U59" si="105">E59*M59*O59*(Q59-R59-S59)/100000000</f>
        <v>39.382997984687499</v>
      </c>
      <c r="V59" s="36">
        <f t="shared" ref="V59" si="106">E59*G59*(1-N59)*O59/100*(R59+S59)/1000000</f>
        <v>2.44431135</v>
      </c>
      <c r="W59" s="36">
        <f>+'11'!K34/1000</f>
        <v>39.326999999999998</v>
      </c>
      <c r="X59" s="501">
        <f>SUM(W59:W63)/SUM(K59:K63)</f>
        <v>0.88267107079737062</v>
      </c>
      <c r="Y59" s="210">
        <v>0</v>
      </c>
      <c r="Z59" s="36">
        <v>0</v>
      </c>
      <c r="AA59" s="48">
        <f>SUM(U59:U63)-SUM(W59:W63)-SUM(Z59:Z63)-SUM(Y59:Y63)</f>
        <v>5.5997984687500946E-2</v>
      </c>
      <c r="AB59" s="48">
        <f>(SUM(K59:K63)-SUM(W59:W63)-SUM(Y59:Y63)-SUM(Z59:Z63)-SUM(AC59:AC63)-SUM(V59:V63))-AA59</f>
        <v>-0.15830338468750016</v>
      </c>
      <c r="AC59" s="36">
        <f>K59-T59</f>
        <v>2.8855300499999998</v>
      </c>
      <c r="AD59" s="36">
        <f>+AM59+BA59</f>
        <v>60</v>
      </c>
      <c r="AE59" s="229" t="s">
        <v>553</v>
      </c>
      <c r="AF59" s="36">
        <v>60</v>
      </c>
      <c r="AG59" s="36"/>
      <c r="AH59" s="36"/>
      <c r="AI59" s="502"/>
      <c r="AJ59" s="36"/>
      <c r="AK59" s="36"/>
      <c r="AL59" s="36"/>
      <c r="AM59" s="36">
        <f t="shared" ref="AM59:AM62" si="107">SUM(AF59:AL59)+AT59+AV59+AX59</f>
        <v>60</v>
      </c>
      <c r="AN59" s="36"/>
      <c r="AO59" s="36"/>
      <c r="AP59" s="36"/>
      <c r="AQ59" s="36"/>
      <c r="AR59" s="36">
        <f>SUM(AN59:AQ59)</f>
        <v>0</v>
      </c>
      <c r="AS59" s="36"/>
      <c r="AT59" s="36"/>
      <c r="AU59" s="36"/>
      <c r="AV59" s="36"/>
      <c r="AW59" s="36"/>
      <c r="AX59" s="36"/>
      <c r="AY59" s="36"/>
      <c r="AZ59" s="36"/>
      <c r="BA59" s="36">
        <f>+AR59+AS59+AU59+AW59+AY59+AZ59</f>
        <v>0</v>
      </c>
      <c r="BB59" s="32">
        <v>12</v>
      </c>
      <c r="BC59" s="50"/>
      <c r="BD59" s="50"/>
      <c r="BE59" s="32"/>
      <c r="BF59" s="50"/>
    </row>
    <row r="60" spans="1:58" ht="12.95" customHeight="1">
      <c r="A60" s="39"/>
      <c r="B60" s="40"/>
      <c r="C60" s="414"/>
      <c r="D60" s="40"/>
      <c r="E60" s="41"/>
      <c r="F60" s="41"/>
      <c r="G60" s="499"/>
      <c r="H60" s="43"/>
      <c r="I60" s="44"/>
      <c r="J60" s="81"/>
      <c r="K60" s="81"/>
      <c r="L60" s="34"/>
      <c r="M60" s="34"/>
      <c r="N60" s="45"/>
      <c r="O60" s="46"/>
      <c r="P60" s="47"/>
      <c r="Q60" s="46"/>
      <c r="R60" s="500"/>
      <c r="S60" s="500"/>
      <c r="T60" s="36"/>
      <c r="U60" s="36"/>
      <c r="V60" s="36"/>
      <c r="W60" s="36"/>
      <c r="X60" s="37"/>
      <c r="Y60" s="210"/>
      <c r="Z60" s="36"/>
      <c r="AA60" s="36"/>
      <c r="AB60" s="36"/>
      <c r="AC60" s="36"/>
      <c r="AD60" s="36">
        <f>+AM60+BA60</f>
        <v>4</v>
      </c>
      <c r="AE60" s="229" t="s">
        <v>480</v>
      </c>
      <c r="AF60" s="36"/>
      <c r="AG60" s="36">
        <v>4</v>
      </c>
      <c r="AH60" s="36"/>
      <c r="AI60" s="502"/>
      <c r="AJ60" s="36"/>
      <c r="AK60" s="36"/>
      <c r="AL60" s="36"/>
      <c r="AM60" s="36">
        <f t="shared" si="107"/>
        <v>4</v>
      </c>
      <c r="AN60" s="82"/>
      <c r="AO60" s="36"/>
      <c r="AP60" s="36"/>
      <c r="AQ60" s="36"/>
      <c r="AR60" s="36">
        <f t="shared" ref="AR60:AR62" si="108"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>
        <f>+AR60+AS60+AU60+AW60+AY60+AZ60</f>
        <v>0</v>
      </c>
      <c r="BB60" s="49"/>
      <c r="BC60" s="50">
        <v>2</v>
      </c>
      <c r="BD60" s="50"/>
      <c r="BE60" s="49"/>
      <c r="BF60" s="50"/>
    </row>
    <row r="61" spans="1:58" ht="12.95" customHeight="1">
      <c r="A61" s="39"/>
      <c r="B61" s="40"/>
      <c r="C61" s="414"/>
      <c r="D61" s="40"/>
      <c r="E61" s="41"/>
      <c r="F61" s="41"/>
      <c r="G61" s="42"/>
      <c r="H61" s="43"/>
      <c r="I61" s="44"/>
      <c r="J61" s="81"/>
      <c r="K61" s="81"/>
      <c r="L61" s="34"/>
      <c r="M61" s="34"/>
      <c r="N61" s="45"/>
      <c r="O61" s="46"/>
      <c r="P61" s="47"/>
      <c r="Q61" s="46"/>
      <c r="R61" s="500"/>
      <c r="S61" s="500"/>
      <c r="T61" s="36"/>
      <c r="U61" s="36"/>
      <c r="V61" s="36"/>
      <c r="W61" s="36"/>
      <c r="X61" s="37"/>
      <c r="Y61" s="210"/>
      <c r="Z61" s="36"/>
      <c r="AA61" s="36"/>
      <c r="AB61" s="36"/>
      <c r="AC61" s="36"/>
      <c r="AD61" s="36">
        <f>+AM61+BA61</f>
        <v>15</v>
      </c>
      <c r="AE61" s="229" t="s">
        <v>552</v>
      </c>
      <c r="AF61" s="32"/>
      <c r="AG61" s="32"/>
      <c r="AH61" s="32">
        <v>15</v>
      </c>
      <c r="AJ61" s="36"/>
      <c r="AK61" s="36"/>
      <c r="AL61" s="36"/>
      <c r="AM61" s="36">
        <f t="shared" si="107"/>
        <v>15</v>
      </c>
      <c r="AN61" s="36"/>
      <c r="AO61" s="36"/>
      <c r="AP61" s="36"/>
      <c r="AQ61" s="36"/>
      <c r="AR61" s="36">
        <f t="shared" si="108"/>
        <v>0</v>
      </c>
      <c r="AS61" s="36"/>
      <c r="AT61" s="36"/>
      <c r="AU61" s="36"/>
      <c r="AV61" s="36"/>
      <c r="AW61" s="36"/>
      <c r="AX61" s="36"/>
      <c r="AY61" s="36"/>
      <c r="AZ61" s="36"/>
      <c r="BA61" s="36">
        <f>+AR61+AS61+AU61+AW61+AY61+AZ61</f>
        <v>0</v>
      </c>
      <c r="BB61" s="32"/>
      <c r="BC61" s="503"/>
      <c r="BD61" s="503"/>
      <c r="BE61" s="32"/>
      <c r="BF61" s="503"/>
    </row>
    <row r="62" spans="1:58" ht="12.95" customHeight="1">
      <c r="A62" s="39"/>
      <c r="B62" s="40"/>
      <c r="C62" s="414"/>
      <c r="D62" s="40"/>
      <c r="E62" s="41"/>
      <c r="F62" s="41"/>
      <c r="G62" s="42"/>
      <c r="H62" s="43"/>
      <c r="I62" s="44"/>
      <c r="J62" s="81"/>
      <c r="K62" s="81"/>
      <c r="L62" s="34"/>
      <c r="M62" s="34"/>
      <c r="N62" s="45"/>
      <c r="O62" s="46"/>
      <c r="P62" s="47"/>
      <c r="Q62" s="33"/>
      <c r="R62" s="500"/>
      <c r="S62" s="500"/>
      <c r="T62" s="36"/>
      <c r="U62" s="36"/>
      <c r="V62" s="36"/>
      <c r="W62" s="36"/>
      <c r="X62" s="37"/>
      <c r="Y62" s="210"/>
      <c r="Z62" s="36"/>
      <c r="AA62" s="36"/>
      <c r="AB62" s="36"/>
      <c r="AC62" s="36"/>
      <c r="AD62" s="36">
        <f>+AM62+BA62</f>
        <v>0</v>
      </c>
      <c r="AE62" s="232" t="s">
        <v>378</v>
      </c>
      <c r="AF62" s="36"/>
      <c r="AG62" s="36"/>
      <c r="AH62" s="36"/>
      <c r="AI62" s="502">
        <v>0</v>
      </c>
      <c r="AJ62" s="36"/>
      <c r="AK62" s="36"/>
      <c r="AL62" s="36"/>
      <c r="AM62" s="36">
        <f t="shared" si="107"/>
        <v>0</v>
      </c>
      <c r="AN62" s="36"/>
      <c r="AO62" s="36"/>
      <c r="AP62" s="36"/>
      <c r="AQ62" s="36"/>
      <c r="AR62" s="36">
        <f t="shared" si="108"/>
        <v>0</v>
      </c>
      <c r="AS62" s="36"/>
      <c r="AT62" s="36"/>
      <c r="AU62" s="36"/>
      <c r="AV62" s="36"/>
      <c r="AW62" s="36"/>
      <c r="AX62" s="36"/>
      <c r="AY62" s="36"/>
      <c r="AZ62" s="36"/>
      <c r="BA62" s="36">
        <f>+AR62+AS62+AU62+AW62+AY62+AZ62</f>
        <v>0</v>
      </c>
      <c r="BB62" s="49"/>
      <c r="BC62" s="50"/>
      <c r="BD62" s="50"/>
      <c r="BE62" s="49"/>
      <c r="BF62" s="50"/>
    </row>
    <row r="63" spans="1:58" ht="12.95" customHeight="1">
      <c r="A63" s="39"/>
      <c r="B63" s="40"/>
      <c r="C63" s="414"/>
      <c r="D63" s="40"/>
      <c r="E63" s="41"/>
      <c r="F63" s="41"/>
      <c r="G63" s="42"/>
      <c r="H63" s="43"/>
      <c r="I63" s="44"/>
      <c r="J63" s="81"/>
      <c r="K63" s="81"/>
      <c r="L63" s="34"/>
      <c r="M63" s="34"/>
      <c r="N63" s="45"/>
      <c r="O63" s="46"/>
      <c r="P63" s="47"/>
      <c r="Q63" s="46"/>
      <c r="R63" s="500"/>
      <c r="S63" s="500"/>
      <c r="T63" s="36"/>
      <c r="U63" s="36"/>
      <c r="V63" s="36"/>
      <c r="W63" s="36"/>
      <c r="X63" s="37"/>
      <c r="Y63" s="210"/>
      <c r="Z63" s="36"/>
      <c r="AA63" s="36"/>
      <c r="AB63" s="36"/>
      <c r="AC63" s="36"/>
      <c r="AD63" s="36"/>
      <c r="AE63" s="229"/>
      <c r="AF63" s="32"/>
      <c r="AG63" s="32"/>
      <c r="AH63" s="32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2"/>
      <c r="BC63" s="503"/>
      <c r="BD63" s="50"/>
      <c r="BE63" s="32"/>
      <c r="BF63" s="50"/>
    </row>
    <row r="64" spans="1:58" ht="12.75" customHeight="1">
      <c r="A64" s="39">
        <v>46124</v>
      </c>
      <c r="B64" s="40" t="s">
        <v>513</v>
      </c>
      <c r="C64" s="414">
        <f t="shared" ref="C64" si="109">(M64*E64*O64*Q64)/100000000</f>
        <v>41.777424000000003</v>
      </c>
      <c r="D64" s="40" t="s">
        <v>302</v>
      </c>
      <c r="E64" s="41">
        <v>13</v>
      </c>
      <c r="F64" s="41">
        <v>1</v>
      </c>
      <c r="G64" s="499">
        <v>1230</v>
      </c>
      <c r="H64" s="43">
        <f>+N64</f>
        <v>0.25</v>
      </c>
      <c r="I64" s="44">
        <v>0.88</v>
      </c>
      <c r="J64" s="81">
        <f t="shared" ref="J64" si="110">E64*G64*(1-H64)*1440/1000000*2.74</f>
        <v>47.317608000000007</v>
      </c>
      <c r="K64" s="81">
        <f t="shared" ref="K64" si="111">(IF(G64&lt;L64,L64,G64)*(1-IF(H64&lt;N64,H64,N64))*E64*O64*Q64)/100000000</f>
        <v>44.554535999999999</v>
      </c>
      <c r="L64" s="34">
        <v>1153.3333333333333</v>
      </c>
      <c r="M64" s="34">
        <v>865</v>
      </c>
      <c r="N64" s="45">
        <f t="shared" ref="N64" si="112">1-(M64/L64)</f>
        <v>0.25</v>
      </c>
      <c r="O64" s="46">
        <f>+'Trim Rwd'!H35</f>
        <v>258</v>
      </c>
      <c r="P64" s="47">
        <f t="shared" ref="P64" si="113">O64*(Q64-R64-S64)</f>
        <v>353718</v>
      </c>
      <c r="Q64" s="46">
        <v>1440</v>
      </c>
      <c r="R64" s="500">
        <v>0</v>
      </c>
      <c r="S64" s="500">
        <v>69</v>
      </c>
      <c r="T64" s="36">
        <f t="shared" ref="T64" si="114">E64*M64*O64*Q64/100000000</f>
        <v>41.777424000000003</v>
      </c>
      <c r="U64" s="36">
        <f t="shared" ref="U64" si="115">E64*M64*O64*(Q64-R64-S64)/100000000</f>
        <v>39.775589099999998</v>
      </c>
      <c r="V64" s="36">
        <f t="shared" ref="V64" si="116">E64*G64*(1-N64)*O64/100*(R64+S64)/1000000</f>
        <v>2.1349048500000003</v>
      </c>
      <c r="W64" s="36">
        <f>+'12'!K34/1000</f>
        <v>35.430999999999997</v>
      </c>
      <c r="X64" s="501">
        <f>SUM(W64:W68)/SUM(K64:K68)</f>
        <v>0.79522767333947764</v>
      </c>
      <c r="Y64" s="210">
        <v>0</v>
      </c>
      <c r="Z64" s="36">
        <v>0</v>
      </c>
      <c r="AA64" s="48">
        <f>SUM(U64:U68)-SUM(W64:W68)-SUM(Z64:Z68)-SUM(Y64:Y68)</f>
        <v>4.3445891000000003</v>
      </c>
      <c r="AB64" s="48">
        <f>(SUM(K64:K68)-SUM(W64:W68)-SUM(Y64:Y68)-SUM(Z64:Z68)-SUM(AC64:AC68)-SUM(V64:V68))-AA64</f>
        <v>-0.13306994999999411</v>
      </c>
      <c r="AC64" s="36">
        <f>K64-T64</f>
        <v>2.7771119999999954</v>
      </c>
      <c r="AD64" s="36">
        <f>+AM64+BA64</f>
        <v>25</v>
      </c>
      <c r="AE64" s="229" t="s">
        <v>494</v>
      </c>
      <c r="AF64" s="36">
        <v>25</v>
      </c>
      <c r="AG64" s="36"/>
      <c r="AH64" s="36"/>
      <c r="AI64" s="502"/>
      <c r="AJ64" s="36"/>
      <c r="AK64" s="36"/>
      <c r="AL64" s="36"/>
      <c r="AM64" s="36">
        <f t="shared" ref="AM64:AM67" si="117">SUM(AF64:AL64)+AT64+AV64+AX64</f>
        <v>25</v>
      </c>
      <c r="AN64" s="36"/>
      <c r="AO64" s="36"/>
      <c r="AP64" s="36"/>
      <c r="AQ64" s="36"/>
      <c r="AR64" s="36">
        <f>SUM(AN64:AQ64)</f>
        <v>0</v>
      </c>
      <c r="AS64" s="36"/>
      <c r="AT64" s="36"/>
      <c r="AU64" s="36"/>
      <c r="AV64" s="36"/>
      <c r="AW64" s="36"/>
      <c r="AX64" s="36"/>
      <c r="AY64" s="36"/>
      <c r="AZ64" s="36"/>
      <c r="BA64" s="36">
        <f>+AR64+AS64+AU64+AW64+AY64+AZ64</f>
        <v>0</v>
      </c>
      <c r="BB64" s="32">
        <v>5</v>
      </c>
      <c r="BC64" s="50"/>
      <c r="BD64" s="50"/>
      <c r="BE64" s="32"/>
      <c r="BF64" s="50"/>
    </row>
    <row r="65" spans="1:58" ht="12.95" customHeight="1">
      <c r="A65" s="39"/>
      <c r="B65" s="40"/>
      <c r="C65" s="414"/>
      <c r="D65" s="40"/>
      <c r="E65" s="41"/>
      <c r="F65" s="41"/>
      <c r="G65" s="499"/>
      <c r="H65" s="43"/>
      <c r="I65" s="44"/>
      <c r="J65" s="81"/>
      <c r="K65" s="81"/>
      <c r="L65" s="34"/>
      <c r="M65" s="34"/>
      <c r="N65" s="45"/>
      <c r="O65" s="46"/>
      <c r="P65" s="47"/>
      <c r="Q65" s="46"/>
      <c r="R65" s="500"/>
      <c r="S65" s="500"/>
      <c r="T65" s="36"/>
      <c r="U65" s="36"/>
      <c r="V65" s="36"/>
      <c r="W65" s="36"/>
      <c r="X65" s="37"/>
      <c r="Y65" s="210"/>
      <c r="Z65" s="36"/>
      <c r="AA65" s="36"/>
      <c r="AB65" s="36"/>
      <c r="AC65" s="36"/>
      <c r="AD65" s="36">
        <f>+AM65+BA65</f>
        <v>0</v>
      </c>
      <c r="AE65" s="229" t="s">
        <v>412</v>
      </c>
      <c r="AF65" s="36"/>
      <c r="AG65" s="36">
        <v>0</v>
      </c>
      <c r="AH65" s="36"/>
      <c r="AI65" s="502"/>
      <c r="AJ65" s="36"/>
      <c r="AK65" s="36"/>
      <c r="AL65" s="36"/>
      <c r="AM65" s="36">
        <f t="shared" si="117"/>
        <v>0</v>
      </c>
      <c r="AN65" s="82"/>
      <c r="AO65" s="36"/>
      <c r="AP65" s="36"/>
      <c r="AQ65" s="36"/>
      <c r="AR65" s="36">
        <f t="shared" ref="AR65:AR67" si="118">SUM(AN65:AQ65)</f>
        <v>0</v>
      </c>
      <c r="AS65" s="36"/>
      <c r="AT65" s="36"/>
      <c r="AU65" s="36"/>
      <c r="AV65" s="36"/>
      <c r="AW65" s="36"/>
      <c r="AX65" s="36"/>
      <c r="AY65" s="36"/>
      <c r="AZ65" s="36"/>
      <c r="BA65" s="36">
        <f>+AR65+AS65+AU65+AW65+AY65+AZ65</f>
        <v>0</v>
      </c>
      <c r="BB65" s="49"/>
      <c r="BC65" s="50">
        <v>0</v>
      </c>
      <c r="BD65" s="50"/>
      <c r="BE65" s="49"/>
      <c r="BF65" s="50"/>
    </row>
    <row r="66" spans="1:58" ht="12.95" customHeight="1">
      <c r="A66" s="39"/>
      <c r="B66" s="40"/>
      <c r="C66" s="414"/>
      <c r="D66" s="40"/>
      <c r="E66" s="41"/>
      <c r="F66" s="41"/>
      <c r="G66" s="42"/>
      <c r="H66" s="43"/>
      <c r="I66" s="44"/>
      <c r="J66" s="81"/>
      <c r="K66" s="81"/>
      <c r="L66" s="34"/>
      <c r="M66" s="34"/>
      <c r="N66" s="45"/>
      <c r="O66" s="46"/>
      <c r="P66" s="47"/>
      <c r="Q66" s="46"/>
      <c r="R66" s="500"/>
      <c r="S66" s="500"/>
      <c r="T66" s="36"/>
      <c r="U66" s="36"/>
      <c r="V66" s="36"/>
      <c r="W66" s="36"/>
      <c r="X66" s="37"/>
      <c r="Y66" s="210"/>
      <c r="Z66" s="36"/>
      <c r="AA66" s="36"/>
      <c r="AB66" s="36"/>
      <c r="AC66" s="36"/>
      <c r="AD66" s="36">
        <f>+AM66+BA66</f>
        <v>29</v>
      </c>
      <c r="AE66" s="229" t="s">
        <v>388</v>
      </c>
      <c r="AF66" s="32"/>
      <c r="AG66" s="32"/>
      <c r="AH66" s="32">
        <v>29</v>
      </c>
      <c r="AJ66" s="36"/>
      <c r="AK66" s="36"/>
      <c r="AL66" s="36"/>
      <c r="AM66" s="36">
        <f t="shared" si="117"/>
        <v>29</v>
      </c>
      <c r="AN66" s="36"/>
      <c r="AO66" s="36"/>
      <c r="AP66" s="36"/>
      <c r="AQ66" s="36"/>
      <c r="AR66" s="36">
        <f t="shared" si="118"/>
        <v>0</v>
      </c>
      <c r="AS66" s="36"/>
      <c r="AT66" s="36"/>
      <c r="AU66" s="36"/>
      <c r="AV66" s="36"/>
      <c r="AW66" s="36"/>
      <c r="AX66" s="36"/>
      <c r="AY66" s="36"/>
      <c r="AZ66" s="36"/>
      <c r="BA66" s="36">
        <f>+AR66+AS66+AU66+AW66+AY66+AZ66</f>
        <v>0</v>
      </c>
      <c r="BB66" s="32"/>
      <c r="BC66" s="503"/>
      <c r="BD66" s="503"/>
      <c r="BE66" s="32"/>
      <c r="BF66" s="503"/>
    </row>
    <row r="67" spans="1:58" ht="12.95" customHeight="1">
      <c r="A67" s="39"/>
      <c r="B67" s="40"/>
      <c r="C67" s="414"/>
      <c r="D67" s="40"/>
      <c r="E67" s="41"/>
      <c r="F67" s="41"/>
      <c r="G67" s="42"/>
      <c r="H67" s="43"/>
      <c r="I67" s="44"/>
      <c r="J67" s="81"/>
      <c r="K67" s="81"/>
      <c r="L67" s="34"/>
      <c r="M67" s="34"/>
      <c r="N67" s="45"/>
      <c r="O67" s="46"/>
      <c r="P67" s="47"/>
      <c r="Q67" s="33"/>
      <c r="R67" s="500"/>
      <c r="S67" s="500"/>
      <c r="T67" s="36"/>
      <c r="U67" s="36"/>
      <c r="V67" s="36"/>
      <c r="W67" s="36"/>
      <c r="X67" s="37"/>
      <c r="Y67" s="210"/>
      <c r="Z67" s="36"/>
      <c r="AA67" s="36"/>
      <c r="AB67" s="36"/>
      <c r="AC67" s="36"/>
      <c r="AD67" s="36">
        <f>+AM67+BA67</f>
        <v>15</v>
      </c>
      <c r="AE67" s="232" t="s">
        <v>378</v>
      </c>
      <c r="AF67" s="36"/>
      <c r="AG67" s="36"/>
      <c r="AH67" s="36"/>
      <c r="AI67" s="502">
        <v>15</v>
      </c>
      <c r="AJ67" s="36"/>
      <c r="AK67" s="36"/>
      <c r="AL67" s="36"/>
      <c r="AM67" s="36">
        <f t="shared" si="117"/>
        <v>15</v>
      </c>
      <c r="AN67" s="36"/>
      <c r="AO67" s="36"/>
      <c r="AP67" s="36"/>
      <c r="AQ67" s="36"/>
      <c r="AR67" s="36">
        <f t="shared" si="118"/>
        <v>0</v>
      </c>
      <c r="AS67" s="36"/>
      <c r="AT67" s="36"/>
      <c r="AU67" s="36"/>
      <c r="AV67" s="36"/>
      <c r="AW67" s="36"/>
      <c r="AX67" s="36"/>
      <c r="AY67" s="36"/>
      <c r="AZ67" s="36"/>
      <c r="BA67" s="36">
        <f>+AR67+AS67+AU67+AW67+AY67+AZ67</f>
        <v>0</v>
      </c>
      <c r="BB67" s="49"/>
      <c r="BC67" s="50"/>
      <c r="BD67" s="50"/>
      <c r="BE67" s="49"/>
      <c r="BF67" s="50"/>
    </row>
    <row r="68" spans="1:58" ht="12.95" customHeight="1">
      <c r="A68" s="39"/>
      <c r="B68" s="40"/>
      <c r="C68" s="414"/>
      <c r="D68" s="40"/>
      <c r="E68" s="41"/>
      <c r="F68" s="41"/>
      <c r="G68" s="499"/>
      <c r="H68" s="43"/>
      <c r="I68" s="44"/>
      <c r="J68" s="81"/>
      <c r="K68" s="81"/>
      <c r="L68" s="34"/>
      <c r="M68" s="34"/>
      <c r="N68" s="45"/>
      <c r="O68" s="46"/>
      <c r="P68" s="47"/>
      <c r="Q68" s="46"/>
      <c r="R68" s="500"/>
      <c r="S68" s="500"/>
      <c r="T68" s="36"/>
      <c r="U68" s="36"/>
      <c r="V68" s="36"/>
      <c r="W68" s="36"/>
      <c r="X68" s="37"/>
      <c r="Y68" s="210"/>
      <c r="Z68" s="36"/>
      <c r="AA68" s="36"/>
      <c r="AB68" s="36"/>
      <c r="AC68" s="36"/>
      <c r="AD68" s="36"/>
      <c r="AE68" s="229"/>
      <c r="AF68" s="36"/>
      <c r="AG68" s="36"/>
      <c r="AH68" s="36"/>
      <c r="AI68" s="502"/>
      <c r="AJ68" s="36"/>
      <c r="AK68" s="36"/>
      <c r="AL68" s="36"/>
      <c r="AM68" s="36"/>
      <c r="AN68" s="82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49"/>
      <c r="BC68" s="50"/>
      <c r="BD68" s="50"/>
      <c r="BE68" s="50"/>
      <c r="BF68" s="50"/>
    </row>
    <row r="69" spans="1:58" ht="12.75" customHeight="1">
      <c r="A69" s="39">
        <v>46125</v>
      </c>
      <c r="B69" s="40" t="s">
        <v>513</v>
      </c>
      <c r="C69" s="414">
        <f t="shared" ref="C69" si="119">(M69*E69*O69*Q69)/100000000</f>
        <v>38.774119543074328</v>
      </c>
      <c r="D69" s="40" t="s">
        <v>302</v>
      </c>
      <c r="E69" s="41">
        <v>13</v>
      </c>
      <c r="F69" s="41">
        <v>1</v>
      </c>
      <c r="G69" s="499">
        <v>1230</v>
      </c>
      <c r="H69" s="43">
        <f>+N69</f>
        <v>0.25</v>
      </c>
      <c r="I69" s="44">
        <v>0.88</v>
      </c>
      <c r="J69" s="81">
        <f t="shared" ref="J69" si="120">E69*G69*(1-H69)*1440/1000000*2.74</f>
        <v>47.317608000000007</v>
      </c>
      <c r="K69" s="81">
        <f t="shared" ref="K69" si="121">(IF(G69&lt;L69,L69,G69)*(1-IF(H69&lt;N69,H69,N69))*E69*O69*Q69)/100000000</f>
        <v>40.686954749999998</v>
      </c>
      <c r="L69" s="34">
        <v>1172.1734234234234</v>
      </c>
      <c r="M69" s="34">
        <v>879.13006756756761</v>
      </c>
      <c r="N69" s="45">
        <f t="shared" ref="N69" si="122">1-(M69/L69)</f>
        <v>0.25</v>
      </c>
      <c r="O69" s="46">
        <f>+'Trim Rwd'!H37</f>
        <v>258</v>
      </c>
      <c r="P69" s="47">
        <f t="shared" ref="P69" si="123">O69*(Q69-R69-S69)</f>
        <v>214656</v>
      </c>
      <c r="Q69" s="46">
        <f>888+427</f>
        <v>1315</v>
      </c>
      <c r="R69" s="500">
        <v>427</v>
      </c>
      <c r="S69" s="500">
        <v>56</v>
      </c>
      <c r="T69" s="36">
        <f t="shared" ref="T69" si="124">E69*M69*O69*Q69/100000000</f>
        <v>38.774119543074328</v>
      </c>
      <c r="U69" s="36">
        <f t="shared" ref="U69" si="125">E69*M69*O69*(Q69-R69-S69)/100000000</f>
        <v>24.532370691891895</v>
      </c>
      <c r="V69" s="36">
        <f t="shared" ref="V69" si="126">E69*G69*(1-N69)*O69/100*(R69+S69)/1000000</f>
        <v>14.944333950000001</v>
      </c>
      <c r="W69" s="36">
        <f>+'13'!K14/1000</f>
        <v>25.204000000000001</v>
      </c>
      <c r="X69" s="501">
        <f>SUM(W69:W73)/SUM(K69:K73)</f>
        <v>0.56789341976200725</v>
      </c>
      <c r="Y69" s="210">
        <v>0</v>
      </c>
      <c r="Z69" s="36">
        <f>+'13'!D16/1000</f>
        <v>0.28999999999999998</v>
      </c>
      <c r="AA69" s="48">
        <f>SUM(U69:U73)-SUM(W69:W73)-SUM(Z69:Z73)-SUM(Y69:Y73)</f>
        <v>2.4986906918918939</v>
      </c>
      <c r="AB69" s="48">
        <f>(SUM(K69:K73)-SUM(W69:W73)-SUM(Y69:Y73)-SUM(Z69:Z73)-SUM(AC69:AC73)-SUM(V69:V73))-AA69</f>
        <v>-0.70618959881756904</v>
      </c>
      <c r="AC69" s="36">
        <f>K69-T69</f>
        <v>1.9128352069256707</v>
      </c>
      <c r="AD69" s="36">
        <f>+AM69+BA69</f>
        <v>12</v>
      </c>
      <c r="AE69" s="229" t="s">
        <v>453</v>
      </c>
      <c r="AF69" s="36">
        <v>12</v>
      </c>
      <c r="AG69" s="36"/>
      <c r="AH69" s="36"/>
      <c r="AI69" s="502"/>
      <c r="AJ69" s="36"/>
      <c r="AK69" s="36"/>
      <c r="AL69" s="36"/>
      <c r="AM69" s="36">
        <f t="shared" ref="AM69:AM73" si="127">SUM(AF69:AL69)+AT69+AV69+AX69</f>
        <v>12</v>
      </c>
      <c r="AN69" s="36"/>
      <c r="AO69" s="36"/>
      <c r="AP69" s="36"/>
      <c r="AQ69" s="36"/>
      <c r="AR69" s="36">
        <f>SUM(AN69:AQ69)</f>
        <v>0</v>
      </c>
      <c r="AS69" s="36"/>
      <c r="AT69" s="36"/>
      <c r="AU69" s="36"/>
      <c r="AV69" s="36"/>
      <c r="AW69" s="36"/>
      <c r="AX69" s="36"/>
      <c r="AY69" s="36"/>
      <c r="AZ69" s="36"/>
      <c r="BA69" s="36">
        <f>+AR69+AS69+AU69+AW69+AY69+AZ69</f>
        <v>0</v>
      </c>
      <c r="BB69" s="32">
        <v>4</v>
      </c>
      <c r="BC69" s="50"/>
      <c r="BD69" s="50"/>
      <c r="BE69" s="32"/>
      <c r="BF69" s="50"/>
    </row>
    <row r="70" spans="1:58" ht="12.95" customHeight="1">
      <c r="A70" s="39"/>
      <c r="B70" s="40" t="s">
        <v>513</v>
      </c>
      <c r="C70" s="414">
        <f t="shared" ref="C70" si="128">(M70*E70*O70*Q70)/100000000</f>
        <v>3.6044999999999998</v>
      </c>
      <c r="D70" s="40" t="s">
        <v>302</v>
      </c>
      <c r="E70" s="41">
        <v>12</v>
      </c>
      <c r="F70" s="41">
        <v>1</v>
      </c>
      <c r="G70" s="499">
        <v>1230</v>
      </c>
      <c r="H70" s="43">
        <f>+N70</f>
        <v>0.25</v>
      </c>
      <c r="I70" s="44">
        <v>0.88</v>
      </c>
      <c r="J70" s="81">
        <f t="shared" ref="J70" si="129">E70*G70*(1-H70)*1440/1000000*2.74</f>
        <v>43.677792000000004</v>
      </c>
      <c r="K70" s="81">
        <f t="shared" ref="K70" si="130">(IF(G70&lt;L70,L70,G70)*(1-IF(H70&lt;N70,H70,N70))*E70*O70*Q70)/100000000</f>
        <v>3.6946124999999999</v>
      </c>
      <c r="L70" s="34">
        <v>1200</v>
      </c>
      <c r="M70" s="34">
        <v>900</v>
      </c>
      <c r="N70" s="45">
        <f t="shared" ref="N70" si="131">1-(M70/L70)</f>
        <v>0.25</v>
      </c>
      <c r="O70" s="46">
        <f>+'Trim Rwd'!H41</f>
        <v>267</v>
      </c>
      <c r="P70" s="47">
        <f t="shared" ref="P70" si="132">O70*(Q70-R70-S70)</f>
        <v>32040</v>
      </c>
      <c r="Q70" s="46">
        <v>125</v>
      </c>
      <c r="R70" s="500">
        <v>0</v>
      </c>
      <c r="S70" s="500">
        <v>5</v>
      </c>
      <c r="T70" s="36">
        <f t="shared" ref="T70" si="133">E70*M70*O70*Q70/100000000</f>
        <v>3.6044999999999998</v>
      </c>
      <c r="U70" s="36">
        <f t="shared" ref="U70" si="134">E70*M70*O70*(Q70-R70-S70)/100000000</f>
        <v>3.4603199999999998</v>
      </c>
      <c r="V70" s="36">
        <f t="shared" ref="V70" si="135">E70*G70*(1-N70)*O70/100*(R70+S70)/1000000</f>
        <v>0.14778450000000001</v>
      </c>
      <c r="W70" s="36">
        <f>+'13'!K15/1000</f>
        <v>0</v>
      </c>
      <c r="X70" s="37"/>
      <c r="Y70" s="210"/>
      <c r="Z70" s="36"/>
      <c r="AA70" s="36"/>
      <c r="AB70" s="36"/>
      <c r="AC70" s="36">
        <f>K70-T70</f>
        <v>9.011250000000004E-2</v>
      </c>
      <c r="AD70" s="36">
        <f>+AM70+BA70</f>
        <v>0</v>
      </c>
      <c r="AE70" s="229" t="s">
        <v>412</v>
      </c>
      <c r="AF70" s="36"/>
      <c r="AG70" s="36">
        <v>0</v>
      </c>
      <c r="AH70" s="36"/>
      <c r="AI70" s="502"/>
      <c r="AJ70" s="36"/>
      <c r="AK70" s="36"/>
      <c r="AL70" s="36"/>
      <c r="AM70" s="36">
        <f t="shared" si="127"/>
        <v>0</v>
      </c>
      <c r="AN70" s="82"/>
      <c r="AO70" s="36"/>
      <c r="AP70" s="36"/>
      <c r="AQ70" s="36"/>
      <c r="AR70" s="36">
        <f t="shared" ref="AR70:AR72" si="136">SUM(AN70:AQ70)</f>
        <v>0</v>
      </c>
      <c r="AS70" s="36"/>
      <c r="AT70" s="36"/>
      <c r="AU70" s="36"/>
      <c r="AV70" s="36"/>
      <c r="AW70" s="36"/>
      <c r="AX70" s="36"/>
      <c r="AY70" s="36"/>
      <c r="AZ70" s="36"/>
      <c r="BA70" s="36">
        <f>+AR70+AS70+AU70+AW70+AY70+AZ70</f>
        <v>0</v>
      </c>
      <c r="BB70" s="49"/>
      <c r="BC70" s="50">
        <v>0</v>
      </c>
      <c r="BD70" s="50"/>
      <c r="BE70" s="49"/>
      <c r="BF70" s="50"/>
    </row>
    <row r="71" spans="1:58" ht="12.95" customHeight="1">
      <c r="A71" s="39"/>
      <c r="B71" s="40"/>
      <c r="C71" s="414"/>
      <c r="D71" s="40"/>
      <c r="E71" s="41"/>
      <c r="F71" s="41"/>
      <c r="G71" s="42"/>
      <c r="H71" s="43"/>
      <c r="I71" s="44"/>
      <c r="J71" s="81"/>
      <c r="K71" s="81"/>
      <c r="L71" s="34"/>
      <c r="M71" s="34"/>
      <c r="N71" s="45"/>
      <c r="O71" s="46"/>
      <c r="P71" s="47"/>
      <c r="Q71" s="46"/>
      <c r="R71" s="500"/>
      <c r="S71" s="500"/>
      <c r="T71" s="36"/>
      <c r="U71" s="36"/>
      <c r="V71" s="36"/>
      <c r="W71" s="36"/>
      <c r="X71" s="37"/>
      <c r="Y71" s="210"/>
      <c r="Z71" s="36"/>
      <c r="AA71" s="36"/>
      <c r="AB71" s="36"/>
      <c r="AC71" s="36"/>
      <c r="AD71" s="36">
        <f>+AM71+BA71</f>
        <v>38</v>
      </c>
      <c r="AE71" s="229" t="s">
        <v>566</v>
      </c>
      <c r="AF71" s="32"/>
      <c r="AG71" s="32"/>
      <c r="AH71" s="32">
        <v>38</v>
      </c>
      <c r="AJ71" s="36"/>
      <c r="AK71" s="36"/>
      <c r="AL71" s="36"/>
      <c r="AM71" s="36">
        <f t="shared" si="127"/>
        <v>38</v>
      </c>
      <c r="AN71" s="36"/>
      <c r="AO71" s="36"/>
      <c r="AP71" s="36"/>
      <c r="AQ71" s="36"/>
      <c r="AR71" s="36">
        <f t="shared" si="136"/>
        <v>0</v>
      </c>
      <c r="AS71" s="36"/>
      <c r="AT71" s="36"/>
      <c r="AU71" s="36"/>
      <c r="AV71" s="36"/>
      <c r="AW71" s="36"/>
      <c r="AX71" s="36"/>
      <c r="AY71" s="36"/>
      <c r="AZ71" s="36"/>
      <c r="BA71" s="36">
        <f>+AR71+AS71+AU71+AW71+AY71+AZ71</f>
        <v>0</v>
      </c>
      <c r="BB71" s="32"/>
      <c r="BC71" s="503"/>
      <c r="BD71" s="503"/>
      <c r="BE71" s="32"/>
      <c r="BF71" s="503"/>
    </row>
    <row r="72" spans="1:58" ht="12.95" customHeight="1">
      <c r="A72" s="39"/>
      <c r="B72" s="40"/>
      <c r="C72" s="414"/>
      <c r="D72" s="40"/>
      <c r="E72" s="41"/>
      <c r="F72" s="41"/>
      <c r="G72" s="42"/>
      <c r="H72" s="43"/>
      <c r="I72" s="44"/>
      <c r="J72" s="81"/>
      <c r="K72" s="81"/>
      <c r="L72" s="34"/>
      <c r="M72" s="34"/>
      <c r="N72" s="45"/>
      <c r="O72" s="46"/>
      <c r="P72" s="47"/>
      <c r="Q72" s="33"/>
      <c r="R72" s="500"/>
      <c r="S72" s="500"/>
      <c r="T72" s="36"/>
      <c r="U72" s="36"/>
      <c r="V72" s="36"/>
      <c r="W72" s="36"/>
      <c r="X72" s="37"/>
      <c r="Y72" s="210"/>
      <c r="Z72" s="36"/>
      <c r="AA72" s="36"/>
      <c r="AB72" s="36"/>
      <c r="AC72" s="36"/>
      <c r="AD72" s="36">
        <f>+AM72+BA72</f>
        <v>427</v>
      </c>
      <c r="AE72" s="232" t="s">
        <v>571</v>
      </c>
      <c r="AF72" s="36"/>
      <c r="AG72" s="36"/>
      <c r="AH72" s="36"/>
      <c r="AI72" s="502"/>
      <c r="AJ72" s="36"/>
      <c r="AK72" s="36"/>
      <c r="AL72" s="36"/>
      <c r="AM72" s="36">
        <f t="shared" si="127"/>
        <v>0</v>
      </c>
      <c r="AN72" s="36"/>
      <c r="AO72" s="36"/>
      <c r="AP72" s="36"/>
      <c r="AQ72" s="36"/>
      <c r="AR72" s="36">
        <f t="shared" si="136"/>
        <v>0</v>
      </c>
      <c r="AS72" s="36"/>
      <c r="AT72" s="36"/>
      <c r="AU72" s="36"/>
      <c r="AV72" s="36"/>
      <c r="AW72" s="36"/>
      <c r="AX72" s="36"/>
      <c r="AY72" s="36">
        <v>427</v>
      </c>
      <c r="AZ72" s="36"/>
      <c r="BA72" s="36">
        <f>+AR72+AS72+AU72+AW72+AY72+AZ72</f>
        <v>427</v>
      </c>
      <c r="BB72" s="49"/>
      <c r="BC72" s="50"/>
      <c r="BD72" s="50"/>
      <c r="BE72" s="49"/>
      <c r="BF72" s="50"/>
    </row>
    <row r="73" spans="1:58" ht="12.95" customHeight="1">
      <c r="A73" s="39"/>
      <c r="B73" s="40"/>
      <c r="C73" s="414"/>
      <c r="D73" s="40"/>
      <c r="E73" s="41"/>
      <c r="F73" s="41"/>
      <c r="G73" s="42"/>
      <c r="H73" s="43"/>
      <c r="I73" s="44"/>
      <c r="J73" s="81"/>
      <c r="K73" s="81"/>
      <c r="L73" s="34"/>
      <c r="M73" s="34"/>
      <c r="N73" s="45"/>
      <c r="O73" s="46"/>
      <c r="P73" s="47"/>
      <c r="Q73" s="46"/>
      <c r="R73" s="500"/>
      <c r="S73" s="500"/>
      <c r="T73" s="36"/>
      <c r="U73" s="36"/>
      <c r="V73" s="36"/>
      <c r="W73" s="36"/>
      <c r="X73" s="37"/>
      <c r="Y73" s="210"/>
      <c r="Z73" s="36"/>
      <c r="AA73" s="36"/>
      <c r="AB73" s="36"/>
      <c r="AC73" s="36"/>
      <c r="AD73" s="36">
        <f>+AM73+BA73</f>
        <v>11</v>
      </c>
      <c r="AE73" s="232" t="s">
        <v>572</v>
      </c>
      <c r="AF73" s="36"/>
      <c r="AG73" s="36"/>
      <c r="AH73" s="36"/>
      <c r="AI73" s="36"/>
      <c r="AJ73" s="36"/>
      <c r="AK73" s="36"/>
      <c r="AL73" s="36"/>
      <c r="AM73" s="36">
        <f t="shared" si="127"/>
        <v>11</v>
      </c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>
        <v>11</v>
      </c>
      <c r="AY73" s="36"/>
      <c r="AZ73" s="36"/>
      <c r="BA73" s="36"/>
      <c r="BB73" s="32"/>
      <c r="BC73" s="50"/>
      <c r="BD73" s="50"/>
      <c r="BE73" s="50">
        <v>1</v>
      </c>
      <c r="BF73" s="50"/>
    </row>
    <row r="74" spans="1:58" ht="13.5" customHeight="1">
      <c r="A74" s="39"/>
      <c r="B74" s="40"/>
      <c r="C74" s="414"/>
      <c r="D74" s="40"/>
      <c r="E74" s="41"/>
      <c r="F74" s="41"/>
      <c r="G74" s="499"/>
      <c r="H74" s="43"/>
      <c r="I74" s="44"/>
      <c r="J74" s="81"/>
      <c r="K74" s="81"/>
      <c r="L74" s="34"/>
      <c r="M74" s="34"/>
      <c r="N74" s="45"/>
      <c r="O74" s="46"/>
      <c r="P74" s="47"/>
      <c r="Q74" s="46"/>
      <c r="R74" s="500"/>
      <c r="S74" s="500"/>
      <c r="T74" s="36"/>
      <c r="U74" s="36"/>
      <c r="V74" s="36"/>
      <c r="W74" s="36"/>
      <c r="X74" s="501"/>
      <c r="Y74" s="210"/>
      <c r="Z74" s="36"/>
      <c r="AA74" s="48"/>
      <c r="AB74" s="48"/>
      <c r="AC74" s="36"/>
      <c r="AD74" s="36"/>
      <c r="AE74" s="229"/>
      <c r="AF74" s="36"/>
      <c r="AG74" s="36"/>
      <c r="AH74" s="36"/>
      <c r="AI74" s="502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2"/>
      <c r="BC74" s="50"/>
      <c r="BD74" s="50"/>
      <c r="BE74" s="50"/>
      <c r="BF74" s="50"/>
    </row>
    <row r="75" spans="1:58" ht="12.75" customHeight="1">
      <c r="A75" s="39">
        <v>46126</v>
      </c>
      <c r="B75" s="40" t="s">
        <v>513</v>
      </c>
      <c r="C75" s="414">
        <f t="shared" ref="C75" si="137">(M75*E75*O75*Q75)/100000000</f>
        <v>7.35318</v>
      </c>
      <c r="D75" s="40" t="s">
        <v>302</v>
      </c>
      <c r="E75" s="41">
        <v>12</v>
      </c>
      <c r="F75" s="41">
        <v>1</v>
      </c>
      <c r="G75" s="499">
        <v>1230</v>
      </c>
      <c r="H75" s="43">
        <f>+N75</f>
        <v>0.25</v>
      </c>
      <c r="I75" s="44">
        <v>0.88</v>
      </c>
      <c r="J75" s="81">
        <f t="shared" ref="J75" si="138">E75*G75*(1-H75)*1440/1000000*2.74</f>
        <v>43.677792000000004</v>
      </c>
      <c r="K75" s="81">
        <f t="shared" ref="K75" si="139">(IF(G75&lt;L75,L75,G75)*(1-IF(H75&lt;N75,H75,N75))*E75*O75*Q75)/100000000</f>
        <v>7.5370094999999999</v>
      </c>
      <c r="L75" s="34">
        <v>1200</v>
      </c>
      <c r="M75" s="34">
        <v>900</v>
      </c>
      <c r="N75" s="45">
        <f t="shared" ref="N75" si="140">1-(M75/L75)</f>
        <v>0.25</v>
      </c>
      <c r="O75" s="46">
        <f>+'Trim Rwd'!H41</f>
        <v>267</v>
      </c>
      <c r="P75" s="47">
        <f t="shared" ref="P75" si="141">O75*(Q75-R75-S75)</f>
        <v>63279</v>
      </c>
      <c r="Q75" s="46">
        <v>255</v>
      </c>
      <c r="R75" s="500">
        <v>0</v>
      </c>
      <c r="S75" s="500">
        <v>18</v>
      </c>
      <c r="T75" s="36">
        <f t="shared" ref="T75" si="142">E75*M75*O75*Q75/100000000</f>
        <v>7.35318</v>
      </c>
      <c r="U75" s="36">
        <f t="shared" ref="U75" si="143">E75*M75*O75*(Q75-R75-S75)/100000000</f>
        <v>6.8341320000000003</v>
      </c>
      <c r="V75" s="36">
        <f t="shared" ref="V75" si="144">E75*G75*(1-N75)*O75/100*(R75+S75)/1000000</f>
        <v>0.53202420000000006</v>
      </c>
      <c r="W75" s="36">
        <f>+'14'!K15/1000</f>
        <v>9.6639999999999997</v>
      </c>
      <c r="X75" s="501">
        <f>SUM(W75:W79)/SUM(K75:K79)</f>
        <v>1.0083233107335434</v>
      </c>
      <c r="Y75" s="210">
        <v>0</v>
      </c>
      <c r="Z75" s="36">
        <f>+'13'!D22/1000</f>
        <v>0</v>
      </c>
      <c r="AA75" s="48">
        <f>SUM(U75:U79)-SUM(W75:W79)-SUM(Z75:Z79)-SUM(Y75:Y79)</f>
        <v>-3.432764740781586</v>
      </c>
      <c r="AB75" s="48">
        <f>(SUM(K75:K79)-SUM(W75:W79)-SUM(Y75:Y79)-SUM(Z75:Z79)-SUM(AC75:AC79)-SUM(V75:V79))-AA75</f>
        <v>-4.9708835354777214E-2</v>
      </c>
      <c r="AC75" s="36">
        <f>K75-T75</f>
        <v>0.18382949999999987</v>
      </c>
      <c r="AD75" s="36">
        <f>+AM75+BA75</f>
        <v>8</v>
      </c>
      <c r="AE75" s="229" t="s">
        <v>453</v>
      </c>
      <c r="AF75" s="36">
        <v>8</v>
      </c>
      <c r="AG75" s="36"/>
      <c r="AH75" s="36"/>
      <c r="AI75" s="36"/>
      <c r="AJ75" s="36"/>
      <c r="AK75" s="36"/>
      <c r="AL75" s="36"/>
      <c r="AM75" s="36">
        <f t="shared" ref="AM75:AM77" si="145">SUM(AF75:AL75)+AT75+AV75+AX75</f>
        <v>8</v>
      </c>
      <c r="AN75" s="36"/>
      <c r="AO75" s="36"/>
      <c r="AP75" s="36"/>
      <c r="AQ75" s="36"/>
      <c r="AR75" s="36">
        <f>SUM(AN75:AQ75)</f>
        <v>0</v>
      </c>
      <c r="AS75" s="36"/>
      <c r="AT75" s="36"/>
      <c r="AU75" s="36"/>
      <c r="AV75" s="36"/>
      <c r="AW75" s="36"/>
      <c r="AX75" s="36"/>
      <c r="AY75" s="36"/>
      <c r="AZ75" s="36"/>
      <c r="BA75" s="36">
        <f>+AR75+AS75+AU75+AW75+AY75+AZ75</f>
        <v>0</v>
      </c>
      <c r="BB75" s="32">
        <v>4</v>
      </c>
      <c r="BC75" s="50"/>
      <c r="BD75" s="50"/>
      <c r="BE75" s="32"/>
      <c r="BF75" s="50"/>
    </row>
    <row r="76" spans="1:58" ht="12.95" customHeight="1">
      <c r="A76" s="39"/>
      <c r="B76" s="40" t="s">
        <v>513</v>
      </c>
      <c r="C76" s="414">
        <f t="shared" ref="C76" si="146">(M76*E76*O76*Q76)/100000000</f>
        <v>36.907357585090907</v>
      </c>
      <c r="D76" s="40" t="s">
        <v>302</v>
      </c>
      <c r="E76" s="41">
        <v>13</v>
      </c>
      <c r="F76" s="41">
        <v>1</v>
      </c>
      <c r="G76" s="499">
        <v>1230</v>
      </c>
      <c r="H76" s="43">
        <f>+N76</f>
        <v>0.21999999999999997</v>
      </c>
      <c r="I76" s="44">
        <v>0.88</v>
      </c>
      <c r="J76" s="81">
        <f t="shared" ref="J76" si="147">E76*G76*(1-H76)*1440/1000000*2.74</f>
        <v>49.210312320000007</v>
      </c>
      <c r="K76" s="81">
        <f t="shared" ref="K76" si="148">(IF(G76&lt;L76,L76,G76)*(1-IF(H76&lt;N76,H76,N76))*E76*O76*Q76)/100000000</f>
        <v>37.919640675681812</v>
      </c>
      <c r="L76" s="34">
        <v>1197.1645569620252</v>
      </c>
      <c r="M76" s="34">
        <v>933.78835443037974</v>
      </c>
      <c r="N76" s="45">
        <f t="shared" ref="N76" si="149">1-(M76/L76)</f>
        <v>0.21999999999999997</v>
      </c>
      <c r="O76" s="46">
        <f>+'Trim Rwd'!H39</f>
        <v>256.56818181818181</v>
      </c>
      <c r="P76" s="47">
        <f t="shared" ref="P76" si="150">O76*(Q76-R76-S76)</f>
        <v>293000.86363636365</v>
      </c>
      <c r="Q76" s="46">
        <v>1185</v>
      </c>
      <c r="R76" s="500">
        <v>0</v>
      </c>
      <c r="S76" s="500">
        <f>61-S75</f>
        <v>43</v>
      </c>
      <c r="T76" s="36">
        <f t="shared" ref="T76" si="151">E76*M76*O76*Q76/100000000</f>
        <v>36.907357585090907</v>
      </c>
      <c r="U76" s="36">
        <f t="shared" ref="U76" si="152">E76*M76*O76*(Q76-R76-S76)/100000000</f>
        <v>35.568103259218411</v>
      </c>
      <c r="V76" s="36">
        <f t="shared" ref="V76" si="153">E76*G76*(1-N76)*O76/100*(R76+S76)/1000000</f>
        <v>1.3759869612272726</v>
      </c>
      <c r="W76" s="36">
        <f>+'14'!K14/1000</f>
        <v>36.170999999999999</v>
      </c>
      <c r="X76" s="37"/>
      <c r="Y76" s="210"/>
      <c r="Z76" s="36"/>
      <c r="AA76" s="36"/>
      <c r="AB76" s="36"/>
      <c r="AC76" s="36">
        <f>K76-T76</f>
        <v>1.0122830905909055</v>
      </c>
      <c r="AD76" s="36">
        <f>+AM76+BA76</f>
        <v>0</v>
      </c>
      <c r="AE76" s="229" t="s">
        <v>412</v>
      </c>
      <c r="AF76" s="36"/>
      <c r="AG76" s="36">
        <v>0</v>
      </c>
      <c r="AH76" s="36"/>
      <c r="AI76" s="36"/>
      <c r="AJ76" s="36"/>
      <c r="AK76" s="36"/>
      <c r="AL76" s="36"/>
      <c r="AM76" s="36">
        <f t="shared" si="145"/>
        <v>0</v>
      </c>
      <c r="AN76" s="82"/>
      <c r="AO76" s="36"/>
      <c r="AP76" s="36"/>
      <c r="AQ76" s="36"/>
      <c r="AR76" s="36">
        <f t="shared" ref="AR76:AR77" si="154">SUM(AN76:AQ76)</f>
        <v>0</v>
      </c>
      <c r="AS76" s="36"/>
      <c r="AT76" s="36"/>
      <c r="AU76" s="36"/>
      <c r="AV76" s="36"/>
      <c r="AW76" s="36"/>
      <c r="AX76" s="36"/>
      <c r="AY76" s="36"/>
      <c r="AZ76" s="36"/>
      <c r="BA76" s="36">
        <f>+AR76+AS76+AU76+AW76+AY76+AZ76</f>
        <v>0</v>
      </c>
      <c r="BB76" s="49"/>
      <c r="BC76" s="50">
        <v>0</v>
      </c>
      <c r="BD76" s="50"/>
      <c r="BE76" s="49"/>
      <c r="BF76" s="50"/>
    </row>
    <row r="77" spans="1:58" ht="12.95" customHeight="1">
      <c r="A77" s="39"/>
      <c r="B77" s="40"/>
      <c r="C77" s="414"/>
      <c r="D77" s="40"/>
      <c r="E77" s="41"/>
      <c r="F77" s="41"/>
      <c r="G77" s="42"/>
      <c r="H77" s="43"/>
      <c r="I77" s="44"/>
      <c r="J77" s="81"/>
      <c r="K77" s="81"/>
      <c r="L77" s="34"/>
      <c r="M77" s="34"/>
      <c r="N77" s="45"/>
      <c r="O77" s="46"/>
      <c r="P77" s="47"/>
      <c r="Q77" s="46"/>
      <c r="R77" s="500"/>
      <c r="S77" s="500"/>
      <c r="T77" s="36"/>
      <c r="U77" s="36"/>
      <c r="V77" s="36"/>
      <c r="W77" s="36"/>
      <c r="X77" s="37"/>
      <c r="Y77" s="210"/>
      <c r="Z77" s="36"/>
      <c r="AA77" s="36"/>
      <c r="AB77" s="36"/>
      <c r="AC77" s="36"/>
      <c r="AD77" s="36">
        <f>+AM77+BA77</f>
        <v>35</v>
      </c>
      <c r="AE77" s="229" t="s">
        <v>532</v>
      </c>
      <c r="AF77" s="32"/>
      <c r="AG77" s="32"/>
      <c r="AH77" s="32">
        <v>35</v>
      </c>
      <c r="AI77" s="32"/>
      <c r="AJ77" s="36"/>
      <c r="AK77" s="36"/>
      <c r="AL77" s="36"/>
      <c r="AM77" s="36">
        <f t="shared" si="145"/>
        <v>35</v>
      </c>
      <c r="AN77" s="36"/>
      <c r="AO77" s="36"/>
      <c r="AP77" s="36"/>
      <c r="AQ77" s="36"/>
      <c r="AR77" s="36">
        <f t="shared" si="154"/>
        <v>0</v>
      </c>
      <c r="AS77" s="36"/>
      <c r="AT77" s="36"/>
      <c r="AU77" s="36"/>
      <c r="AV77" s="36"/>
      <c r="AW77" s="36"/>
      <c r="AX77" s="36"/>
      <c r="AY77" s="36"/>
      <c r="AZ77" s="36"/>
      <c r="BA77" s="36">
        <f>+AR77+AS77+AU77+AW77+AY77+AZ77</f>
        <v>0</v>
      </c>
      <c r="BB77" s="32"/>
      <c r="BC77" s="503"/>
      <c r="BD77" s="503"/>
      <c r="BE77" s="32"/>
      <c r="BF77" s="503"/>
    </row>
    <row r="78" spans="1:58" ht="12.95" customHeight="1">
      <c r="A78" s="39"/>
      <c r="B78" s="40"/>
      <c r="C78" s="414"/>
      <c r="D78" s="40"/>
      <c r="E78" s="41"/>
      <c r="F78" s="41"/>
      <c r="G78" s="42"/>
      <c r="H78" s="43"/>
      <c r="I78" s="44"/>
      <c r="J78" s="81"/>
      <c r="K78" s="81"/>
      <c r="L78" s="34"/>
      <c r="M78" s="34"/>
      <c r="N78" s="45"/>
      <c r="O78" s="46"/>
      <c r="P78" s="47"/>
      <c r="Q78" s="46"/>
      <c r="R78" s="500"/>
      <c r="S78" s="500"/>
      <c r="T78" s="36"/>
      <c r="U78" s="36"/>
      <c r="V78" s="36"/>
      <c r="W78" s="36"/>
      <c r="X78" s="37"/>
      <c r="Y78" s="210"/>
      <c r="Z78" s="36"/>
      <c r="AA78" s="36"/>
      <c r="AB78" s="36"/>
      <c r="AC78" s="36"/>
      <c r="AD78" s="36">
        <f>+AM78+BA78</f>
        <v>18</v>
      </c>
      <c r="AE78" s="232" t="s">
        <v>378</v>
      </c>
      <c r="AF78" s="32"/>
      <c r="AG78" s="32"/>
      <c r="AH78" s="32"/>
      <c r="AI78" s="32">
        <v>18</v>
      </c>
      <c r="AJ78" s="36"/>
      <c r="AK78" s="36"/>
      <c r="AL78" s="36"/>
      <c r="AM78" s="36">
        <f t="shared" ref="AM78" si="155">SUM(AF78:AL78)+AT78+AV78+AX78</f>
        <v>18</v>
      </c>
      <c r="AN78" s="36"/>
      <c r="AO78" s="36"/>
      <c r="AP78" s="36"/>
      <c r="AQ78" s="36"/>
      <c r="AR78" s="36">
        <f t="shared" ref="AR78" si="156">SUM(AN78:AQ78)</f>
        <v>0</v>
      </c>
      <c r="AS78" s="36"/>
      <c r="AT78" s="36"/>
      <c r="AU78" s="36"/>
      <c r="AV78" s="36"/>
      <c r="AW78" s="36"/>
      <c r="AX78" s="36"/>
      <c r="AY78" s="36"/>
      <c r="AZ78" s="36"/>
      <c r="BA78" s="36">
        <f>+AR78+AS78+AU78+AW78+AY78+AZ78</f>
        <v>0</v>
      </c>
      <c r="BB78" s="32"/>
      <c r="BC78" s="503"/>
      <c r="BD78" s="503"/>
      <c r="BE78" s="32"/>
      <c r="BF78" s="503"/>
    </row>
    <row r="79" spans="1:58" ht="13.5" customHeight="1">
      <c r="A79" s="39"/>
      <c r="B79" s="40"/>
      <c r="C79" s="414"/>
      <c r="D79" s="40"/>
      <c r="E79" s="41"/>
      <c r="F79" s="41"/>
      <c r="G79" s="499"/>
      <c r="H79" s="43"/>
      <c r="I79" s="44"/>
      <c r="J79" s="81"/>
      <c r="K79" s="81"/>
      <c r="L79" s="34"/>
      <c r="M79" s="34"/>
      <c r="N79" s="45"/>
      <c r="O79" s="46"/>
      <c r="P79" s="47"/>
      <c r="Q79" s="46"/>
      <c r="R79" s="500"/>
      <c r="S79" s="500"/>
      <c r="T79" s="36"/>
      <c r="U79" s="36"/>
      <c r="V79" s="36"/>
      <c r="W79" s="36"/>
      <c r="X79" s="501"/>
      <c r="Y79" s="210"/>
      <c r="Z79" s="36"/>
      <c r="AA79" s="48"/>
      <c r="AB79" s="48"/>
      <c r="AC79" s="36"/>
      <c r="AD79" s="36"/>
      <c r="AE79" s="229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2"/>
      <c r="BC79" s="50"/>
      <c r="BD79" s="50"/>
      <c r="BE79" s="50"/>
      <c r="BF79" s="50"/>
    </row>
    <row r="80" spans="1:58" ht="12.75" customHeight="1">
      <c r="A80" s="39">
        <v>46127</v>
      </c>
      <c r="B80" s="40" t="s">
        <v>513</v>
      </c>
      <c r="C80" s="414">
        <f t="shared" ref="C80" si="157">(M80*E80*O80*Q80)/100000000</f>
        <v>44.943724799999998</v>
      </c>
      <c r="D80" s="40" t="s">
        <v>302</v>
      </c>
      <c r="E80" s="41">
        <v>13</v>
      </c>
      <c r="F80" s="41">
        <v>1</v>
      </c>
      <c r="G80" s="499">
        <v>1230</v>
      </c>
      <c r="H80" s="43">
        <f>+N80</f>
        <v>0.21999999999999997</v>
      </c>
      <c r="I80" s="44">
        <v>0.88</v>
      </c>
      <c r="J80" s="81">
        <f t="shared" ref="J80" si="158">E80*G80*(1-H80)*1440/1000000*2.74</f>
        <v>49.210312320000007</v>
      </c>
      <c r="K80" s="81">
        <f t="shared" ref="K80" si="159">(IF(G80&lt;L80,L80,G80)*(1-IF(H80&lt;N80,H80,N80))*E80*O80*Q80)/100000000</f>
        <v>46.067317920000001</v>
      </c>
      <c r="L80" s="34">
        <v>1200</v>
      </c>
      <c r="M80" s="34">
        <v>936</v>
      </c>
      <c r="N80" s="45">
        <f t="shared" ref="N80" si="160">1-(M80/L80)</f>
        <v>0.21999999999999997</v>
      </c>
      <c r="O80" s="46">
        <f>+'Trim Rwd'!H43</f>
        <v>256.5</v>
      </c>
      <c r="P80" s="47">
        <f t="shared" ref="P80" si="161">O80*(Q80-R80-S80)</f>
        <v>355509</v>
      </c>
      <c r="Q80" s="46">
        <v>1440</v>
      </c>
      <c r="R80" s="500">
        <v>0</v>
      </c>
      <c r="S80" s="500">
        <v>54</v>
      </c>
      <c r="T80" s="36">
        <f t="shared" ref="T80" si="162">E80*M80*O80*Q80/100000000</f>
        <v>44.943724799999998</v>
      </c>
      <c r="U80" s="36">
        <f t="shared" ref="U80" si="163">E80*M80*O80*(Q80-R80-S80)/100000000</f>
        <v>43.258335119999998</v>
      </c>
      <c r="V80" s="36">
        <f t="shared" ref="V80" si="164">E80*G80*(1-N80)*O80/100*(R80+S80)/1000000</f>
        <v>1.7275244220000003</v>
      </c>
      <c r="W80" s="36">
        <f>+'15'!K14/1000</f>
        <v>44.06</v>
      </c>
      <c r="X80" s="501">
        <f>SUM(W80:W84)/SUM(K80:K84)</f>
        <v>0.9564264209284794</v>
      </c>
      <c r="Y80" s="210">
        <v>0</v>
      </c>
      <c r="Z80" s="36">
        <f>+'13'!D27/1000</f>
        <v>0</v>
      </c>
      <c r="AA80" s="48">
        <f>SUM(U80:U84)-SUM(W80:W84)-SUM(Z80:Z84)-SUM(Y80:Y84)</f>
        <v>-0.80166488000000413</v>
      </c>
      <c r="AB80" s="48">
        <f>(SUM(K80:K84)-SUM(W80:W84)-SUM(Y80:Y84)-SUM(Z80:Z84)-SUM(AC80:AC84)-SUM(V80:V84))-AA80</f>
        <v>-4.2134742000000225E-2</v>
      </c>
      <c r="AC80" s="36">
        <f>K80-T80</f>
        <v>1.1235931200000024</v>
      </c>
      <c r="AD80" s="36">
        <f>+AM80+BA80</f>
        <v>14</v>
      </c>
      <c r="AE80" s="229" t="s">
        <v>415</v>
      </c>
      <c r="AF80" s="36">
        <v>14</v>
      </c>
      <c r="AG80" s="36"/>
      <c r="AH80" s="36"/>
      <c r="AI80" s="36"/>
      <c r="AJ80" s="36"/>
      <c r="AK80" s="36"/>
      <c r="AL80" s="36"/>
      <c r="AM80" s="36">
        <f t="shared" ref="AM80:AM82" si="165">SUM(AF80:AL80)+AT80+AV80+AX80</f>
        <v>14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>
        <f>+AR80+AS80+AU80+AW80+AY80+AZ80</f>
        <v>0</v>
      </c>
      <c r="BB80" s="32">
        <v>6</v>
      </c>
      <c r="BC80" s="50"/>
      <c r="BD80" s="50"/>
      <c r="BE80" s="32"/>
      <c r="BF80" s="50"/>
    </row>
    <row r="81" spans="1:58" ht="12.95" customHeight="1">
      <c r="A81" s="39"/>
      <c r="B81" s="40"/>
      <c r="C81" s="414"/>
      <c r="D81" s="40"/>
      <c r="E81" s="41"/>
      <c r="F81" s="41"/>
      <c r="G81" s="499"/>
      <c r="H81" s="43"/>
      <c r="I81" s="44"/>
      <c r="J81" s="81"/>
      <c r="K81" s="81"/>
      <c r="L81" s="34"/>
      <c r="M81" s="34"/>
      <c r="N81" s="45"/>
      <c r="O81" s="46"/>
      <c r="P81" s="47"/>
      <c r="Q81" s="46"/>
      <c r="R81" s="500"/>
      <c r="S81" s="500"/>
      <c r="T81" s="36"/>
      <c r="U81" s="36"/>
      <c r="V81" s="36"/>
      <c r="W81" s="36"/>
      <c r="X81" s="37"/>
      <c r="Y81" s="210"/>
      <c r="Z81" s="36"/>
      <c r="AA81" s="36"/>
      <c r="AB81" s="36"/>
      <c r="AC81" s="36">
        <f>K81-T81</f>
        <v>0</v>
      </c>
      <c r="AD81" s="36">
        <f>+AM81+BA81</f>
        <v>0</v>
      </c>
      <c r="AE81" s="229" t="s">
        <v>412</v>
      </c>
      <c r="AF81" s="36"/>
      <c r="AG81" s="36">
        <v>0</v>
      </c>
      <c r="AH81" s="36"/>
      <c r="AI81" s="36"/>
      <c r="AJ81" s="36"/>
      <c r="AK81" s="36"/>
      <c r="AL81" s="36"/>
      <c r="AM81" s="36">
        <f t="shared" si="165"/>
        <v>0</v>
      </c>
      <c r="AN81" s="82"/>
      <c r="AO81" s="36"/>
      <c r="AP81" s="36"/>
      <c r="AQ81" s="36"/>
      <c r="AR81" s="36">
        <f t="shared" ref="AR81:AR82" si="166">SUM(AN81:AQ81)</f>
        <v>0</v>
      </c>
      <c r="AS81" s="36"/>
      <c r="AT81" s="36"/>
      <c r="AU81" s="36"/>
      <c r="AV81" s="36"/>
      <c r="AW81" s="36"/>
      <c r="AX81" s="36"/>
      <c r="AY81" s="36"/>
      <c r="AZ81" s="36"/>
      <c r="BA81" s="36">
        <f>+AR81+AS81+AU81+AW81+AY81+AZ81</f>
        <v>0</v>
      </c>
      <c r="BB81" s="49"/>
      <c r="BC81" s="50">
        <v>0</v>
      </c>
      <c r="BD81" s="50"/>
      <c r="BE81" s="49"/>
      <c r="BF81" s="50"/>
    </row>
    <row r="82" spans="1:58" ht="12.95" customHeight="1">
      <c r="A82" s="39"/>
      <c r="B82" s="40"/>
      <c r="C82" s="414"/>
      <c r="D82" s="40"/>
      <c r="E82" s="41"/>
      <c r="F82" s="41"/>
      <c r="G82" s="42"/>
      <c r="H82" s="43"/>
      <c r="I82" s="44"/>
      <c r="J82" s="81"/>
      <c r="K82" s="81"/>
      <c r="L82" s="34"/>
      <c r="M82" s="34"/>
      <c r="N82" s="45"/>
      <c r="O82" s="46"/>
      <c r="P82" s="47"/>
      <c r="Q82" s="46"/>
      <c r="R82" s="500"/>
      <c r="S82" s="500"/>
      <c r="T82" s="36"/>
      <c r="U82" s="36"/>
      <c r="V82" s="36"/>
      <c r="W82" s="36"/>
      <c r="X82" s="37"/>
      <c r="Y82" s="210"/>
      <c r="Z82" s="36"/>
      <c r="AA82" s="36"/>
      <c r="AB82" s="36"/>
      <c r="AC82" s="36"/>
      <c r="AD82" s="36">
        <f>+AM82+BA82</f>
        <v>40</v>
      </c>
      <c r="AE82" s="229" t="s">
        <v>532</v>
      </c>
      <c r="AF82" s="32"/>
      <c r="AG82" s="32"/>
      <c r="AH82" s="32">
        <v>40</v>
      </c>
      <c r="AI82" s="32"/>
      <c r="AJ82" s="36"/>
      <c r="AK82" s="36"/>
      <c r="AL82" s="36"/>
      <c r="AM82" s="36">
        <f t="shared" si="165"/>
        <v>40</v>
      </c>
      <c r="AN82" s="36"/>
      <c r="AO82" s="36"/>
      <c r="AP82" s="36"/>
      <c r="AQ82" s="36"/>
      <c r="AR82" s="36">
        <f t="shared" si="166"/>
        <v>0</v>
      </c>
      <c r="AS82" s="36"/>
      <c r="AT82" s="36"/>
      <c r="AU82" s="36"/>
      <c r="AV82" s="36"/>
      <c r="AW82" s="36"/>
      <c r="AX82" s="36"/>
      <c r="AY82" s="36"/>
      <c r="AZ82" s="36"/>
      <c r="BA82" s="36">
        <f>+AR82+AS82+AU82+AW82+AY82+AZ82</f>
        <v>0</v>
      </c>
      <c r="BB82" s="32"/>
      <c r="BC82" s="503"/>
      <c r="BD82" s="503"/>
      <c r="BE82" s="32"/>
      <c r="BF82" s="503"/>
    </row>
    <row r="83" spans="1:58" ht="12.95" customHeight="1">
      <c r="A83" s="39"/>
      <c r="B83" s="40"/>
      <c r="C83" s="414"/>
      <c r="D83" s="40"/>
      <c r="E83" s="41"/>
      <c r="F83" s="41"/>
      <c r="G83" s="42"/>
      <c r="H83" s="43"/>
      <c r="I83" s="44"/>
      <c r="J83" s="81"/>
      <c r="K83" s="81"/>
      <c r="L83" s="34"/>
      <c r="M83" s="34"/>
      <c r="N83" s="45"/>
      <c r="O83" s="46"/>
      <c r="P83" s="47"/>
      <c r="Q83" s="46"/>
      <c r="R83" s="500"/>
      <c r="S83" s="500"/>
      <c r="T83" s="36"/>
      <c r="U83" s="36"/>
      <c r="V83" s="36"/>
      <c r="W83" s="36"/>
      <c r="X83" s="37"/>
      <c r="Y83" s="210"/>
      <c r="Z83" s="36"/>
      <c r="AA83" s="36"/>
      <c r="AB83" s="36"/>
      <c r="AC83" s="36"/>
      <c r="AD83" s="36">
        <f>+AM83+BA83</f>
        <v>0</v>
      </c>
      <c r="AE83" s="232" t="s">
        <v>378</v>
      </c>
      <c r="AF83" s="32"/>
      <c r="AG83" s="32"/>
      <c r="AH83" s="32"/>
      <c r="AI83" s="32"/>
      <c r="AJ83" s="36"/>
      <c r="AK83" s="36"/>
      <c r="AL83" s="36"/>
      <c r="AM83" s="36">
        <f t="shared" ref="AM83" si="167">SUM(AF83:AL83)+AT83+AV83+AX83</f>
        <v>0</v>
      </c>
      <c r="AN83" s="36"/>
      <c r="AO83" s="36"/>
      <c r="AP83" s="36"/>
      <c r="AQ83" s="36"/>
      <c r="AR83" s="36">
        <f t="shared" ref="AR83" si="168">SUM(AN83:AQ83)</f>
        <v>0</v>
      </c>
      <c r="AS83" s="36"/>
      <c r="AT83" s="36"/>
      <c r="AU83" s="36"/>
      <c r="AV83" s="36"/>
      <c r="AW83" s="36"/>
      <c r="AX83" s="36"/>
      <c r="AY83" s="36"/>
      <c r="AZ83" s="36"/>
      <c r="BA83" s="36">
        <f>+AR83+AS83+AU83+AW83+AY83+AZ83</f>
        <v>0</v>
      </c>
      <c r="BB83" s="32"/>
      <c r="BC83" s="503"/>
      <c r="BD83" s="503"/>
      <c r="BE83" s="32"/>
      <c r="BF83" s="503"/>
    </row>
    <row r="84" spans="1:58" ht="13.5" customHeight="1">
      <c r="A84" s="39"/>
      <c r="B84" s="40"/>
      <c r="C84" s="414"/>
      <c r="D84" s="40"/>
      <c r="E84" s="41"/>
      <c r="F84" s="41"/>
      <c r="G84" s="499"/>
      <c r="H84" s="43"/>
      <c r="I84" s="44"/>
      <c r="J84" s="81"/>
      <c r="K84" s="81"/>
      <c r="L84" s="34"/>
      <c r="M84" s="34"/>
      <c r="N84" s="45"/>
      <c r="O84" s="46"/>
      <c r="P84" s="47"/>
      <c r="Q84" s="46"/>
      <c r="R84" s="500"/>
      <c r="S84" s="500"/>
      <c r="T84" s="36"/>
      <c r="U84" s="36"/>
      <c r="V84" s="36"/>
      <c r="W84" s="36"/>
      <c r="X84" s="501"/>
      <c r="Y84" s="210"/>
      <c r="Z84" s="36"/>
      <c r="AA84" s="48"/>
      <c r="AB84" s="48"/>
      <c r="AC84" s="36"/>
      <c r="AD84" s="36"/>
      <c r="AE84" s="229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2"/>
      <c r="BC84" s="50"/>
      <c r="BD84" s="50"/>
      <c r="BE84" s="50"/>
      <c r="BF84" s="50"/>
    </row>
    <row r="85" spans="1:58" ht="12.75" customHeight="1">
      <c r="A85" s="39">
        <v>46128</v>
      </c>
      <c r="B85" s="40" t="s">
        <v>513</v>
      </c>
      <c r="C85" s="414">
        <f t="shared" ref="C85" si="169">(M85*E85*O85*Q85)/100000000</f>
        <v>44.943724799999998</v>
      </c>
      <c r="D85" s="40" t="s">
        <v>302</v>
      </c>
      <c r="E85" s="41">
        <v>13</v>
      </c>
      <c r="F85" s="41">
        <v>1</v>
      </c>
      <c r="G85" s="499">
        <v>1230</v>
      </c>
      <c r="H85" s="43">
        <f>+N85</f>
        <v>0.21999999999999997</v>
      </c>
      <c r="I85" s="44">
        <v>0.88</v>
      </c>
      <c r="J85" s="81">
        <f t="shared" ref="J85" si="170">E85*G85*(1-H85)*1440/1000000*2.74</f>
        <v>49.210312320000007</v>
      </c>
      <c r="K85" s="81">
        <f t="shared" ref="K85" si="171">(IF(G85&lt;L85,L85,G85)*(1-IF(H85&lt;N85,H85,N85))*E85*O85*Q85)/100000000</f>
        <v>46.067317920000001</v>
      </c>
      <c r="L85" s="34">
        <v>1200</v>
      </c>
      <c r="M85" s="34">
        <v>936</v>
      </c>
      <c r="N85" s="45">
        <f t="shared" ref="N85" si="172">1-(M85/L85)</f>
        <v>0.21999999999999997</v>
      </c>
      <c r="O85" s="46">
        <f>+'Trim Rwd'!H45</f>
        <v>256.5</v>
      </c>
      <c r="P85" s="47">
        <f t="shared" ref="P85" si="173">O85*(Q85-R85-S85)</f>
        <v>354996</v>
      </c>
      <c r="Q85" s="46">
        <v>1440</v>
      </c>
      <c r="R85" s="500">
        <v>0</v>
      </c>
      <c r="S85" s="500">
        <v>56</v>
      </c>
      <c r="T85" s="36">
        <f t="shared" ref="T85" si="174">E85*M85*O85*Q85/100000000</f>
        <v>44.943724799999998</v>
      </c>
      <c r="U85" s="36">
        <f t="shared" ref="U85" si="175">E85*M85*O85*(Q85-R85-S85)/100000000</f>
        <v>43.195913279999999</v>
      </c>
      <c r="V85" s="36">
        <f t="shared" ref="V85" si="176">E85*G85*(1-N85)*O85/100*(R85+S85)/1000000</f>
        <v>1.7915068080000003</v>
      </c>
      <c r="W85" s="36">
        <f>+'16'!K14/1000</f>
        <v>46.640999999999998</v>
      </c>
      <c r="X85" s="501">
        <f>SUM(W85:W89)/SUM(K85:K89)</f>
        <v>1.0124531252502316</v>
      </c>
      <c r="Y85" s="210">
        <v>0</v>
      </c>
      <c r="Z85" s="36">
        <f>+'13'!D32/1000</f>
        <v>0</v>
      </c>
      <c r="AA85" s="48">
        <f>SUM(U85:U89)-SUM(W85:W89)-SUM(Z85:Z89)-SUM(Y85:Y89)</f>
        <v>-3.445086719999999</v>
      </c>
      <c r="AB85" s="48">
        <f>(SUM(K85:K89)-SUM(W85:W89)-SUM(Y85:Y89)-SUM(Z85:Z89)-SUM(AC85:AC89)-SUM(V85:V89))-AA85</f>
        <v>-4.369528800000122E-2</v>
      </c>
      <c r="AC85" s="36">
        <f>K85-T85</f>
        <v>1.1235931200000024</v>
      </c>
      <c r="AD85" s="36">
        <f>+AM85+BA85</f>
        <v>12</v>
      </c>
      <c r="AE85" s="229" t="s">
        <v>415</v>
      </c>
      <c r="AF85" s="36">
        <v>12</v>
      </c>
      <c r="AG85" s="36"/>
      <c r="AH85" s="36"/>
      <c r="AI85" s="36"/>
      <c r="AJ85" s="36"/>
      <c r="AK85" s="36"/>
      <c r="AL85" s="36"/>
      <c r="AM85" s="36">
        <f t="shared" ref="AM85:AM87" si="177">SUM(AF85:AL85)+AT85+AV85+AX85</f>
        <v>12</v>
      </c>
      <c r="AN85" s="36"/>
      <c r="AO85" s="36"/>
      <c r="AP85" s="36"/>
      <c r="AQ85" s="36"/>
      <c r="AR85" s="36">
        <f>SUM(AN85:AQ85)</f>
        <v>0</v>
      </c>
      <c r="AS85" s="36"/>
      <c r="AT85" s="36"/>
      <c r="AU85" s="36"/>
      <c r="AV85" s="36"/>
      <c r="AW85" s="36"/>
      <c r="AX85" s="36"/>
      <c r="AY85" s="36"/>
      <c r="AZ85" s="36"/>
      <c r="BA85" s="36">
        <f>+AR85+AS85+AU85+AW85+AY85+AZ85</f>
        <v>0</v>
      </c>
      <c r="BB85" s="32">
        <v>6</v>
      </c>
      <c r="BC85" s="50"/>
      <c r="BD85" s="50"/>
      <c r="BE85" s="32"/>
      <c r="BF85" s="50"/>
    </row>
    <row r="86" spans="1:58" ht="12.95" customHeight="1">
      <c r="A86" s="39"/>
      <c r="B86" s="40"/>
      <c r="C86" s="414"/>
      <c r="D86" s="40"/>
      <c r="E86" s="41"/>
      <c r="F86" s="41"/>
      <c r="G86" s="499"/>
      <c r="H86" s="43"/>
      <c r="I86" s="44"/>
      <c r="J86" s="81"/>
      <c r="K86" s="81"/>
      <c r="L86" s="34"/>
      <c r="M86" s="34"/>
      <c r="N86" s="45"/>
      <c r="O86" s="46"/>
      <c r="P86" s="47"/>
      <c r="Q86" s="46"/>
      <c r="R86" s="500"/>
      <c r="S86" s="500"/>
      <c r="T86" s="36"/>
      <c r="U86" s="36"/>
      <c r="V86" s="36"/>
      <c r="W86" s="36"/>
      <c r="X86" s="37"/>
      <c r="Y86" s="210"/>
      <c r="Z86" s="36"/>
      <c r="AA86" s="36"/>
      <c r="AB86" s="36"/>
      <c r="AC86" s="36">
        <f>K86-T86</f>
        <v>0</v>
      </c>
      <c r="AD86" s="36">
        <f>+AM86+BA86</f>
        <v>2</v>
      </c>
      <c r="AE86" s="229" t="s">
        <v>414</v>
      </c>
      <c r="AF86" s="36"/>
      <c r="AG86" s="36">
        <v>2</v>
      </c>
      <c r="AH86" s="36"/>
      <c r="AI86" s="36"/>
      <c r="AJ86" s="36"/>
      <c r="AK86" s="36"/>
      <c r="AL86" s="36"/>
      <c r="AM86" s="36">
        <f t="shared" si="177"/>
        <v>2</v>
      </c>
      <c r="AN86" s="82"/>
      <c r="AO86" s="36"/>
      <c r="AP86" s="36"/>
      <c r="AQ86" s="36"/>
      <c r="AR86" s="36">
        <f t="shared" ref="AR86:AR87" si="178"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>
        <f>+AR86+AS86+AU86+AW86+AY86+AZ86</f>
        <v>0</v>
      </c>
      <c r="BB86" s="49"/>
      <c r="BC86" s="50">
        <v>1</v>
      </c>
      <c r="BD86" s="50"/>
      <c r="BE86" s="49"/>
      <c r="BF86" s="50"/>
    </row>
    <row r="87" spans="1:58" ht="12.95" customHeight="1">
      <c r="A87" s="39"/>
      <c r="B87" s="40"/>
      <c r="C87" s="414"/>
      <c r="D87" s="40"/>
      <c r="E87" s="41"/>
      <c r="F87" s="41"/>
      <c r="G87" s="42"/>
      <c r="H87" s="43"/>
      <c r="I87" s="44"/>
      <c r="J87" s="81"/>
      <c r="K87" s="81"/>
      <c r="L87" s="34"/>
      <c r="M87" s="34"/>
      <c r="N87" s="45"/>
      <c r="O87" s="46"/>
      <c r="P87" s="47"/>
      <c r="Q87" s="46"/>
      <c r="R87" s="500"/>
      <c r="S87" s="500"/>
      <c r="T87" s="36"/>
      <c r="U87" s="36"/>
      <c r="V87" s="36"/>
      <c r="W87" s="36"/>
      <c r="X87" s="37"/>
      <c r="Y87" s="210"/>
      <c r="Z87" s="36"/>
      <c r="AA87" s="36"/>
      <c r="AB87" s="36"/>
      <c r="AC87" s="36"/>
      <c r="AD87" s="36">
        <f>+AM87+BA87</f>
        <v>42</v>
      </c>
      <c r="AE87" s="229" t="s">
        <v>388</v>
      </c>
      <c r="AF87" s="32"/>
      <c r="AG87" s="32"/>
      <c r="AH87" s="32">
        <v>42</v>
      </c>
      <c r="AI87" s="32"/>
      <c r="AJ87" s="36"/>
      <c r="AK87" s="36"/>
      <c r="AL87" s="36"/>
      <c r="AM87" s="36">
        <f t="shared" si="177"/>
        <v>42</v>
      </c>
      <c r="AN87" s="36"/>
      <c r="AO87" s="36"/>
      <c r="AP87" s="36"/>
      <c r="AQ87" s="36"/>
      <c r="AR87" s="36">
        <f t="shared" si="178"/>
        <v>0</v>
      </c>
      <c r="AS87" s="36"/>
      <c r="AT87" s="36"/>
      <c r="AU87" s="36"/>
      <c r="AV87" s="36"/>
      <c r="AW87" s="36"/>
      <c r="AX87" s="36"/>
      <c r="AY87" s="36"/>
      <c r="AZ87" s="36"/>
      <c r="BA87" s="36">
        <f>+AR87+AS87+AU87+AW87+AY87+AZ87</f>
        <v>0</v>
      </c>
      <c r="BB87" s="32"/>
      <c r="BC87" s="503"/>
      <c r="BD87" s="503"/>
      <c r="BE87" s="32"/>
      <c r="BF87" s="503"/>
    </row>
    <row r="88" spans="1:58" ht="12.95" customHeight="1">
      <c r="A88" s="39"/>
      <c r="B88" s="40"/>
      <c r="C88" s="414"/>
      <c r="D88" s="40"/>
      <c r="E88" s="41"/>
      <c r="F88" s="41"/>
      <c r="G88" s="42"/>
      <c r="H88" s="43"/>
      <c r="I88" s="44"/>
      <c r="J88" s="81"/>
      <c r="K88" s="81"/>
      <c r="L88" s="34"/>
      <c r="M88" s="34"/>
      <c r="N88" s="45"/>
      <c r="O88" s="46"/>
      <c r="P88" s="47"/>
      <c r="Q88" s="46"/>
      <c r="R88" s="500"/>
      <c r="S88" s="500"/>
      <c r="T88" s="36"/>
      <c r="U88" s="36"/>
      <c r="V88" s="36"/>
      <c r="W88" s="36"/>
      <c r="X88" s="37"/>
      <c r="Y88" s="210"/>
      <c r="Z88" s="36"/>
      <c r="AA88" s="36"/>
      <c r="AB88" s="36"/>
      <c r="AC88" s="36"/>
      <c r="AD88" s="36">
        <f>+AM88+BA88</f>
        <v>0</v>
      </c>
      <c r="AE88" s="232" t="s">
        <v>378</v>
      </c>
      <c r="AF88" s="32"/>
      <c r="AG88" s="32"/>
      <c r="AH88" s="32"/>
      <c r="AI88" s="32"/>
      <c r="AJ88" s="36"/>
      <c r="AK88" s="36"/>
      <c r="AL88" s="36"/>
      <c r="AM88" s="36">
        <f t="shared" ref="AM88" si="179">SUM(AF88:AL88)+AT88+AV88+AX88</f>
        <v>0</v>
      </c>
      <c r="AN88" s="36"/>
      <c r="AO88" s="36"/>
      <c r="AP88" s="36"/>
      <c r="AQ88" s="36"/>
      <c r="AR88" s="36">
        <f t="shared" ref="AR88" si="180">SUM(AN88:AQ88)</f>
        <v>0</v>
      </c>
      <c r="AS88" s="36"/>
      <c r="AT88" s="36"/>
      <c r="AU88" s="36"/>
      <c r="AV88" s="36"/>
      <c r="AW88" s="36"/>
      <c r="AX88" s="36"/>
      <c r="AY88" s="36"/>
      <c r="AZ88" s="36"/>
      <c r="BA88" s="36">
        <f>+AR88+AS88+AU88+AW88+AY88+AZ88</f>
        <v>0</v>
      </c>
      <c r="BB88" s="32"/>
      <c r="BC88" s="503"/>
      <c r="BD88" s="503"/>
      <c r="BE88" s="32"/>
      <c r="BF88" s="503"/>
    </row>
    <row r="89" spans="1:58" ht="13.5" customHeight="1">
      <c r="A89" s="39"/>
      <c r="B89" s="40"/>
      <c r="C89" s="414"/>
      <c r="D89" s="40"/>
      <c r="E89" s="41"/>
      <c r="F89" s="41"/>
      <c r="G89" s="499"/>
      <c r="H89" s="43"/>
      <c r="I89" s="44"/>
      <c r="J89" s="81"/>
      <c r="K89" s="81"/>
      <c r="L89" s="34"/>
      <c r="M89" s="34"/>
      <c r="N89" s="45"/>
      <c r="O89" s="46"/>
      <c r="P89" s="47"/>
      <c r="Q89" s="46"/>
      <c r="R89" s="500"/>
      <c r="S89" s="500"/>
      <c r="T89" s="36"/>
      <c r="U89" s="36"/>
      <c r="V89" s="36"/>
      <c r="W89" s="36"/>
      <c r="X89" s="501"/>
      <c r="Y89" s="210"/>
      <c r="Z89" s="36"/>
      <c r="AA89" s="48"/>
      <c r="AB89" s="48"/>
      <c r="AC89" s="36"/>
      <c r="AD89" s="36"/>
      <c r="AE89" s="229"/>
      <c r="AF89" s="36"/>
      <c r="AG89" s="36"/>
      <c r="AH89" s="36"/>
      <c r="AI89" s="502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2"/>
      <c r="BC89" s="50"/>
      <c r="BD89" s="50"/>
      <c r="BE89" s="50"/>
      <c r="BF89" s="50"/>
    </row>
    <row r="90" spans="1:58" ht="12.75" customHeight="1">
      <c r="A90" s="39">
        <v>46129</v>
      </c>
      <c r="B90" s="40" t="s">
        <v>513</v>
      </c>
      <c r="C90" s="414">
        <f t="shared" ref="C90" si="181">(M90*E90*O90*Q90)/100000000</f>
        <v>44.943724799999998</v>
      </c>
      <c r="D90" s="40" t="s">
        <v>302</v>
      </c>
      <c r="E90" s="41">
        <v>13</v>
      </c>
      <c r="F90" s="41">
        <v>1</v>
      </c>
      <c r="G90" s="499">
        <v>1230</v>
      </c>
      <c r="H90" s="43">
        <f>+N90</f>
        <v>0.21999999999999997</v>
      </c>
      <c r="I90" s="44">
        <v>0.88</v>
      </c>
      <c r="J90" s="81">
        <f t="shared" ref="J90" si="182">E90*G90*(1-H90)*1440/1000000*2.74</f>
        <v>49.210312320000007</v>
      </c>
      <c r="K90" s="81">
        <f t="shared" ref="K90" si="183">(IF(G90&lt;L90,L90,G90)*(1-IF(H90&lt;N90,H90,N90))*E90*O90*Q90)/100000000</f>
        <v>46.067317920000001</v>
      </c>
      <c r="L90" s="34">
        <v>1200</v>
      </c>
      <c r="M90" s="34">
        <v>936</v>
      </c>
      <c r="N90" s="45">
        <f t="shared" ref="N90" si="184">1-(M90/L90)</f>
        <v>0.21999999999999997</v>
      </c>
      <c r="O90" s="46">
        <f>+'Trim Rwd'!H47</f>
        <v>256.5</v>
      </c>
      <c r="P90" s="47">
        <f t="shared" ref="P90" si="185">O90*(Q90-R90-S90)</f>
        <v>350379</v>
      </c>
      <c r="Q90" s="46">
        <v>1440</v>
      </c>
      <c r="R90" s="500">
        <v>0</v>
      </c>
      <c r="S90" s="500">
        <v>74</v>
      </c>
      <c r="T90" s="36">
        <f t="shared" ref="T90" si="186">E90*M90*O90*Q90/100000000</f>
        <v>44.943724799999998</v>
      </c>
      <c r="U90" s="36">
        <f t="shared" ref="U90" si="187">E90*M90*O90*(Q90-R90-S90)/100000000</f>
        <v>42.634116720000002</v>
      </c>
      <c r="V90" s="36">
        <f t="shared" ref="V90" si="188">E90*G90*(1-N90)*O90/100*(R90+S90)/1000000</f>
        <v>2.367348282</v>
      </c>
      <c r="W90" s="36">
        <f>+'17'!K14/1000</f>
        <v>42.759</v>
      </c>
      <c r="X90" s="501">
        <f>SUM(W90:W94)/SUM(K90:K94)</f>
        <v>0.92818514145439968</v>
      </c>
      <c r="Y90" s="210">
        <v>0</v>
      </c>
      <c r="Z90" s="36">
        <v>0</v>
      </c>
      <c r="AA90" s="48">
        <f>SUM(U90:U94)-SUM(W90:W94)-SUM(Z90:Z94)-SUM(Y90:Y94)</f>
        <v>-0.12488327999999882</v>
      </c>
      <c r="AB90" s="48">
        <f>(SUM(K90:K94)-SUM(W90:W94)-SUM(Y90:Y94)-SUM(Z90:Z94)-SUM(AC90:AC94)-SUM(V90:V94))-AA90</f>
        <v>-5.7740202000003293E-2</v>
      </c>
      <c r="AC90" s="36">
        <f>K90-T90</f>
        <v>1.1235931200000024</v>
      </c>
      <c r="AD90" s="36">
        <f>+AM90+BA90</f>
        <v>16</v>
      </c>
      <c r="AE90" s="229" t="s">
        <v>415</v>
      </c>
      <c r="AF90" s="36">
        <v>16</v>
      </c>
      <c r="AG90" s="36"/>
      <c r="AH90" s="36"/>
      <c r="AI90" s="36"/>
      <c r="AJ90" s="36"/>
      <c r="AK90" s="36"/>
      <c r="AL90" s="36"/>
      <c r="AM90" s="36">
        <f t="shared" ref="AM90:AM92" si="189">SUM(AF90:AL90)+AT90+AV90+AX90</f>
        <v>16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>
        <f>+AR90+AS90+AU90+AW90+AY90+AZ90</f>
        <v>0</v>
      </c>
      <c r="BB90" s="32">
        <v>6</v>
      </c>
      <c r="BC90" s="50"/>
      <c r="BD90" s="50"/>
      <c r="BE90" s="32"/>
      <c r="BF90" s="50"/>
    </row>
    <row r="91" spans="1:58" ht="12.95" customHeight="1">
      <c r="A91" s="39"/>
      <c r="B91" s="40"/>
      <c r="C91" s="414"/>
      <c r="D91" s="40"/>
      <c r="E91" s="41"/>
      <c r="F91" s="41"/>
      <c r="G91" s="499"/>
      <c r="H91" s="43"/>
      <c r="I91" s="44"/>
      <c r="J91" s="81"/>
      <c r="K91" s="81"/>
      <c r="L91" s="34"/>
      <c r="M91" s="34"/>
      <c r="N91" s="45"/>
      <c r="O91" s="46"/>
      <c r="P91" s="47"/>
      <c r="Q91" s="46"/>
      <c r="R91" s="500"/>
      <c r="S91" s="500"/>
      <c r="T91" s="36"/>
      <c r="U91" s="36"/>
      <c r="V91" s="36"/>
      <c r="W91" s="36"/>
      <c r="X91" s="37"/>
      <c r="Y91" s="210"/>
      <c r="Z91" s="36"/>
      <c r="AA91" s="36"/>
      <c r="AB91" s="36"/>
      <c r="AC91" s="36">
        <f>K91-T91</f>
        <v>0</v>
      </c>
      <c r="AD91" s="36">
        <f>+AM91+BA91</f>
        <v>6</v>
      </c>
      <c r="AE91" s="229" t="s">
        <v>480</v>
      </c>
      <c r="AF91" s="36"/>
      <c r="AG91" s="36">
        <v>6</v>
      </c>
      <c r="AH91" s="36"/>
      <c r="AI91" s="36"/>
      <c r="AJ91" s="36"/>
      <c r="AK91" s="36"/>
      <c r="AL91" s="36"/>
      <c r="AM91" s="36">
        <f t="shared" si="189"/>
        <v>6</v>
      </c>
      <c r="AN91" s="82"/>
      <c r="AO91" s="36"/>
      <c r="AP91" s="36"/>
      <c r="AQ91" s="36"/>
      <c r="AR91" s="36">
        <f t="shared" ref="AR91:AR92" si="190">SUM(AN91:AQ91)</f>
        <v>0</v>
      </c>
      <c r="AS91" s="36"/>
      <c r="AT91" s="36"/>
      <c r="AU91" s="36"/>
      <c r="AV91" s="36"/>
      <c r="AW91" s="36"/>
      <c r="AX91" s="36"/>
      <c r="AY91" s="36"/>
      <c r="AZ91" s="36"/>
      <c r="BA91" s="36">
        <f>+AR91+AS91+AU91+AW91+AY91+AZ91</f>
        <v>0</v>
      </c>
      <c r="BB91" s="49"/>
      <c r="BC91" s="50">
        <v>2</v>
      </c>
      <c r="BD91" s="50"/>
      <c r="BE91" s="49"/>
      <c r="BF91" s="50"/>
    </row>
    <row r="92" spans="1:58" ht="12.95" customHeight="1">
      <c r="A92" s="39"/>
      <c r="B92" s="40"/>
      <c r="C92" s="414"/>
      <c r="D92" s="40"/>
      <c r="E92" s="41"/>
      <c r="F92" s="41"/>
      <c r="G92" s="42"/>
      <c r="H92" s="43"/>
      <c r="I92" s="44"/>
      <c r="J92" s="81"/>
      <c r="K92" s="81"/>
      <c r="L92" s="34"/>
      <c r="M92" s="34"/>
      <c r="N92" s="45"/>
      <c r="O92" s="46"/>
      <c r="P92" s="47"/>
      <c r="Q92" s="46"/>
      <c r="R92" s="500"/>
      <c r="S92" s="500"/>
      <c r="T92" s="36"/>
      <c r="U92" s="36"/>
      <c r="V92" s="36"/>
      <c r="W92" s="36"/>
      <c r="X92" s="37"/>
      <c r="Y92" s="210"/>
      <c r="Z92" s="36"/>
      <c r="AA92" s="36"/>
      <c r="AB92" s="36"/>
      <c r="AC92" s="36"/>
      <c r="AD92" s="36">
        <f>+AM92+BA92</f>
        <v>52</v>
      </c>
      <c r="AE92" s="229" t="s">
        <v>552</v>
      </c>
      <c r="AF92" s="32"/>
      <c r="AG92" s="32"/>
      <c r="AH92" s="32">
        <v>52</v>
      </c>
      <c r="AI92" s="32"/>
      <c r="AJ92" s="36"/>
      <c r="AK92" s="36"/>
      <c r="AL92" s="36"/>
      <c r="AM92" s="36">
        <f t="shared" si="189"/>
        <v>52</v>
      </c>
      <c r="AN92" s="36"/>
      <c r="AO92" s="36"/>
      <c r="AP92" s="36"/>
      <c r="AQ92" s="36"/>
      <c r="AR92" s="36">
        <f t="shared" si="190"/>
        <v>0</v>
      </c>
      <c r="AS92" s="36"/>
      <c r="AT92" s="36"/>
      <c r="AU92" s="36"/>
      <c r="AV92" s="36"/>
      <c r="AW92" s="36"/>
      <c r="AX92" s="36"/>
      <c r="AY92" s="36"/>
      <c r="AZ92" s="36"/>
      <c r="BA92" s="36">
        <f>+AR92+AS92+AU92+AW92+AY92+AZ92</f>
        <v>0</v>
      </c>
      <c r="BB92" s="32"/>
      <c r="BC92" s="503"/>
      <c r="BD92" s="503"/>
      <c r="BE92" s="32"/>
      <c r="BF92" s="503"/>
    </row>
    <row r="93" spans="1:58" ht="12.95" customHeight="1">
      <c r="A93" s="39"/>
      <c r="B93" s="40"/>
      <c r="C93" s="414"/>
      <c r="D93" s="40"/>
      <c r="E93" s="41"/>
      <c r="F93" s="41"/>
      <c r="G93" s="42"/>
      <c r="H93" s="43"/>
      <c r="I93" s="44"/>
      <c r="J93" s="81"/>
      <c r="K93" s="81"/>
      <c r="L93" s="34"/>
      <c r="M93" s="34"/>
      <c r="N93" s="45"/>
      <c r="O93" s="46"/>
      <c r="P93" s="47"/>
      <c r="Q93" s="46"/>
      <c r="R93" s="500"/>
      <c r="S93" s="500"/>
      <c r="T93" s="36"/>
      <c r="U93" s="36"/>
      <c r="V93" s="36"/>
      <c r="W93" s="36"/>
      <c r="X93" s="37"/>
      <c r="Y93" s="210"/>
      <c r="Z93" s="36"/>
      <c r="AA93" s="36"/>
      <c r="AB93" s="36"/>
      <c r="AC93" s="36"/>
      <c r="AD93" s="36">
        <f>+AM93+BA93</f>
        <v>0</v>
      </c>
      <c r="AE93" s="232" t="s">
        <v>378</v>
      </c>
      <c r="AF93" s="32"/>
      <c r="AG93" s="32"/>
      <c r="AH93" s="32"/>
      <c r="AI93" s="32"/>
      <c r="AJ93" s="36"/>
      <c r="AK93" s="36"/>
      <c r="AL93" s="36"/>
      <c r="AM93" s="36">
        <f t="shared" ref="AM93" si="191">SUM(AF93:AL93)+AT93+AV93+AX93</f>
        <v>0</v>
      </c>
      <c r="AN93" s="36"/>
      <c r="AO93" s="36"/>
      <c r="AP93" s="36"/>
      <c r="AQ93" s="36"/>
      <c r="AR93" s="36">
        <f t="shared" ref="AR93" si="192">SUM(AN93:AQ93)</f>
        <v>0</v>
      </c>
      <c r="AS93" s="36"/>
      <c r="AT93" s="36"/>
      <c r="AU93" s="36"/>
      <c r="AV93" s="36"/>
      <c r="AW93" s="36"/>
      <c r="AX93" s="36"/>
      <c r="AY93" s="36"/>
      <c r="AZ93" s="36"/>
      <c r="BA93" s="36">
        <f>+AR93+AS93+AU93+AW93+AY93+AZ93</f>
        <v>0</v>
      </c>
      <c r="BB93" s="32"/>
      <c r="BC93" s="503"/>
      <c r="BD93" s="503"/>
      <c r="BE93" s="32"/>
      <c r="BF93" s="503"/>
    </row>
    <row r="94" spans="1:58" ht="13.5" customHeight="1">
      <c r="A94" s="39"/>
      <c r="B94" s="40"/>
      <c r="C94" s="414"/>
      <c r="D94" s="40"/>
      <c r="E94" s="41"/>
      <c r="F94" s="41"/>
      <c r="G94" s="499"/>
      <c r="H94" s="43"/>
      <c r="I94" s="44"/>
      <c r="J94" s="81"/>
      <c r="K94" s="81"/>
      <c r="L94" s="34"/>
      <c r="M94" s="34"/>
      <c r="N94" s="45"/>
      <c r="O94" s="46"/>
      <c r="P94" s="47"/>
      <c r="Q94" s="46"/>
      <c r="R94" s="500"/>
      <c r="S94" s="500"/>
      <c r="T94" s="36"/>
      <c r="U94" s="36"/>
      <c r="V94" s="36"/>
      <c r="W94" s="36"/>
      <c r="X94" s="501"/>
      <c r="Y94" s="210"/>
      <c r="Z94" s="36"/>
      <c r="AA94" s="48"/>
      <c r="AB94" s="48"/>
      <c r="AC94" s="36"/>
      <c r="AD94" s="36"/>
      <c r="AE94" s="229"/>
      <c r="AF94" s="36"/>
      <c r="AG94" s="36"/>
      <c r="AH94" s="36"/>
      <c r="AI94" s="502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2"/>
      <c r="BC94" s="50"/>
      <c r="BD94" s="50"/>
      <c r="BE94" s="50"/>
      <c r="BF94" s="50"/>
    </row>
    <row r="95" spans="1:58" ht="12.75" customHeight="1">
      <c r="A95" s="39">
        <v>46130</v>
      </c>
      <c r="B95" s="40" t="s">
        <v>513</v>
      </c>
      <c r="C95" s="414">
        <f t="shared" ref="C95" si="193">(M95*E95*O95*Q95)/100000000</f>
        <v>9.2696432400000006</v>
      </c>
      <c r="D95" s="40" t="s">
        <v>302</v>
      </c>
      <c r="E95" s="41">
        <v>13</v>
      </c>
      <c r="F95" s="41">
        <v>1</v>
      </c>
      <c r="G95" s="499">
        <v>1230</v>
      </c>
      <c r="H95" s="43">
        <f>+N95</f>
        <v>0.21999999999999997</v>
      </c>
      <c r="I95" s="44">
        <v>0.88</v>
      </c>
      <c r="J95" s="81">
        <f t="shared" ref="J95" si="194">E95*G95*(1-H95)*1440/1000000*2.74</f>
        <v>49.210312320000007</v>
      </c>
      <c r="K95" s="81">
        <f t="shared" ref="K95" si="195">(IF(G95&lt;L95,L95,G95)*(1-IF(H95&lt;N95,H95,N95))*E95*O95*Q95)/100000000</f>
        <v>9.5013843209999997</v>
      </c>
      <c r="L95" s="34">
        <v>1200</v>
      </c>
      <c r="M95" s="34">
        <v>936</v>
      </c>
      <c r="N95" s="45">
        <f t="shared" ref="N95" si="196">1-(M95/L95)</f>
        <v>0.21999999999999997</v>
      </c>
      <c r="O95" s="46">
        <f>+'Trim Rwd'!H49</f>
        <v>256.5</v>
      </c>
      <c r="P95" s="47">
        <f t="shared" ref="P95" si="197">O95*(Q95-R95-S95)</f>
        <v>71820</v>
      </c>
      <c r="Q95" s="46">
        <v>297</v>
      </c>
      <c r="R95" s="500">
        <v>0</v>
      </c>
      <c r="S95" s="500">
        <v>17</v>
      </c>
      <c r="T95" s="36">
        <f t="shared" ref="T95" si="198">E95*M95*O95*Q95/100000000</f>
        <v>9.2696432400000006</v>
      </c>
      <c r="U95" s="36">
        <f t="shared" ref="U95" si="199">E95*M95*O95*(Q95-R95-S95)/100000000</f>
        <v>8.7390576000000006</v>
      </c>
      <c r="V95" s="36">
        <f t="shared" ref="V95" si="200">E95*G95*(1-N95)*O95/100*(R95+S95)/1000000</f>
        <v>0.5438502810000001</v>
      </c>
      <c r="W95" s="36">
        <f>+'18'!K14/1000</f>
        <v>10.827999999999999</v>
      </c>
      <c r="X95" s="501">
        <f>SUM(W95:W99)/SUM(K95:K99)</f>
        <v>0.83110066625776835</v>
      </c>
      <c r="Y95" s="210">
        <v>0</v>
      </c>
      <c r="Z95" s="36">
        <v>0</v>
      </c>
      <c r="AA95" s="48">
        <f>SUM(U95:U99)-SUM(W95:W99)-SUM(Z95:Z99)-SUM(Y95:Y99)</f>
        <v>4.0212685927607268</v>
      </c>
      <c r="AB95" s="48">
        <f>(SUM(K95:K99)-SUM(W95:W99)-SUM(Y95:Y99)-SUM(Z95:Z99)-SUM(AC95:AC99)-SUM(V95:V99))-AA95</f>
        <v>-4.3881185210545848E-2</v>
      </c>
      <c r="AC95" s="36">
        <f>K95-T95</f>
        <v>0.23174108099999913</v>
      </c>
      <c r="AD95" s="36">
        <f>+AM95+BA95</f>
        <v>4</v>
      </c>
      <c r="AE95" s="229" t="s">
        <v>400</v>
      </c>
      <c r="AF95" s="36">
        <v>4</v>
      </c>
      <c r="AG95" s="36"/>
      <c r="AH95" s="36"/>
      <c r="AI95" s="36"/>
      <c r="AJ95" s="36"/>
      <c r="AK95" s="36"/>
      <c r="AL95" s="36"/>
      <c r="AM95" s="36">
        <f t="shared" ref="AM95:AM97" si="201">SUM(AF95:AL95)+AT95+AV95+AX95</f>
        <v>4</v>
      </c>
      <c r="AN95" s="36"/>
      <c r="AO95" s="36"/>
      <c r="AP95" s="36"/>
      <c r="AQ95" s="36"/>
      <c r="AR95" s="36">
        <f>SUM(AN95:AQ95)</f>
        <v>0</v>
      </c>
      <c r="AS95" s="36"/>
      <c r="AT95" s="36"/>
      <c r="AU95" s="36"/>
      <c r="AV95" s="36"/>
      <c r="AW95" s="36"/>
      <c r="AX95" s="36"/>
      <c r="AY95" s="36"/>
      <c r="AZ95" s="36"/>
      <c r="BA95" s="36">
        <f>+AR95+AS95+AU95+AW95+AY95+AZ95</f>
        <v>0</v>
      </c>
      <c r="BB95" s="32">
        <v>2</v>
      </c>
      <c r="BC95" s="50"/>
      <c r="BD95" s="50"/>
      <c r="BE95" s="32"/>
      <c r="BF95" s="50"/>
    </row>
    <row r="96" spans="1:58" ht="12.95" customHeight="1">
      <c r="A96" s="39"/>
      <c r="B96" s="40" t="s">
        <v>513</v>
      </c>
      <c r="C96" s="414">
        <f t="shared" ref="C96:C97" si="202">(M96*E96*O96*Q96)/100000000</f>
        <v>2.7190169279999994</v>
      </c>
      <c r="D96" s="40" t="s">
        <v>302</v>
      </c>
      <c r="E96" s="41">
        <v>12</v>
      </c>
      <c r="F96" s="41">
        <v>1</v>
      </c>
      <c r="G96" s="499">
        <v>1230</v>
      </c>
      <c r="H96" s="43">
        <f t="shared" ref="H96:H97" si="203">+N96</f>
        <v>0.26</v>
      </c>
      <c r="I96" s="44">
        <v>0.88</v>
      </c>
      <c r="J96" s="81">
        <f t="shared" ref="J96:J97" si="204">E96*G96*(1-H96)*1440/1000000*2.74</f>
        <v>43.095421440000003</v>
      </c>
      <c r="K96" s="81">
        <f t="shared" ref="K96:K97" si="205">(IF(G96&lt;L96,L96,G96)*(1-IF(H96&lt;N96,H96,N96))*E96*O96*Q96)/100000000</f>
        <v>2.7413039520000004</v>
      </c>
      <c r="L96" s="34">
        <v>1220</v>
      </c>
      <c r="M96" s="34">
        <v>902.8</v>
      </c>
      <c r="N96" s="45">
        <f t="shared" ref="N96:N97" si="206">1-(M96/L96)</f>
        <v>0.26</v>
      </c>
      <c r="O96" s="46">
        <f>+'Trim Rwd'!H51</f>
        <v>267</v>
      </c>
      <c r="P96" s="47">
        <f t="shared" ref="P96:P97" si="207">O96*(Q96-R96-S96)</f>
        <v>23229</v>
      </c>
      <c r="Q96" s="46">
        <v>94</v>
      </c>
      <c r="R96" s="500">
        <v>0</v>
      </c>
      <c r="S96" s="500">
        <v>7</v>
      </c>
      <c r="T96" s="36">
        <f t="shared" ref="T96:T97" si="208">E96*M96*O96*Q96/100000000</f>
        <v>2.7190169279999994</v>
      </c>
      <c r="U96" s="36">
        <f t="shared" ref="U96:U97" si="209">E96*M96*O96*(Q96-R96-S96)/100000000</f>
        <v>2.5165369439999998</v>
      </c>
      <c r="V96" s="36">
        <f t="shared" ref="V96:V97" si="210">E96*G96*(1-N96)*O96/100*(R96+S96)/1000000</f>
        <v>0.20413965599999997</v>
      </c>
      <c r="W96" s="36">
        <f>+'18'!K15/1000</f>
        <v>3.0649999999999999</v>
      </c>
      <c r="X96" s="37"/>
      <c r="Y96" s="210"/>
      <c r="Z96" s="36"/>
      <c r="AA96" s="36"/>
      <c r="AB96" s="36"/>
      <c r="AC96" s="36">
        <f>K96-T96</f>
        <v>2.2287024000001043E-2</v>
      </c>
      <c r="AD96" s="36">
        <f>+AM96+BA96</f>
        <v>6</v>
      </c>
      <c r="AE96" s="229" t="s">
        <v>465</v>
      </c>
      <c r="AF96" s="36"/>
      <c r="AG96" s="36">
        <v>6</v>
      </c>
      <c r="AH96" s="36"/>
      <c r="AI96" s="36"/>
      <c r="AJ96" s="36"/>
      <c r="AK96" s="36"/>
      <c r="AL96" s="36"/>
      <c r="AM96" s="36">
        <f t="shared" si="201"/>
        <v>6</v>
      </c>
      <c r="AN96" s="82"/>
      <c r="AO96" s="36"/>
      <c r="AP96" s="36"/>
      <c r="AQ96" s="36"/>
      <c r="AR96" s="36">
        <f t="shared" ref="AR96:AR97" si="211">SUM(AN96:AQ96)</f>
        <v>0</v>
      </c>
      <c r="AS96" s="36"/>
      <c r="AT96" s="36"/>
      <c r="AU96" s="36"/>
      <c r="AV96" s="36"/>
      <c r="AW96" s="36"/>
      <c r="AX96" s="36"/>
      <c r="AY96" s="36"/>
      <c r="AZ96" s="36"/>
      <c r="BA96" s="36">
        <f>+AR96+AS96+AU96+AW96+AY96+AZ96</f>
        <v>0</v>
      </c>
      <c r="BB96" s="49"/>
      <c r="BC96" s="50">
        <v>3</v>
      </c>
      <c r="BD96" s="50"/>
      <c r="BE96" s="49"/>
      <c r="BF96" s="50"/>
    </row>
    <row r="97" spans="1:58" ht="12.95" customHeight="1">
      <c r="A97" s="39"/>
      <c r="B97" s="40" t="s">
        <v>513</v>
      </c>
      <c r="C97" s="414">
        <f t="shared" si="202"/>
        <v>30.599282556249996</v>
      </c>
      <c r="D97" s="40" t="s">
        <v>302</v>
      </c>
      <c r="E97" s="41">
        <v>12.5</v>
      </c>
      <c r="F97" s="41">
        <v>1</v>
      </c>
      <c r="G97" s="499">
        <v>1230</v>
      </c>
      <c r="H97" s="43">
        <f t="shared" si="203"/>
        <v>0.23957013068921196</v>
      </c>
      <c r="I97" s="44">
        <v>0.88</v>
      </c>
      <c r="J97" s="81">
        <f t="shared" si="204"/>
        <v>46.130413419921922</v>
      </c>
      <c r="K97" s="81">
        <f t="shared" si="205"/>
        <v>31.519760100154627</v>
      </c>
      <c r="L97" s="34">
        <v>1194.0800762631077</v>
      </c>
      <c r="M97" s="34">
        <v>908.01415633937086</v>
      </c>
      <c r="N97" s="45">
        <f t="shared" si="206"/>
        <v>0.23957013068921196</v>
      </c>
      <c r="O97" s="46">
        <f>+'Trim Rwd'!H50</f>
        <v>257</v>
      </c>
      <c r="P97" s="47">
        <f t="shared" si="207"/>
        <v>261112</v>
      </c>
      <c r="Q97" s="46">
        <v>1049</v>
      </c>
      <c r="R97" s="500">
        <v>0</v>
      </c>
      <c r="S97" s="500">
        <f>57-S95-S96</f>
        <v>33</v>
      </c>
      <c r="T97" s="36">
        <f t="shared" si="208"/>
        <v>30.599282556249996</v>
      </c>
      <c r="U97" s="36">
        <f t="shared" si="209"/>
        <v>29.636674048760725</v>
      </c>
      <c r="V97" s="36">
        <f t="shared" si="210"/>
        <v>0.99156537969981196</v>
      </c>
      <c r="W97" s="36">
        <f>+'18'!K16/1000</f>
        <v>22.478000000000002</v>
      </c>
      <c r="X97" s="37"/>
      <c r="Y97" s="210"/>
      <c r="Z97" s="36">
        <f>+'18'!D16/1000</f>
        <v>0.5</v>
      </c>
      <c r="AA97" s="36"/>
      <c r="AB97" s="36"/>
      <c r="AC97" s="36">
        <f>K97-T97</f>
        <v>0.92047754390463155</v>
      </c>
      <c r="AD97" s="36">
        <f>+AM97+BA97</f>
        <v>47</v>
      </c>
      <c r="AE97" s="229" t="s">
        <v>532</v>
      </c>
      <c r="AF97" s="32"/>
      <c r="AG97" s="32"/>
      <c r="AH97" s="32">
        <v>47</v>
      </c>
      <c r="AI97" s="32"/>
      <c r="AJ97" s="36"/>
      <c r="AK97" s="36"/>
      <c r="AL97" s="36"/>
      <c r="AM97" s="36">
        <f t="shared" si="201"/>
        <v>47</v>
      </c>
      <c r="AN97" s="36"/>
      <c r="AO97" s="36"/>
      <c r="AP97" s="36"/>
      <c r="AQ97" s="36"/>
      <c r="AR97" s="36">
        <f t="shared" si="211"/>
        <v>0</v>
      </c>
      <c r="AS97" s="36"/>
      <c r="AT97" s="36"/>
      <c r="AU97" s="36"/>
      <c r="AV97" s="36"/>
      <c r="AW97" s="36"/>
      <c r="AX97" s="36"/>
      <c r="AY97" s="36"/>
      <c r="AZ97" s="36"/>
      <c r="BA97" s="36">
        <f>+AR97+AS97+AU97+AW97+AY97+AZ97</f>
        <v>0</v>
      </c>
      <c r="BB97" s="32"/>
      <c r="BC97" s="503"/>
      <c r="BD97" s="503"/>
      <c r="BE97" s="32"/>
      <c r="BF97" s="503"/>
    </row>
    <row r="98" spans="1:58" ht="12.95" customHeight="1">
      <c r="A98" s="39"/>
      <c r="B98" s="40"/>
      <c r="C98" s="414"/>
      <c r="D98" s="40"/>
      <c r="E98" s="41"/>
      <c r="F98" s="41"/>
      <c r="G98" s="42"/>
      <c r="H98" s="43"/>
      <c r="I98" s="44"/>
      <c r="J98" s="81"/>
      <c r="K98" s="81"/>
      <c r="L98" s="34"/>
      <c r="M98" s="34"/>
      <c r="N98" s="45"/>
      <c r="O98" s="46"/>
      <c r="P98" s="47"/>
      <c r="Q98" s="46"/>
      <c r="R98" s="500"/>
      <c r="S98" s="500"/>
      <c r="T98" s="36"/>
      <c r="U98" s="36"/>
      <c r="V98" s="36"/>
      <c r="W98" s="36"/>
      <c r="X98" s="37"/>
      <c r="Y98" s="210"/>
      <c r="Z98" s="36"/>
      <c r="AA98" s="36"/>
      <c r="AB98" s="36"/>
      <c r="AC98" s="36"/>
      <c r="AD98" s="36">
        <f>+AM98+BA98</f>
        <v>0</v>
      </c>
      <c r="AE98" s="232" t="s">
        <v>378</v>
      </c>
      <c r="AF98" s="32"/>
      <c r="AG98" s="32"/>
      <c r="AH98" s="32"/>
      <c r="AI98" s="32"/>
      <c r="AJ98" s="36"/>
      <c r="AK98" s="36"/>
      <c r="AL98" s="36"/>
      <c r="AM98" s="36">
        <f t="shared" ref="AM98" si="212">SUM(AF98:AL98)+AT98+AV98+AX98</f>
        <v>0</v>
      </c>
      <c r="AN98" s="36"/>
      <c r="AO98" s="36"/>
      <c r="AP98" s="36"/>
      <c r="AQ98" s="36"/>
      <c r="AR98" s="36">
        <f t="shared" ref="AR98" si="213">SUM(AN98:AQ98)</f>
        <v>0</v>
      </c>
      <c r="AS98" s="36"/>
      <c r="AT98" s="36"/>
      <c r="AU98" s="36"/>
      <c r="AV98" s="36"/>
      <c r="AW98" s="36"/>
      <c r="AX98" s="36"/>
      <c r="AY98" s="36"/>
      <c r="AZ98" s="36"/>
      <c r="BA98" s="36">
        <f>+AR98+AS98+AU98+AW98+AY98+AZ98</f>
        <v>0</v>
      </c>
      <c r="BB98" s="32"/>
      <c r="BC98" s="503"/>
      <c r="BD98" s="503"/>
      <c r="BE98" s="32"/>
      <c r="BF98" s="503"/>
    </row>
    <row r="99" spans="1:58" ht="13.5" customHeight="1">
      <c r="A99" s="39"/>
      <c r="B99" s="40"/>
      <c r="C99" s="414"/>
      <c r="D99" s="40"/>
      <c r="E99" s="41"/>
      <c r="F99" s="41"/>
      <c r="G99" s="499"/>
      <c r="H99" s="43"/>
      <c r="I99" s="44"/>
      <c r="J99" s="81"/>
      <c r="K99" s="81"/>
      <c r="L99" s="34"/>
      <c r="M99" s="34"/>
      <c r="N99" s="45"/>
      <c r="O99" s="46"/>
      <c r="P99" s="47"/>
      <c r="Q99" s="46"/>
      <c r="R99" s="500"/>
      <c r="S99" s="500"/>
      <c r="T99" s="36"/>
      <c r="U99" s="36"/>
      <c r="V99" s="36"/>
      <c r="W99" s="36"/>
      <c r="X99" s="501"/>
      <c r="Y99" s="210"/>
      <c r="Z99" s="36"/>
      <c r="AA99" s="48"/>
      <c r="AB99" s="48"/>
      <c r="AC99" s="36"/>
      <c r="AD99" s="36"/>
      <c r="AE99" s="229"/>
      <c r="AF99" s="36"/>
      <c r="AG99" s="36"/>
      <c r="AH99" s="36"/>
      <c r="AI99" s="502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2"/>
      <c r="BC99" s="50"/>
      <c r="BD99" s="50"/>
      <c r="BE99" s="50"/>
      <c r="BF99" s="50"/>
    </row>
    <row r="100" spans="1:58" ht="12.75" customHeight="1">
      <c r="A100" s="39">
        <v>46131</v>
      </c>
      <c r="B100" s="40" t="s">
        <v>513</v>
      </c>
      <c r="C100" s="414">
        <f t="shared" ref="C100" si="214">(M100*E100*O100*Q100)/100000000</f>
        <v>25.811537999999999</v>
      </c>
      <c r="D100" s="40" t="s">
        <v>302</v>
      </c>
      <c r="E100" s="41">
        <v>12.5</v>
      </c>
      <c r="F100" s="41">
        <v>1</v>
      </c>
      <c r="G100" s="499">
        <v>1230</v>
      </c>
      <c r="H100" s="43">
        <f>+N100</f>
        <v>0.24</v>
      </c>
      <c r="I100" s="44">
        <v>0.88</v>
      </c>
      <c r="J100" s="81">
        <f t="shared" ref="J100" si="215">E100*G100*(1-H100)*1440/1000000*2.74</f>
        <v>46.104336000000004</v>
      </c>
      <c r="K100" s="81">
        <f t="shared" ref="K100" si="216">(IF(G100&lt;L100,L100,G100)*(1-IF(H100&lt;N100,H100,N100))*E100*O100*Q100)/100000000</f>
        <v>26.456826450000001</v>
      </c>
      <c r="L100" s="34">
        <v>1200</v>
      </c>
      <c r="M100" s="34">
        <v>912</v>
      </c>
      <c r="N100" s="45">
        <f t="shared" ref="N100" si="217">1-(M100/L100)</f>
        <v>0.24</v>
      </c>
      <c r="O100" s="46">
        <f>+'Trim Rwd'!H53</f>
        <v>257</v>
      </c>
      <c r="P100" s="47">
        <f t="shared" ref="P100" si="218">O100*(Q100-R100-S100)</f>
        <v>215623</v>
      </c>
      <c r="Q100" s="46">
        <v>881</v>
      </c>
      <c r="R100" s="500">
        <v>0</v>
      </c>
      <c r="S100" s="500">
        <v>42</v>
      </c>
      <c r="T100" s="36">
        <f t="shared" ref="T100" si="219">E100*M100*O100*Q100/100000000</f>
        <v>25.811537999999999</v>
      </c>
      <c r="U100" s="36">
        <f t="shared" ref="U100" si="220">E100*M100*O100*(Q100-R100-S100)/100000000</f>
        <v>24.581022000000001</v>
      </c>
      <c r="V100" s="36">
        <f t="shared" ref="V100" si="221">E100*G100*(1-N100)*O100/100*(R100+S100)/1000000</f>
        <v>1.2612789000000002</v>
      </c>
      <c r="W100" s="36">
        <f>+'19'!K16/1000</f>
        <v>28.995999999999999</v>
      </c>
      <c r="X100" s="501">
        <f>SUM(W100:W104)/SUM(K100:K104)</f>
        <v>0.9045540267092278</v>
      </c>
      <c r="Y100" s="210">
        <v>0</v>
      </c>
      <c r="Z100" s="36">
        <v>0</v>
      </c>
      <c r="AA100" s="48">
        <f>SUM(U100:U104)-SUM(W100:W104)-SUM(Z100:Z104)-SUM(Y100:Y104)</f>
        <v>-0.22420627999999709</v>
      </c>
      <c r="AB100" s="48">
        <f>(SUM(K100:K104)-SUM(W100:W104)-SUM(Y100:Y104)-SUM(Z100:Z104)-SUM(AC100:AC104)-SUM(V100:V104))-AA100</f>
        <v>-0.11152115550000197</v>
      </c>
      <c r="AC100" s="36">
        <f>K100-T100</f>
        <v>0.64528845000000246</v>
      </c>
      <c r="AD100" s="36">
        <f>+AM100+BA100</f>
        <v>12</v>
      </c>
      <c r="AE100" s="229" t="s">
        <v>415</v>
      </c>
      <c r="AF100" s="36">
        <v>12</v>
      </c>
      <c r="AG100" s="36"/>
      <c r="AH100" s="36"/>
      <c r="AI100" s="36"/>
      <c r="AJ100" s="36"/>
      <c r="AK100" s="36"/>
      <c r="AL100" s="36"/>
      <c r="AM100" s="36">
        <f t="shared" ref="AM100:AM102" si="222">SUM(AF100:AL100)+AT100+AV100+AX100</f>
        <v>12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>
        <f>+AR100+AS100+AU100+AW100+AY100+AZ100</f>
        <v>0</v>
      </c>
      <c r="BB100" s="32">
        <v>6</v>
      </c>
      <c r="BC100" s="50"/>
      <c r="BD100" s="50"/>
      <c r="BE100" s="32"/>
      <c r="BF100" s="50"/>
    </row>
    <row r="101" spans="1:58" ht="12.95" customHeight="1">
      <c r="A101" s="39"/>
      <c r="B101" s="40" t="s">
        <v>513</v>
      </c>
      <c r="C101" s="414">
        <f t="shared" ref="C101" si="223">(M101*E101*O101*Q101)/100000000</f>
        <v>16.608110804999999</v>
      </c>
      <c r="D101" s="40" t="s">
        <v>302</v>
      </c>
      <c r="E101" s="41">
        <v>13.5</v>
      </c>
      <c r="F101" s="41">
        <v>1</v>
      </c>
      <c r="G101" s="499">
        <v>1230</v>
      </c>
      <c r="H101" s="43">
        <f>+N101</f>
        <v>0.21999999999999997</v>
      </c>
      <c r="I101" s="44">
        <v>0.88</v>
      </c>
      <c r="J101" s="81">
        <f t="shared" ref="J101" si="224">E101*G101*(1-H101)*1440/1000000*2.74</f>
        <v>51.10301664</v>
      </c>
      <c r="K101" s="81">
        <f t="shared" ref="K101" si="225">(IF(G101&lt;L101,L101,G101)*(1-IF(H101&lt;N101,H101,N101))*E101*O101*Q101)/100000000</f>
        <v>18.570887536500003</v>
      </c>
      <c r="L101" s="34">
        <v>1100</v>
      </c>
      <c r="M101" s="34">
        <v>858</v>
      </c>
      <c r="N101" s="45">
        <f t="shared" ref="N101" si="226">1-(M101/L101)</f>
        <v>0.21999999999999997</v>
      </c>
      <c r="O101" s="46">
        <f>+'Trim Rwd'!H54</f>
        <v>256.5</v>
      </c>
      <c r="P101" s="47">
        <f t="shared" ref="P101" si="227">O101*(Q101-R101-S101)</f>
        <v>137484</v>
      </c>
      <c r="Q101" s="46">
        <v>559</v>
      </c>
      <c r="R101" s="500">
        <v>0</v>
      </c>
      <c r="S101" s="500">
        <f>65-S100</f>
        <v>23</v>
      </c>
      <c r="T101" s="36">
        <f t="shared" ref="T101" si="228">E101*M101*O101*Q101/100000000</f>
        <v>16.608110804999999</v>
      </c>
      <c r="U101" s="36">
        <f t="shared" ref="U101" si="229">E101*M101*O101*(Q101-R101-S101)/100000000</f>
        <v>15.924771720000001</v>
      </c>
      <c r="V101" s="36">
        <f t="shared" ref="V101" si="230">E101*G101*(1-N101)*O101/100*(R101+S101)/1000000</f>
        <v>0.7640973405</v>
      </c>
      <c r="W101" s="36">
        <f>+'19'!K17/1000</f>
        <v>11.734</v>
      </c>
      <c r="X101" s="37"/>
      <c r="Y101" s="210"/>
      <c r="Z101" s="36"/>
      <c r="AA101" s="36"/>
      <c r="AB101" s="36"/>
      <c r="AC101" s="36">
        <f>K101-T101</f>
        <v>1.9627767315000035</v>
      </c>
      <c r="AD101" s="36">
        <f>+AM101+BA101</f>
        <v>2</v>
      </c>
      <c r="AE101" s="229" t="s">
        <v>414</v>
      </c>
      <c r="AF101" s="36"/>
      <c r="AG101" s="36">
        <v>2</v>
      </c>
      <c r="AH101" s="36"/>
      <c r="AI101" s="36"/>
      <c r="AJ101" s="36"/>
      <c r="AK101" s="36"/>
      <c r="AL101" s="36"/>
      <c r="AM101" s="36">
        <f t="shared" si="222"/>
        <v>2</v>
      </c>
      <c r="AN101" s="82"/>
      <c r="AO101" s="36"/>
      <c r="AP101" s="36"/>
      <c r="AQ101" s="36"/>
      <c r="AR101" s="36">
        <f t="shared" ref="AR101:AR102" si="231">SUM(AN101:AQ101)</f>
        <v>0</v>
      </c>
      <c r="AS101" s="36"/>
      <c r="AT101" s="36"/>
      <c r="AU101" s="36"/>
      <c r="AV101" s="36"/>
      <c r="AW101" s="36"/>
      <c r="AX101" s="36"/>
      <c r="AY101" s="36"/>
      <c r="AZ101" s="36"/>
      <c r="BA101" s="36">
        <f>+AR101+AS101+AU101+AW101+AY101+AZ101</f>
        <v>0</v>
      </c>
      <c r="BB101" s="49"/>
      <c r="BC101" s="50">
        <v>1</v>
      </c>
      <c r="BD101" s="50"/>
      <c r="BE101" s="49"/>
      <c r="BF101" s="50"/>
    </row>
    <row r="102" spans="1:58" ht="12.95" customHeight="1">
      <c r="A102" s="39"/>
      <c r="B102" s="40"/>
      <c r="C102" s="414"/>
      <c r="D102" s="40"/>
      <c r="E102" s="41"/>
      <c r="F102" s="41"/>
      <c r="G102" s="42"/>
      <c r="H102" s="43"/>
      <c r="I102" s="44"/>
      <c r="J102" s="81"/>
      <c r="K102" s="81"/>
      <c r="L102" s="34"/>
      <c r="M102" s="34"/>
      <c r="N102" s="45"/>
      <c r="O102" s="46"/>
      <c r="P102" s="47"/>
      <c r="Q102" s="46"/>
      <c r="R102" s="500"/>
      <c r="S102" s="500"/>
      <c r="T102" s="36"/>
      <c r="U102" s="36"/>
      <c r="V102" s="36"/>
      <c r="W102" s="36"/>
      <c r="X102" s="37"/>
      <c r="Y102" s="210"/>
      <c r="Z102" s="36"/>
      <c r="AA102" s="36"/>
      <c r="AB102" s="36"/>
      <c r="AC102" s="36"/>
      <c r="AD102" s="36">
        <f>+AM102+BA102</f>
        <v>51</v>
      </c>
      <c r="AE102" s="229" t="s">
        <v>467</v>
      </c>
      <c r="AF102" s="32"/>
      <c r="AG102" s="32"/>
      <c r="AH102" s="32">
        <v>51</v>
      </c>
      <c r="AI102" s="32"/>
      <c r="AJ102" s="36"/>
      <c r="AK102" s="36"/>
      <c r="AL102" s="36"/>
      <c r="AM102" s="36">
        <f t="shared" si="222"/>
        <v>51</v>
      </c>
      <c r="AN102" s="36"/>
      <c r="AO102" s="36"/>
      <c r="AP102" s="36"/>
      <c r="AQ102" s="36"/>
      <c r="AR102" s="36">
        <f t="shared" si="231"/>
        <v>0</v>
      </c>
      <c r="AS102" s="36"/>
      <c r="AT102" s="36"/>
      <c r="AU102" s="36"/>
      <c r="AV102" s="36"/>
      <c r="AW102" s="36"/>
      <c r="AX102" s="36"/>
      <c r="AY102" s="36"/>
      <c r="AZ102" s="36"/>
      <c r="BA102" s="36">
        <f>+AR102+AS102+AU102+AW102+AY102+AZ102</f>
        <v>0</v>
      </c>
      <c r="BB102" s="32"/>
      <c r="BC102" s="503"/>
      <c r="BD102" s="503"/>
      <c r="BE102" s="32"/>
      <c r="BF102" s="503"/>
    </row>
    <row r="103" spans="1:58" ht="12.95" customHeight="1">
      <c r="A103" s="39"/>
      <c r="B103" s="40"/>
      <c r="C103" s="414"/>
      <c r="D103" s="40"/>
      <c r="E103" s="41"/>
      <c r="F103" s="41"/>
      <c r="G103" s="42"/>
      <c r="H103" s="43"/>
      <c r="I103" s="44"/>
      <c r="J103" s="81"/>
      <c r="K103" s="81"/>
      <c r="L103" s="34"/>
      <c r="M103" s="34"/>
      <c r="N103" s="45"/>
      <c r="O103" s="46"/>
      <c r="P103" s="47"/>
      <c r="Q103" s="46"/>
      <c r="R103" s="500"/>
      <c r="S103" s="500"/>
      <c r="T103" s="36"/>
      <c r="U103" s="36"/>
      <c r="V103" s="36"/>
      <c r="W103" s="36"/>
      <c r="X103" s="37"/>
      <c r="Y103" s="210"/>
      <c r="Z103" s="36"/>
      <c r="AA103" s="36"/>
      <c r="AB103" s="36"/>
      <c r="AC103" s="36"/>
      <c r="AD103" s="36">
        <f>+AM103+BA103</f>
        <v>0</v>
      </c>
      <c r="AE103" s="232" t="s">
        <v>378</v>
      </c>
      <c r="AF103" s="32"/>
      <c r="AG103" s="32"/>
      <c r="AH103" s="32"/>
      <c r="AI103" s="32"/>
      <c r="AJ103" s="36"/>
      <c r="AK103" s="36"/>
      <c r="AL103" s="36"/>
      <c r="AM103" s="36">
        <f t="shared" ref="AM103" si="232">SUM(AF103:AL103)+AT103+AV103+AX103</f>
        <v>0</v>
      </c>
      <c r="AN103" s="36"/>
      <c r="AO103" s="36"/>
      <c r="AP103" s="36"/>
      <c r="AQ103" s="36"/>
      <c r="AR103" s="36">
        <f t="shared" ref="AR103" si="233">SUM(AN103:AQ103)</f>
        <v>0</v>
      </c>
      <c r="AS103" s="36"/>
      <c r="AT103" s="36"/>
      <c r="AU103" s="36"/>
      <c r="AV103" s="36"/>
      <c r="AW103" s="36"/>
      <c r="AX103" s="36"/>
      <c r="AY103" s="36"/>
      <c r="AZ103" s="36"/>
      <c r="BA103" s="36">
        <f>+AR103+AS103+AU103+AW103+AY103+AZ103</f>
        <v>0</v>
      </c>
      <c r="BB103" s="32"/>
      <c r="BC103" s="503"/>
      <c r="BD103" s="503"/>
      <c r="BE103" s="32"/>
      <c r="BF103" s="503"/>
    </row>
    <row r="104" spans="1:58" ht="13.5" customHeight="1">
      <c r="A104" s="39"/>
      <c r="B104" s="40"/>
      <c r="C104" s="414"/>
      <c r="D104" s="40"/>
      <c r="E104" s="41"/>
      <c r="F104" s="41"/>
      <c r="G104" s="499"/>
      <c r="H104" s="43"/>
      <c r="I104" s="44"/>
      <c r="J104" s="81"/>
      <c r="K104" s="81"/>
      <c r="L104" s="34"/>
      <c r="M104" s="34"/>
      <c r="N104" s="45"/>
      <c r="O104" s="46"/>
      <c r="P104" s="47"/>
      <c r="Q104" s="46"/>
      <c r="R104" s="500"/>
      <c r="S104" s="500"/>
      <c r="T104" s="36"/>
      <c r="U104" s="36"/>
      <c r="V104" s="36"/>
      <c r="W104" s="36"/>
      <c r="X104" s="501"/>
      <c r="Y104" s="210"/>
      <c r="Z104" s="36"/>
      <c r="AA104" s="48"/>
      <c r="AB104" s="48"/>
      <c r="AC104" s="36"/>
      <c r="AD104" s="36"/>
      <c r="AE104" s="229"/>
      <c r="AF104" s="36"/>
      <c r="AG104" s="36"/>
      <c r="AH104" s="36"/>
      <c r="AI104" s="502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2"/>
      <c r="BC104" s="50"/>
      <c r="BD104" s="50"/>
      <c r="BE104" s="50"/>
      <c r="BF104" s="50"/>
    </row>
    <row r="105" spans="1:58" ht="12.75" customHeight="1">
      <c r="A105" s="39">
        <v>46132</v>
      </c>
      <c r="B105" s="40" t="s">
        <v>513</v>
      </c>
      <c r="C105" s="414">
        <f t="shared" ref="C105:C106" si="234">(M105*E105*O105*Q105)/100000000</f>
        <v>2.4200467200000002</v>
      </c>
      <c r="D105" s="40" t="s">
        <v>302</v>
      </c>
      <c r="E105" s="41">
        <v>13.5</v>
      </c>
      <c r="F105" s="41">
        <v>1</v>
      </c>
      <c r="G105" s="499">
        <v>1230</v>
      </c>
      <c r="H105" s="43">
        <f>+N105</f>
        <v>0.21999999999999997</v>
      </c>
      <c r="I105" s="44">
        <v>0.88</v>
      </c>
      <c r="J105" s="81">
        <f t="shared" ref="J105:J106" si="235">E105*G105*(1-H105)*1440/1000000*2.74</f>
        <v>51.10301664</v>
      </c>
      <c r="K105" s="81">
        <f t="shared" ref="K105:K106" si="236">(IF(G105&lt;L105,L105,G105)*(1-IF(H105&lt;N105,H105,N105))*E105*O105*Q105)/100000000</f>
        <v>2.6577298800000002</v>
      </c>
      <c r="L105" s="34">
        <v>1120</v>
      </c>
      <c r="M105" s="34">
        <v>873.6</v>
      </c>
      <c r="N105" s="45">
        <f t="shared" ref="N105:N106" si="237">1-(M105/L105)</f>
        <v>0.21999999999999997</v>
      </c>
      <c r="O105" s="46">
        <f>+'Trim Rwd'!H58</f>
        <v>256.5</v>
      </c>
      <c r="P105" s="47">
        <f t="shared" ref="P105:P106" si="238">O105*(Q105-R105-S105)</f>
        <v>19237.5</v>
      </c>
      <c r="Q105" s="46">
        <v>80</v>
      </c>
      <c r="R105" s="500">
        <v>0</v>
      </c>
      <c r="S105" s="500">
        <v>5</v>
      </c>
      <c r="T105" s="36">
        <f t="shared" ref="T105:T106" si="239">E105*M105*O105*Q105/100000000</f>
        <v>2.4200467200000002</v>
      </c>
      <c r="U105" s="36">
        <f t="shared" ref="U105:U106" si="240">E105*M105*O105*(Q105-R105-S105)/100000000</f>
        <v>2.2687938000000001</v>
      </c>
      <c r="V105" s="36">
        <f t="shared" ref="V105:V106" si="241">E105*G105*(1-N105)*O105/100*(R105+S105)/1000000</f>
        <v>0.16610811749999999</v>
      </c>
      <c r="W105" s="36">
        <f>+'20'!K17/1000</f>
        <v>5.7460000000000004</v>
      </c>
      <c r="X105" s="501">
        <f>SUM(W105:W109)/SUM(K105:K109)</f>
        <v>0.89882204575769642</v>
      </c>
      <c r="Y105" s="210">
        <v>0</v>
      </c>
      <c r="Z105" s="36">
        <v>0</v>
      </c>
      <c r="AA105" s="48">
        <f>SUM(U105:U109)-SUM(W105:W109)-SUM(Z105:Z109)-SUM(Y105:Y109)</f>
        <v>1.9953842204651151</v>
      </c>
      <c r="AB105" s="48">
        <f>(SUM(K105:K109)-SUM(W105:W109)-SUM(Y105:Y109)-SUM(Z105:Z109)-SUM(AC105:AC109)-SUM(V105:V109))-AA105</f>
        <v>-1.4855197499998862E-2</v>
      </c>
      <c r="AC105" s="36">
        <f>K105-T105</f>
        <v>0.23768316</v>
      </c>
      <c r="AD105" s="36">
        <f>+AM105+BA105</f>
        <v>12</v>
      </c>
      <c r="AE105" s="229" t="s">
        <v>415</v>
      </c>
      <c r="AF105" s="36">
        <v>12</v>
      </c>
      <c r="AG105" s="36"/>
      <c r="AH105" s="36"/>
      <c r="AI105" s="36"/>
      <c r="AJ105" s="36"/>
      <c r="AK105" s="36"/>
      <c r="AL105" s="36"/>
      <c r="AM105" s="36">
        <f t="shared" ref="AM105:AM107" si="242">SUM(AF105:AL105)+AT105+AV105+AX105</f>
        <v>12</v>
      </c>
      <c r="AN105" s="36"/>
      <c r="AO105" s="36"/>
      <c r="AP105" s="36"/>
      <c r="AQ105" s="36"/>
      <c r="AR105" s="36">
        <f>SUM(AN105:AQ105)</f>
        <v>0</v>
      </c>
      <c r="AS105" s="36"/>
      <c r="AT105" s="36"/>
      <c r="AU105" s="36"/>
      <c r="AV105" s="36"/>
      <c r="AW105" s="36"/>
      <c r="AX105" s="36"/>
      <c r="AY105" s="36"/>
      <c r="AZ105" s="36"/>
      <c r="BA105" s="36">
        <f>+AR105+AS105+AU105+AW105+AY105+AZ105</f>
        <v>0</v>
      </c>
      <c r="BB105" s="32">
        <v>6</v>
      </c>
      <c r="BC105" s="50"/>
      <c r="BD105" s="50"/>
      <c r="BE105" s="32"/>
      <c r="BF105" s="50"/>
    </row>
    <row r="106" spans="1:58" ht="12.95" customHeight="1">
      <c r="A106" s="39"/>
      <c r="B106" s="40" t="s">
        <v>7</v>
      </c>
      <c r="C106" s="414">
        <f t="shared" si="234"/>
        <v>3.2523659999999999</v>
      </c>
      <c r="D106" s="40" t="s">
        <v>302</v>
      </c>
      <c r="E106" s="41">
        <v>12</v>
      </c>
      <c r="F106" s="41">
        <v>1</v>
      </c>
      <c r="G106" s="499">
        <v>1230</v>
      </c>
      <c r="H106" s="43">
        <f>+N106</f>
        <v>0.25</v>
      </c>
      <c r="I106" s="44">
        <v>0.88</v>
      </c>
      <c r="J106" s="81">
        <f t="shared" si="235"/>
        <v>43.677792000000004</v>
      </c>
      <c r="K106" s="81">
        <f t="shared" si="236"/>
        <v>3.2523659999999999</v>
      </c>
      <c r="L106" s="34">
        <v>1230</v>
      </c>
      <c r="M106" s="34">
        <v>922.5</v>
      </c>
      <c r="N106" s="45">
        <f t="shared" si="237"/>
        <v>0.25</v>
      </c>
      <c r="O106" s="46">
        <f>+'Trim Rwd'!H57</f>
        <v>260</v>
      </c>
      <c r="P106" s="47">
        <f t="shared" si="238"/>
        <v>26780</v>
      </c>
      <c r="Q106" s="46">
        <v>113</v>
      </c>
      <c r="R106" s="500">
        <v>0</v>
      </c>
      <c r="S106" s="500">
        <v>10</v>
      </c>
      <c r="T106" s="36">
        <f t="shared" si="239"/>
        <v>3.2523659999999999</v>
      </c>
      <c r="U106" s="36">
        <f t="shared" si="240"/>
        <v>2.9645459999999999</v>
      </c>
      <c r="V106" s="36">
        <f t="shared" si="241"/>
        <v>0.28782000000000002</v>
      </c>
      <c r="W106" s="36">
        <f>+'20'!K10/1000</f>
        <v>2.6760000000000002</v>
      </c>
      <c r="X106" s="37"/>
      <c r="Y106" s="210"/>
      <c r="Z106" s="36"/>
      <c r="AA106" s="36"/>
      <c r="AB106" s="36"/>
      <c r="AC106" s="36">
        <f>K106-T106</f>
        <v>0</v>
      </c>
      <c r="AD106" s="36">
        <f>+AM106+BA106</f>
        <v>0</v>
      </c>
      <c r="AE106" s="229" t="s">
        <v>412</v>
      </c>
      <c r="AF106" s="36"/>
      <c r="AG106" s="36">
        <v>0</v>
      </c>
      <c r="AH106" s="36"/>
      <c r="AI106" s="36"/>
      <c r="AJ106" s="36"/>
      <c r="AK106" s="36"/>
      <c r="AL106" s="36"/>
      <c r="AM106" s="36">
        <f t="shared" si="242"/>
        <v>0</v>
      </c>
      <c r="AN106" s="82"/>
      <c r="AO106" s="36"/>
      <c r="AP106" s="36"/>
      <c r="AQ106" s="36"/>
      <c r="AR106" s="36">
        <f t="shared" ref="AR106:AR107" si="243">SUM(AN106:AQ106)</f>
        <v>0</v>
      </c>
      <c r="AS106" s="36"/>
      <c r="AT106" s="36"/>
      <c r="AU106" s="36"/>
      <c r="AV106" s="36"/>
      <c r="AW106" s="36"/>
      <c r="AX106" s="36"/>
      <c r="AY106" s="36"/>
      <c r="AZ106" s="36"/>
      <c r="BA106" s="36">
        <f>+AR106+AS106+AU106+AW106+AY106+AZ106</f>
        <v>0</v>
      </c>
      <c r="BB106" s="49"/>
      <c r="BC106" s="50">
        <v>0</v>
      </c>
      <c r="BD106" s="50"/>
      <c r="BE106" s="49"/>
      <c r="BF106" s="50"/>
    </row>
    <row r="107" spans="1:58" ht="12.95" customHeight="1">
      <c r="A107" s="39"/>
      <c r="B107" s="40" t="s">
        <v>7</v>
      </c>
      <c r="C107" s="414">
        <f t="shared" ref="C107" si="244">(M107*E107*O107*Q107)/100000000</f>
        <v>39.750777919999997</v>
      </c>
      <c r="D107" s="40" t="s">
        <v>302</v>
      </c>
      <c r="E107" s="41">
        <v>14.5</v>
      </c>
      <c r="F107" s="41">
        <v>1</v>
      </c>
      <c r="G107" s="499">
        <f>+L107</f>
        <v>1146.776263031275</v>
      </c>
      <c r="H107" s="43">
        <f>+N107</f>
        <v>0.2511539967692985</v>
      </c>
      <c r="I107" s="44">
        <v>0.88</v>
      </c>
      <c r="J107" s="81">
        <f t="shared" ref="J107" si="245">E107*G107*(1-H107)*1440/1000000*2.74</f>
        <v>49.130622669767448</v>
      </c>
      <c r="K107" s="81">
        <f t="shared" ref="K107" si="246">(IF(G107&lt;L107,L107,G107)*(1-IF(H107&lt;N107,H107,N107))*E107*O107*Q107)/100000000</f>
        <v>39.750777919999997</v>
      </c>
      <c r="L107" s="34">
        <v>1146.776263031275</v>
      </c>
      <c r="M107" s="34">
        <v>858.75882117080994</v>
      </c>
      <c r="N107" s="45">
        <f t="shared" ref="N107" si="247">1-(M107/L107)</f>
        <v>0.2511539967692985</v>
      </c>
      <c r="O107" s="46">
        <f>+'Trim Rwd'!H56</f>
        <v>256</v>
      </c>
      <c r="P107" s="47">
        <f t="shared" ref="P107" si="248">O107*(Q107-R107-S107)</f>
        <v>306176</v>
      </c>
      <c r="Q107" s="46">
        <v>1247</v>
      </c>
      <c r="R107" s="500">
        <v>0</v>
      </c>
      <c r="S107" s="500">
        <f>66-S105-S106</f>
        <v>51</v>
      </c>
      <c r="T107" s="36">
        <f t="shared" ref="T107" si="249">E107*M107*O107*Q107/100000000</f>
        <v>39.750777919999997</v>
      </c>
      <c r="U107" s="36">
        <f t="shared" ref="U107" si="250">E107*M107*O107*(Q107-R107-S107)/100000000</f>
        <v>38.125044420465116</v>
      </c>
      <c r="V107" s="36">
        <f t="shared" ref="V107" si="251">E107*G107*(1-N107)*O107/100*(R107+S107)/1000000</f>
        <v>1.6257334995348838</v>
      </c>
      <c r="W107" s="36">
        <f>+'20'!K18/1000</f>
        <v>32.619</v>
      </c>
      <c r="X107" s="37"/>
      <c r="Y107" s="210"/>
      <c r="Z107" s="36">
        <f>+'20'!D9/1000</f>
        <v>0.32200000000000001</v>
      </c>
      <c r="AA107" s="36"/>
      <c r="AB107" s="36"/>
      <c r="AC107" s="36">
        <f>K107-T107</f>
        <v>0</v>
      </c>
      <c r="AD107" s="36">
        <f>+AM107+BA107</f>
        <v>54</v>
      </c>
      <c r="AE107" s="229" t="s">
        <v>429</v>
      </c>
      <c r="AF107" s="32"/>
      <c r="AG107" s="32"/>
      <c r="AH107" s="32">
        <v>54</v>
      </c>
      <c r="AI107" s="32"/>
      <c r="AJ107" s="36"/>
      <c r="AK107" s="36"/>
      <c r="AL107" s="36"/>
      <c r="AM107" s="36">
        <f t="shared" si="242"/>
        <v>54</v>
      </c>
      <c r="AN107" s="36"/>
      <c r="AO107" s="36"/>
      <c r="AP107" s="36"/>
      <c r="AQ107" s="36"/>
      <c r="AR107" s="36">
        <f t="shared" si="243"/>
        <v>0</v>
      </c>
      <c r="AS107" s="36"/>
      <c r="AT107" s="36"/>
      <c r="AU107" s="36"/>
      <c r="AV107" s="36"/>
      <c r="AW107" s="36"/>
      <c r="AX107" s="36"/>
      <c r="AY107" s="36"/>
      <c r="AZ107" s="36"/>
      <c r="BA107" s="36">
        <f>+AR107+AS107+AU107+AW107+AY107+AZ107</f>
        <v>0</v>
      </c>
      <c r="BB107" s="32"/>
      <c r="BC107" s="503"/>
      <c r="BD107" s="503"/>
      <c r="BE107" s="32"/>
      <c r="BF107" s="503"/>
    </row>
    <row r="108" spans="1:58" ht="12.95" customHeight="1">
      <c r="A108" s="39"/>
      <c r="B108" s="40"/>
      <c r="C108" s="414"/>
      <c r="D108" s="40"/>
      <c r="E108" s="41"/>
      <c r="F108" s="41"/>
      <c r="G108" s="42"/>
      <c r="H108" s="43"/>
      <c r="I108" s="44"/>
      <c r="J108" s="81"/>
      <c r="K108" s="81"/>
      <c r="L108" s="34"/>
      <c r="M108" s="34"/>
      <c r="N108" s="45"/>
      <c r="O108" s="46"/>
      <c r="P108" s="47"/>
      <c r="Q108" s="46"/>
      <c r="R108" s="500"/>
      <c r="S108" s="500"/>
      <c r="T108" s="36"/>
      <c r="U108" s="36"/>
      <c r="V108" s="36"/>
      <c r="W108" s="36"/>
      <c r="X108" s="37"/>
      <c r="Y108" s="210"/>
      <c r="Z108" s="36"/>
      <c r="AA108" s="36"/>
      <c r="AB108" s="36"/>
      <c r="AC108" s="36"/>
      <c r="AD108" s="36">
        <f>+AM108+BA108</f>
        <v>0</v>
      </c>
      <c r="AE108" s="232" t="s">
        <v>378</v>
      </c>
      <c r="AF108" s="32"/>
      <c r="AG108" s="32"/>
      <c r="AH108" s="32"/>
      <c r="AI108" s="32"/>
      <c r="AJ108" s="36"/>
      <c r="AK108" s="36"/>
      <c r="AL108" s="36"/>
      <c r="AM108" s="36">
        <f t="shared" ref="AM108" si="252">SUM(AF108:AL108)+AT108+AV108+AX108</f>
        <v>0</v>
      </c>
      <c r="AN108" s="36"/>
      <c r="AO108" s="36"/>
      <c r="AP108" s="36"/>
      <c r="AQ108" s="36"/>
      <c r="AR108" s="36">
        <f t="shared" ref="AR108" si="253">SUM(AN108:AQ108)</f>
        <v>0</v>
      </c>
      <c r="AS108" s="36"/>
      <c r="AT108" s="36"/>
      <c r="AU108" s="36"/>
      <c r="AV108" s="36"/>
      <c r="AW108" s="36"/>
      <c r="AX108" s="36"/>
      <c r="AY108" s="36"/>
      <c r="AZ108" s="36"/>
      <c r="BA108" s="36">
        <f>+AR108+AS108+AU108+AW108+AY108+AZ108</f>
        <v>0</v>
      </c>
      <c r="BB108" s="32"/>
      <c r="BC108" s="503"/>
      <c r="BD108" s="503"/>
      <c r="BE108" s="32"/>
      <c r="BF108" s="503"/>
    </row>
    <row r="109" spans="1:58" ht="16.5" customHeight="1">
      <c r="A109" s="39"/>
      <c r="B109" s="40"/>
      <c r="C109" s="414"/>
      <c r="D109" s="40"/>
      <c r="E109" s="41"/>
      <c r="F109" s="41"/>
      <c r="G109" s="499"/>
      <c r="H109" s="43"/>
      <c r="I109" s="44"/>
      <c r="J109" s="81"/>
      <c r="K109" s="81"/>
      <c r="L109" s="34"/>
      <c r="M109" s="34"/>
      <c r="N109" s="45"/>
      <c r="O109" s="46"/>
      <c r="P109" s="47"/>
      <c r="Q109" s="46"/>
      <c r="R109" s="500"/>
      <c r="S109" s="500"/>
      <c r="T109" s="36"/>
      <c r="U109" s="36"/>
      <c r="V109" s="36"/>
      <c r="W109" s="36"/>
      <c r="X109" s="501"/>
      <c r="Y109" s="210"/>
      <c r="Z109" s="36"/>
      <c r="AA109" s="48"/>
      <c r="AB109" s="48"/>
      <c r="AC109" s="36"/>
      <c r="AD109" s="36"/>
      <c r="AE109" s="229"/>
      <c r="AF109" s="36"/>
      <c r="AG109" s="36"/>
      <c r="AH109" s="36"/>
      <c r="AI109" s="502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2"/>
      <c r="BC109" s="50"/>
      <c r="BD109" s="50"/>
      <c r="BE109" s="50"/>
      <c r="BF109" s="50"/>
    </row>
    <row r="110" spans="1:58" ht="12.75" customHeight="1">
      <c r="A110" s="39">
        <v>46133</v>
      </c>
      <c r="B110" s="40" t="s">
        <v>7</v>
      </c>
      <c r="C110" s="414">
        <f t="shared" ref="C110" si="254">(M110*E110*O110*Q110)/100000000</f>
        <v>45.791406000000002</v>
      </c>
      <c r="D110" s="40" t="s">
        <v>302</v>
      </c>
      <c r="E110" s="41">
        <v>14.5</v>
      </c>
      <c r="F110" s="41">
        <v>1</v>
      </c>
      <c r="G110" s="499">
        <f>+L110</f>
        <v>1140</v>
      </c>
      <c r="H110" s="43">
        <f>+N110</f>
        <v>0.25</v>
      </c>
      <c r="I110" s="44">
        <v>0.88</v>
      </c>
      <c r="J110" s="81">
        <f t="shared" ref="J110" si="255">E110*G110*(1-H110)*1440/1000000*2.74</f>
        <v>48.915576000000001</v>
      </c>
      <c r="K110" s="81">
        <f t="shared" ref="K110" si="256">(IF(G110&lt;L110,L110,G110)*(1-IF(H110&lt;N110,H110,N110))*E110*O110*Q110)/100000000</f>
        <v>45.791406000000002</v>
      </c>
      <c r="L110" s="34">
        <v>1140</v>
      </c>
      <c r="M110" s="34">
        <v>855</v>
      </c>
      <c r="N110" s="45">
        <f t="shared" ref="N110" si="257">1-(M110/L110)</f>
        <v>0.25</v>
      </c>
      <c r="O110" s="46">
        <f>+'Trim Rwd'!H60</f>
        <v>256.5</v>
      </c>
      <c r="P110" s="47">
        <f t="shared" ref="P110" si="258">O110*(Q110-R110-S110)</f>
        <v>355765.5</v>
      </c>
      <c r="Q110" s="46">
        <v>1440</v>
      </c>
      <c r="R110" s="500">
        <v>0</v>
      </c>
      <c r="S110" s="500">
        <v>53</v>
      </c>
      <c r="T110" s="36">
        <f t="shared" ref="T110" si="259">E110*M110*O110*Q110/100000000</f>
        <v>45.791406000000002</v>
      </c>
      <c r="U110" s="36">
        <f t="shared" ref="U110" si="260">E110*M110*O110*(Q110-R110-S110)/100000000</f>
        <v>44.1060278625</v>
      </c>
      <c r="V110" s="36">
        <f t="shared" ref="V110" si="261">E110*G110*(1-N110)*O110/100*(R110+S110)/1000000</f>
        <v>1.6853781375000001</v>
      </c>
      <c r="W110" s="36">
        <f>+'21'!K18/1000</f>
        <v>43.082999999999998</v>
      </c>
      <c r="X110" s="501">
        <f>SUM(W110:W114)/SUM(K110:K114)</f>
        <v>0.9408533994348196</v>
      </c>
      <c r="Y110" s="210">
        <v>0</v>
      </c>
      <c r="Z110" s="36">
        <f>+'21'!D16/1000</f>
        <v>0.32200000000000001</v>
      </c>
      <c r="AA110" s="48">
        <f>SUM(U110:U114)-SUM(W110:W114)-SUM(Z110:Z114)-SUM(Y110:Y114)</f>
        <v>0.70102786250000104</v>
      </c>
      <c r="AB110" s="48">
        <f>(SUM(K110:K114)-SUM(W110:W114)-SUM(Y110:Y114)-SUM(Z110:Z114)-SUM(AC110:AC114)-SUM(V110:V114))-AA110</f>
        <v>2.4424906541753444E-15</v>
      </c>
      <c r="AC110" s="36">
        <f>K110-T110</f>
        <v>0</v>
      </c>
      <c r="AD110" s="36">
        <f>+AM110+BA110</f>
        <v>4</v>
      </c>
      <c r="AE110" s="229" t="s">
        <v>400</v>
      </c>
      <c r="AF110" s="36">
        <v>4</v>
      </c>
      <c r="AG110" s="36"/>
      <c r="AH110" s="36"/>
      <c r="AI110" s="36"/>
      <c r="AJ110" s="36"/>
      <c r="AK110" s="36"/>
      <c r="AL110" s="36"/>
      <c r="AM110" s="36">
        <f t="shared" ref="AM110:AM112" si="262">SUM(AF110:AL110)+AT110+AV110+AX110</f>
        <v>4</v>
      </c>
      <c r="AN110" s="36"/>
      <c r="AO110" s="36"/>
      <c r="AP110" s="36"/>
      <c r="AQ110" s="36"/>
      <c r="AR110" s="36">
        <f>SUM(AN110:AQ110)</f>
        <v>0</v>
      </c>
      <c r="AS110" s="36"/>
      <c r="AT110" s="36"/>
      <c r="AU110" s="36"/>
      <c r="AV110" s="36"/>
      <c r="AW110" s="36"/>
      <c r="AX110" s="36"/>
      <c r="AY110" s="36"/>
      <c r="AZ110" s="36"/>
      <c r="BA110" s="36">
        <f>+AR110+AS110+AU110+AW110+AY110+AZ110</f>
        <v>0</v>
      </c>
      <c r="BB110" s="32">
        <v>2</v>
      </c>
      <c r="BC110" s="50"/>
      <c r="BD110" s="50"/>
      <c r="BE110" s="32"/>
      <c r="BF110" s="50"/>
    </row>
    <row r="111" spans="1:58" ht="12.95" customHeight="1">
      <c r="A111" s="39"/>
      <c r="B111" s="40"/>
      <c r="C111" s="414"/>
      <c r="D111" s="40"/>
      <c r="E111" s="41"/>
      <c r="F111" s="41"/>
      <c r="G111" s="499"/>
      <c r="H111" s="43"/>
      <c r="I111" s="44"/>
      <c r="J111" s="81"/>
      <c r="K111" s="81"/>
      <c r="L111" s="34"/>
      <c r="M111" s="34"/>
      <c r="N111" s="45"/>
      <c r="O111" s="46"/>
      <c r="P111" s="47"/>
      <c r="Q111" s="46"/>
      <c r="R111" s="500"/>
      <c r="S111" s="500"/>
      <c r="T111" s="36"/>
      <c r="U111" s="36"/>
      <c r="V111" s="36"/>
      <c r="W111" s="36"/>
      <c r="X111" s="37"/>
      <c r="Y111" s="210"/>
      <c r="Z111" s="36">
        <v>0</v>
      </c>
      <c r="AA111" s="36"/>
      <c r="AB111" s="36"/>
      <c r="AC111" s="36">
        <f>K111-T111</f>
        <v>0</v>
      </c>
      <c r="AD111" s="36">
        <f>+AM111+BA111</f>
        <v>0</v>
      </c>
      <c r="AE111" s="229" t="s">
        <v>412</v>
      </c>
      <c r="AF111" s="36"/>
      <c r="AG111" s="36">
        <v>0</v>
      </c>
      <c r="AH111" s="36"/>
      <c r="AI111" s="36"/>
      <c r="AJ111" s="36"/>
      <c r="AK111" s="36"/>
      <c r="AL111" s="36"/>
      <c r="AM111" s="36">
        <f t="shared" si="262"/>
        <v>0</v>
      </c>
      <c r="AN111" s="82"/>
      <c r="AO111" s="36"/>
      <c r="AP111" s="36"/>
      <c r="AQ111" s="36"/>
      <c r="AR111" s="36">
        <f t="shared" ref="AR111:AR112" si="263"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>
        <f>+AR111+AS111+AU111+AW111+AY111+AZ111</f>
        <v>0</v>
      </c>
      <c r="BB111" s="49"/>
      <c r="BC111" s="50">
        <v>0</v>
      </c>
      <c r="BD111" s="50"/>
      <c r="BE111" s="49"/>
      <c r="BF111" s="50"/>
    </row>
    <row r="112" spans="1:58" ht="12.95" customHeight="1">
      <c r="A112" s="39"/>
      <c r="B112" s="40"/>
      <c r="C112" s="414"/>
      <c r="D112" s="40"/>
      <c r="E112" s="41"/>
      <c r="F112" s="41"/>
      <c r="G112" s="499"/>
      <c r="H112" s="43"/>
      <c r="I112" s="44"/>
      <c r="J112" s="81"/>
      <c r="K112" s="81"/>
      <c r="L112" s="34"/>
      <c r="M112" s="34"/>
      <c r="N112" s="45"/>
      <c r="O112" s="46"/>
      <c r="P112" s="47"/>
      <c r="Q112" s="46"/>
      <c r="R112" s="500"/>
      <c r="S112" s="500"/>
      <c r="T112" s="36"/>
      <c r="U112" s="36"/>
      <c r="V112" s="36"/>
      <c r="W112" s="36"/>
      <c r="X112" s="37"/>
      <c r="Y112" s="210"/>
      <c r="Z112" s="36">
        <v>0</v>
      </c>
      <c r="AA112" s="36"/>
      <c r="AB112" s="36"/>
      <c r="AC112" s="36">
        <f>K112-T112</f>
        <v>0</v>
      </c>
      <c r="AD112" s="36">
        <f>+AM112+BA112</f>
        <v>49</v>
      </c>
      <c r="AE112" s="229" t="s">
        <v>680</v>
      </c>
      <c r="AF112" s="32"/>
      <c r="AG112" s="32"/>
      <c r="AH112" s="32">
        <v>49</v>
      </c>
      <c r="AI112" s="32"/>
      <c r="AJ112" s="36"/>
      <c r="AK112" s="36"/>
      <c r="AL112" s="36"/>
      <c r="AM112" s="36">
        <f t="shared" si="262"/>
        <v>49</v>
      </c>
      <c r="AN112" s="36"/>
      <c r="AO112" s="36"/>
      <c r="AP112" s="36"/>
      <c r="AQ112" s="36"/>
      <c r="AR112" s="36">
        <f t="shared" si="263"/>
        <v>0</v>
      </c>
      <c r="AS112" s="36"/>
      <c r="AT112" s="36"/>
      <c r="AU112" s="36"/>
      <c r="AV112" s="36"/>
      <c r="AW112" s="36"/>
      <c r="AX112" s="36"/>
      <c r="AY112" s="36"/>
      <c r="AZ112" s="36"/>
      <c r="BA112" s="36">
        <f>+AR112+AS112+AU112+AW112+AY112+AZ112</f>
        <v>0</v>
      </c>
      <c r="BB112" s="32"/>
      <c r="BC112" s="503"/>
      <c r="BD112" s="503"/>
      <c r="BE112" s="32"/>
      <c r="BF112" s="503"/>
    </row>
    <row r="113" spans="1:58" ht="12.95" customHeight="1">
      <c r="A113" s="39"/>
      <c r="B113" s="40"/>
      <c r="C113" s="414"/>
      <c r="D113" s="40"/>
      <c r="E113" s="41"/>
      <c r="F113" s="41"/>
      <c r="G113" s="42"/>
      <c r="H113" s="43"/>
      <c r="I113" s="44"/>
      <c r="J113" s="81"/>
      <c r="K113" s="81"/>
      <c r="L113" s="34"/>
      <c r="M113" s="34"/>
      <c r="N113" s="45"/>
      <c r="O113" s="46"/>
      <c r="P113" s="47"/>
      <c r="Q113" s="46"/>
      <c r="R113" s="500"/>
      <c r="S113" s="500"/>
      <c r="T113" s="36"/>
      <c r="U113" s="36"/>
      <c r="V113" s="36"/>
      <c r="W113" s="36"/>
      <c r="X113" s="37"/>
      <c r="Y113" s="210"/>
      <c r="Z113" s="36"/>
      <c r="AA113" s="36"/>
      <c r="AB113" s="36"/>
      <c r="AC113" s="36"/>
      <c r="AD113" s="36">
        <f>+AM113+BA113</f>
        <v>0</v>
      </c>
      <c r="AE113" s="232" t="s">
        <v>378</v>
      </c>
      <c r="AF113" s="32"/>
      <c r="AG113" s="32"/>
      <c r="AH113" s="32"/>
      <c r="AI113" s="32"/>
      <c r="AJ113" s="36"/>
      <c r="AK113" s="36"/>
      <c r="AL113" s="36"/>
      <c r="AM113" s="36">
        <f t="shared" ref="AM113" si="264">SUM(AF113:AL113)+AT113+AV113+AX113</f>
        <v>0</v>
      </c>
      <c r="AN113" s="36"/>
      <c r="AO113" s="36"/>
      <c r="AP113" s="36"/>
      <c r="AQ113" s="36"/>
      <c r="AR113" s="36">
        <f t="shared" ref="AR113" si="265">SUM(AN113:AQ113)</f>
        <v>0</v>
      </c>
      <c r="AS113" s="36"/>
      <c r="AT113" s="36"/>
      <c r="AU113" s="36"/>
      <c r="AV113" s="36"/>
      <c r="AW113" s="36"/>
      <c r="AX113" s="36"/>
      <c r="AY113" s="36"/>
      <c r="AZ113" s="36"/>
      <c r="BA113" s="36">
        <f>+AR113+AS113+AU113+AW113+AY113+AZ113</f>
        <v>0</v>
      </c>
      <c r="BB113" s="32"/>
      <c r="BC113" s="503"/>
      <c r="BD113" s="503"/>
      <c r="BE113" s="32"/>
      <c r="BF113" s="503"/>
    </row>
    <row r="114" spans="1:58" ht="16.5" customHeight="1">
      <c r="A114" s="39"/>
      <c r="B114" s="40"/>
      <c r="C114" s="414"/>
      <c r="D114" s="40"/>
      <c r="E114" s="41"/>
      <c r="F114" s="41"/>
      <c r="G114" s="499"/>
      <c r="H114" s="43"/>
      <c r="I114" s="44"/>
      <c r="J114" s="81"/>
      <c r="K114" s="81"/>
      <c r="L114" s="34"/>
      <c r="M114" s="34"/>
      <c r="N114" s="45"/>
      <c r="O114" s="46"/>
      <c r="P114" s="47"/>
      <c r="Q114" s="46"/>
      <c r="R114" s="500"/>
      <c r="S114" s="500"/>
      <c r="T114" s="36"/>
      <c r="U114" s="36"/>
      <c r="V114" s="36"/>
      <c r="W114" s="36"/>
      <c r="X114" s="501"/>
      <c r="Y114" s="210"/>
      <c r="Z114" s="36"/>
      <c r="AA114" s="48"/>
      <c r="AB114" s="48"/>
      <c r="AC114" s="36"/>
      <c r="AD114" s="36"/>
      <c r="AE114" s="229"/>
      <c r="AF114" s="36"/>
      <c r="AG114" s="36"/>
      <c r="AH114" s="36"/>
      <c r="AI114" s="502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2"/>
      <c r="BC114" s="50"/>
      <c r="BD114" s="50"/>
      <c r="BE114" s="50"/>
      <c r="BF114" s="50"/>
    </row>
    <row r="115" spans="1:58" ht="12.75" customHeight="1">
      <c r="A115" s="39">
        <v>46134</v>
      </c>
      <c r="B115" s="40" t="s">
        <v>7</v>
      </c>
      <c r="C115" s="414">
        <f t="shared" ref="C115" si="266">(M115*E115*O115*Q115)/100000000</f>
        <v>45.925299000000003</v>
      </c>
      <c r="D115" s="40" t="s">
        <v>302</v>
      </c>
      <c r="E115" s="41">
        <v>14.5</v>
      </c>
      <c r="F115" s="41">
        <v>1</v>
      </c>
      <c r="G115" s="499">
        <f>+L115</f>
        <v>1143.3333333333333</v>
      </c>
      <c r="H115" s="43">
        <f>+N115</f>
        <v>0.25</v>
      </c>
      <c r="I115" s="44">
        <v>0.88</v>
      </c>
      <c r="J115" s="81">
        <f t="shared" ref="J115" si="267">E115*G115*(1-H115)*1440/1000000*2.74</f>
        <v>49.058604000000003</v>
      </c>
      <c r="K115" s="81">
        <f t="shared" ref="K115" si="268">(IF(G115&lt;L115,L115,G115)*(1-IF(H115&lt;N115,H115,N115))*E115*O115*Q115)/100000000</f>
        <v>45.925299000000003</v>
      </c>
      <c r="L115" s="34">
        <v>1143.3333333333333</v>
      </c>
      <c r="M115" s="34">
        <v>857.5</v>
      </c>
      <c r="N115" s="45">
        <f t="shared" ref="N115" si="269">1-(M115/L115)</f>
        <v>0.25</v>
      </c>
      <c r="O115" s="46">
        <f>+'Trim Rwd'!H62</f>
        <v>256.5</v>
      </c>
      <c r="P115" s="47">
        <f t="shared" ref="P115" si="270">O115*(Q115-R115-S115)</f>
        <v>353200.5</v>
      </c>
      <c r="Q115" s="46">
        <v>1440</v>
      </c>
      <c r="R115" s="500">
        <v>0</v>
      </c>
      <c r="S115" s="500">
        <v>63</v>
      </c>
      <c r="T115" s="36">
        <f t="shared" ref="T115" si="271">E115*M115*O115*Q115/100000000</f>
        <v>45.925299000000003</v>
      </c>
      <c r="U115" s="36">
        <f t="shared" ref="U115" si="272">E115*M115*O115*(Q115-R115-S115)/100000000</f>
        <v>43.916067168749997</v>
      </c>
      <c r="V115" s="36">
        <f t="shared" ref="V115" si="273">E115*G115*(1-N115)*O115/100*(R115+S115)/1000000</f>
        <v>2.0092318312499997</v>
      </c>
      <c r="W115" s="36">
        <f>+'22'!K18/1000</f>
        <v>41.222000000000001</v>
      </c>
      <c r="X115" s="501">
        <f>SUM(W115:W119)/SUM(K115:K119)</f>
        <v>0.89758805925248297</v>
      </c>
      <c r="Y115" s="210">
        <v>0</v>
      </c>
      <c r="Z115" s="36">
        <f>+'22'!D16/1000</f>
        <v>0.33800000000000002</v>
      </c>
      <c r="AA115" s="48">
        <f>SUM(U115:U119)-SUM(W115:W119)-SUM(Z115:Z119)-SUM(Y115:Y119)</f>
        <v>2.3560671687499957</v>
      </c>
      <c r="AB115" s="48">
        <f>(SUM(K115:K119)-SUM(W115:W119)-SUM(Y115:Y119)-SUM(Z115:Z119)-SUM(AC115:AC119)-SUM(V115:V119))-AA115</f>
        <v>5.773159728050814E-15</v>
      </c>
      <c r="AC115" s="36">
        <f>K115-T115</f>
        <v>0</v>
      </c>
      <c r="AD115" s="36">
        <f>+AM115+BA115</f>
        <v>18</v>
      </c>
      <c r="AE115" s="229" t="s">
        <v>415</v>
      </c>
      <c r="AF115" s="36">
        <v>18</v>
      </c>
      <c r="AG115" s="36"/>
      <c r="AH115" s="36"/>
      <c r="AI115" s="36"/>
      <c r="AJ115" s="36"/>
      <c r="AK115" s="36"/>
      <c r="AL115" s="36"/>
      <c r="AM115" s="36">
        <f t="shared" ref="AM115:AM117" si="274">SUM(AF115:AL115)+AT115+AV115+AX115</f>
        <v>18</v>
      </c>
      <c r="AN115" s="36"/>
      <c r="AO115" s="36"/>
      <c r="AP115" s="36"/>
      <c r="AQ115" s="36"/>
      <c r="AR115" s="36">
        <f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>
        <f>+AR115+AS115+AU115+AW115+AY115+AZ115</f>
        <v>0</v>
      </c>
      <c r="BB115" s="32">
        <v>6</v>
      </c>
      <c r="BC115" s="50"/>
      <c r="BD115" s="50"/>
      <c r="BE115" s="32"/>
      <c r="BF115" s="50"/>
    </row>
    <row r="116" spans="1:58" ht="12.95" customHeight="1">
      <c r="A116" s="39"/>
      <c r="B116" s="40"/>
      <c r="C116" s="414"/>
      <c r="D116" s="40"/>
      <c r="E116" s="41"/>
      <c r="F116" s="41"/>
      <c r="G116" s="499"/>
      <c r="H116" s="43"/>
      <c r="I116" s="44"/>
      <c r="J116" s="81"/>
      <c r="K116" s="81"/>
      <c r="L116" s="34"/>
      <c r="M116" s="34"/>
      <c r="N116" s="45"/>
      <c r="O116" s="46"/>
      <c r="P116" s="47"/>
      <c r="Q116" s="46"/>
      <c r="R116" s="500"/>
      <c r="S116" s="500"/>
      <c r="T116" s="36"/>
      <c r="U116" s="36"/>
      <c r="V116" s="36"/>
      <c r="W116" s="36"/>
      <c r="X116" s="37"/>
      <c r="Y116" s="210"/>
      <c r="Z116" s="36">
        <v>0</v>
      </c>
      <c r="AA116" s="36"/>
      <c r="AB116" s="36"/>
      <c r="AC116" s="36">
        <f>K116-T116</f>
        <v>0</v>
      </c>
      <c r="AD116" s="36">
        <f>+AM116+BA116</f>
        <v>2</v>
      </c>
      <c r="AE116" s="229" t="s">
        <v>414</v>
      </c>
      <c r="AF116" s="36"/>
      <c r="AG116" s="36">
        <v>2</v>
      </c>
      <c r="AH116" s="36"/>
      <c r="AI116" s="36"/>
      <c r="AJ116" s="36"/>
      <c r="AK116" s="36"/>
      <c r="AL116" s="36"/>
      <c r="AM116" s="36">
        <f t="shared" si="274"/>
        <v>2</v>
      </c>
      <c r="AN116" s="82"/>
      <c r="AO116" s="36"/>
      <c r="AP116" s="36"/>
      <c r="AQ116" s="36"/>
      <c r="AR116" s="36">
        <f t="shared" ref="AR116:AR117" si="275">SUM(AN116:AQ116)</f>
        <v>0</v>
      </c>
      <c r="AS116" s="36"/>
      <c r="AT116" s="36"/>
      <c r="AU116" s="36"/>
      <c r="AV116" s="36"/>
      <c r="AW116" s="36"/>
      <c r="AX116" s="36"/>
      <c r="AY116" s="36"/>
      <c r="AZ116" s="36"/>
      <c r="BA116" s="36">
        <f>+AR116+AS116+AU116+AW116+AY116+AZ116</f>
        <v>0</v>
      </c>
      <c r="BB116" s="49"/>
      <c r="BC116" s="50">
        <v>1</v>
      </c>
      <c r="BD116" s="50"/>
      <c r="BE116" s="49"/>
      <c r="BF116" s="50"/>
    </row>
    <row r="117" spans="1:58" ht="12.95" customHeight="1">
      <c r="A117" s="39"/>
      <c r="B117" s="40"/>
      <c r="C117" s="414"/>
      <c r="D117" s="40"/>
      <c r="E117" s="41"/>
      <c r="F117" s="41"/>
      <c r="G117" s="499"/>
      <c r="H117" s="43"/>
      <c r="I117" s="44"/>
      <c r="J117" s="81"/>
      <c r="K117" s="81"/>
      <c r="L117" s="34"/>
      <c r="M117" s="34"/>
      <c r="N117" s="45"/>
      <c r="O117" s="46"/>
      <c r="P117" s="47"/>
      <c r="Q117" s="46"/>
      <c r="R117" s="500"/>
      <c r="S117" s="500"/>
      <c r="T117" s="36"/>
      <c r="U117" s="36"/>
      <c r="V117" s="36"/>
      <c r="W117" s="36"/>
      <c r="X117" s="37"/>
      <c r="Y117" s="210"/>
      <c r="Z117" s="36">
        <v>0</v>
      </c>
      <c r="AA117" s="36"/>
      <c r="AB117" s="36"/>
      <c r="AC117" s="36">
        <f>K117-T117</f>
        <v>0</v>
      </c>
      <c r="AD117" s="36">
        <f>+AM117+BA117</f>
        <v>43</v>
      </c>
      <c r="AE117" s="229" t="s">
        <v>680</v>
      </c>
      <c r="AF117" s="32"/>
      <c r="AG117" s="32"/>
      <c r="AH117" s="32">
        <v>43</v>
      </c>
      <c r="AI117" s="32"/>
      <c r="AJ117" s="36"/>
      <c r="AK117" s="36"/>
      <c r="AL117" s="36"/>
      <c r="AM117" s="36">
        <f t="shared" si="274"/>
        <v>43</v>
      </c>
      <c r="AN117" s="36"/>
      <c r="AO117" s="36"/>
      <c r="AP117" s="36"/>
      <c r="AQ117" s="36"/>
      <c r="AR117" s="36">
        <f t="shared" si="275"/>
        <v>0</v>
      </c>
      <c r="AS117" s="36"/>
      <c r="AT117" s="36"/>
      <c r="AU117" s="36"/>
      <c r="AV117" s="36"/>
      <c r="AW117" s="36"/>
      <c r="AX117" s="36"/>
      <c r="AY117" s="36"/>
      <c r="AZ117" s="36"/>
      <c r="BA117" s="36">
        <f>+AR117+AS117+AU117+AW117+AY117+AZ117</f>
        <v>0</v>
      </c>
      <c r="BB117" s="32"/>
      <c r="BC117" s="503"/>
      <c r="BD117" s="503"/>
      <c r="BE117" s="32"/>
      <c r="BF117" s="503"/>
    </row>
    <row r="118" spans="1:58" ht="12.95" customHeight="1">
      <c r="A118" s="39"/>
      <c r="B118" s="40"/>
      <c r="C118" s="414"/>
      <c r="D118" s="40"/>
      <c r="E118" s="41"/>
      <c r="F118" s="41"/>
      <c r="G118" s="42"/>
      <c r="H118" s="43"/>
      <c r="I118" s="44"/>
      <c r="J118" s="81"/>
      <c r="K118" s="81"/>
      <c r="L118" s="34"/>
      <c r="M118" s="34"/>
      <c r="N118" s="45"/>
      <c r="O118" s="46"/>
      <c r="P118" s="47"/>
      <c r="Q118" s="46"/>
      <c r="R118" s="500"/>
      <c r="S118" s="500"/>
      <c r="T118" s="36"/>
      <c r="U118" s="36"/>
      <c r="V118" s="36"/>
      <c r="W118" s="36"/>
      <c r="X118" s="37"/>
      <c r="Y118" s="210"/>
      <c r="Z118" s="36"/>
      <c r="AA118" s="36"/>
      <c r="AB118" s="36"/>
      <c r="AC118" s="36"/>
      <c r="AD118" s="36">
        <f>+AM118+BA118</f>
        <v>0</v>
      </c>
      <c r="AE118" s="232" t="s">
        <v>378</v>
      </c>
      <c r="AF118" s="32"/>
      <c r="AG118" s="32"/>
      <c r="AH118" s="32"/>
      <c r="AI118" s="32"/>
      <c r="AJ118" s="36"/>
      <c r="AK118" s="36"/>
      <c r="AL118" s="36"/>
      <c r="AM118" s="36">
        <f t="shared" ref="AM118" si="276">SUM(AF118:AL118)+AT118+AV118+AX118</f>
        <v>0</v>
      </c>
      <c r="AN118" s="36"/>
      <c r="AO118" s="36"/>
      <c r="AP118" s="36"/>
      <c r="AQ118" s="36"/>
      <c r="AR118" s="36">
        <f t="shared" ref="AR118" si="277">SUM(AN118:AQ118)</f>
        <v>0</v>
      </c>
      <c r="AS118" s="36"/>
      <c r="AT118" s="36"/>
      <c r="AU118" s="36"/>
      <c r="AV118" s="36"/>
      <c r="AW118" s="36"/>
      <c r="AX118" s="36"/>
      <c r="AY118" s="36"/>
      <c r="AZ118" s="36"/>
      <c r="BA118" s="36">
        <f>+AR118+AS118+AU118+AW118+AY118+AZ118</f>
        <v>0</v>
      </c>
      <c r="BB118" s="32"/>
      <c r="BC118" s="503"/>
      <c r="BD118" s="503"/>
      <c r="BE118" s="32"/>
      <c r="BF118" s="503"/>
    </row>
    <row r="119" spans="1:58" ht="16.5" customHeight="1">
      <c r="A119" s="39"/>
      <c r="B119" s="40"/>
      <c r="C119" s="414"/>
      <c r="D119" s="40"/>
      <c r="E119" s="41"/>
      <c r="F119" s="41"/>
      <c r="G119" s="499"/>
      <c r="H119" s="43"/>
      <c r="I119" s="44"/>
      <c r="J119" s="81"/>
      <c r="K119" s="81"/>
      <c r="L119" s="34"/>
      <c r="M119" s="34"/>
      <c r="N119" s="45"/>
      <c r="O119" s="46"/>
      <c r="P119" s="47"/>
      <c r="Q119" s="46"/>
      <c r="R119" s="500"/>
      <c r="S119" s="500"/>
      <c r="T119" s="36"/>
      <c r="U119" s="36"/>
      <c r="V119" s="36"/>
      <c r="W119" s="36"/>
      <c r="X119" s="501"/>
      <c r="Y119" s="210"/>
      <c r="Z119" s="36"/>
      <c r="AA119" s="48"/>
      <c r="AB119" s="48"/>
      <c r="AC119" s="36"/>
      <c r="AD119" s="36"/>
      <c r="AE119" s="229"/>
      <c r="AF119" s="36"/>
      <c r="AG119" s="36"/>
      <c r="AH119" s="36"/>
      <c r="AI119" s="502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2"/>
      <c r="BC119" s="50"/>
      <c r="BD119" s="50"/>
      <c r="BE119" s="50"/>
      <c r="BF119" s="50"/>
    </row>
    <row r="120" spans="1:58" ht="12.75" customHeight="1">
      <c r="A120" s="39">
        <v>46135</v>
      </c>
      <c r="B120" s="40" t="s">
        <v>7</v>
      </c>
      <c r="C120" s="414">
        <f t="shared" ref="C120" si="278">(M120*E120*O120*Q120)/100000000</f>
        <v>42.600289500000002</v>
      </c>
      <c r="D120" s="40" t="s">
        <v>302</v>
      </c>
      <c r="E120" s="41">
        <v>14.5</v>
      </c>
      <c r="F120" s="41">
        <v>1</v>
      </c>
      <c r="G120" s="499">
        <f>+L120</f>
        <v>1150</v>
      </c>
      <c r="H120" s="43">
        <f>+N120</f>
        <v>0.25</v>
      </c>
      <c r="I120" s="44">
        <v>0.88</v>
      </c>
      <c r="J120" s="81">
        <f t="shared" ref="J120" si="279">E120*G120*(1-H120)*1440/1000000*2.74</f>
        <v>49.344660000000005</v>
      </c>
      <c r="K120" s="81">
        <f t="shared" ref="K120" si="280">(IF(G120&lt;L120,L120,G120)*(1-IF(H120&lt;N120,H120,N120))*E120*O120*Q120)/100000000</f>
        <v>42.600289500000002</v>
      </c>
      <c r="L120" s="34">
        <v>1150</v>
      </c>
      <c r="M120" s="34">
        <v>862.5</v>
      </c>
      <c r="N120" s="45">
        <f t="shared" ref="N120" si="281">1-(M120/L120)</f>
        <v>0.25</v>
      </c>
      <c r="O120" s="46">
        <f>+'Trim Rwd'!H64</f>
        <v>256.5</v>
      </c>
      <c r="P120" s="47">
        <f t="shared" ref="P120" si="282">O120*(Q120-R120-S120)</f>
        <v>327550.5</v>
      </c>
      <c r="Q120" s="46">
        <v>1328</v>
      </c>
      <c r="R120" s="500">
        <v>0</v>
      </c>
      <c r="S120" s="500">
        <v>51</v>
      </c>
      <c r="T120" s="36">
        <f t="shared" ref="T120" si="283">E120*M120*O120*Q120/100000000</f>
        <v>42.600289500000002</v>
      </c>
      <c r="U120" s="36">
        <f t="shared" ref="U120" si="284">E120*M120*O120*(Q120-R120-S120)/100000000</f>
        <v>40.964284406250002</v>
      </c>
      <c r="V120" s="36">
        <f t="shared" ref="V120" si="285">E120*G120*(1-N120)*O120/100*(R120+S120)/1000000</f>
        <v>1.6360050937499999</v>
      </c>
      <c r="W120" s="36">
        <f>+'23'!K18/1000</f>
        <v>41.984000000000002</v>
      </c>
      <c r="X120" s="501">
        <f>SUM(W120:W124)/SUM(K120:K124)</f>
        <v>0.91038940820557634</v>
      </c>
      <c r="Y120" s="210">
        <v>0</v>
      </c>
      <c r="Z120" s="36">
        <f>+'22'!D21/1000</f>
        <v>0</v>
      </c>
      <c r="AA120" s="48">
        <f>SUM(U120:U124)-SUM(W120:W124)-SUM(Z120:Z124)-SUM(Y120:Y124)</f>
        <v>2.1825744062499979</v>
      </c>
      <c r="AB120" s="48">
        <f>(SUM(K120:K124)-SUM(W120:W124)-SUM(Y120:Y124)-SUM(Z120:Z124)-SUM(AC120:AC124)-SUM(V120:V124))-AA120</f>
        <v>0</v>
      </c>
      <c r="AC120" s="36">
        <f>K120-T120</f>
        <v>0</v>
      </c>
      <c r="AD120" s="36">
        <f>+AM120+BA120</f>
        <v>12</v>
      </c>
      <c r="AE120" s="229" t="s">
        <v>415</v>
      </c>
      <c r="AF120" s="36">
        <v>12</v>
      </c>
      <c r="AG120" s="36"/>
      <c r="AH120" s="36"/>
      <c r="AI120" s="36"/>
      <c r="AJ120" s="36"/>
      <c r="AK120" s="36"/>
      <c r="AL120" s="36"/>
      <c r="AM120" s="36">
        <f t="shared" ref="AM120:AM122" si="286">SUM(AF120:AL120)+AT120+AV120+AX120</f>
        <v>12</v>
      </c>
      <c r="AN120" s="36"/>
      <c r="AO120" s="36"/>
      <c r="AP120" s="36"/>
      <c r="AQ120" s="36"/>
      <c r="AR120" s="36">
        <f>SUM(AN120:AQ120)</f>
        <v>0</v>
      </c>
      <c r="AS120" s="36"/>
      <c r="AT120" s="36"/>
      <c r="AU120" s="36"/>
      <c r="AV120" s="36"/>
      <c r="AW120" s="36"/>
      <c r="AX120" s="36"/>
      <c r="AY120" s="36"/>
      <c r="AZ120" s="36"/>
      <c r="BA120" s="36">
        <f>+AR120+AS120+AU120+AW120+AY120+AZ120</f>
        <v>0</v>
      </c>
      <c r="BB120" s="32">
        <v>6</v>
      </c>
      <c r="BC120" s="50"/>
      <c r="BD120" s="50"/>
      <c r="BE120" s="32"/>
      <c r="BF120" s="50"/>
    </row>
    <row r="121" spans="1:58" ht="12.95" customHeight="1">
      <c r="A121" s="39"/>
      <c r="B121" s="40" t="s">
        <v>7</v>
      </c>
      <c r="C121" s="414">
        <f t="shared" ref="C121" si="287">(M121*E121*O121*Q121)/100000000</f>
        <v>3.5162399999999998</v>
      </c>
      <c r="D121" s="40" t="s">
        <v>302</v>
      </c>
      <c r="E121" s="41">
        <v>14</v>
      </c>
      <c r="F121" s="41">
        <v>1</v>
      </c>
      <c r="G121" s="499">
        <f>+L121</f>
        <v>1150</v>
      </c>
      <c r="H121" s="43">
        <f>+N121</f>
        <v>0.25</v>
      </c>
      <c r="I121" s="44">
        <v>0.88</v>
      </c>
      <c r="J121" s="81">
        <f t="shared" ref="J121" si="288">E121*G121*(1-H121)*1440/1000000*2.74</f>
        <v>47.64312000000001</v>
      </c>
      <c r="K121" s="81">
        <f t="shared" ref="K121" si="289">(IF(G121&lt;L121,L121,G121)*(1-IF(H121&lt;N121,H121,N121))*E121*O121*Q121)/100000000</f>
        <v>3.5162399999999998</v>
      </c>
      <c r="L121" s="34">
        <v>1150</v>
      </c>
      <c r="M121" s="34">
        <v>862.5</v>
      </c>
      <c r="N121" s="45">
        <f t="shared" ref="N121" si="290">1-(M121/L121)</f>
        <v>0.25</v>
      </c>
      <c r="O121" s="46">
        <f>140+120</f>
        <v>260</v>
      </c>
      <c r="P121" s="47">
        <f t="shared" ref="P121" si="291">O121*(Q121-R121-S121)</f>
        <v>26520</v>
      </c>
      <c r="Q121" s="46">
        <v>112</v>
      </c>
      <c r="R121" s="500">
        <v>0</v>
      </c>
      <c r="S121" s="500">
        <v>10</v>
      </c>
      <c r="T121" s="36">
        <f t="shared" ref="T121" si="292">E121*M121*O121*Q121/100000000</f>
        <v>3.5162399999999998</v>
      </c>
      <c r="U121" s="36">
        <f t="shared" ref="U121" si="293">E121*M121*O121*(Q121-R121-S121)/100000000</f>
        <v>3.2022900000000001</v>
      </c>
      <c r="V121" s="36">
        <f t="shared" ref="V121" si="294">E121*G121*(1-N121)*O121/100*(R121+S121)/1000000</f>
        <v>0.31395000000000001</v>
      </c>
      <c r="W121" s="36">
        <f>+'22'!K24/1000</f>
        <v>0</v>
      </c>
      <c r="X121" s="37"/>
      <c r="Y121" s="210"/>
      <c r="Z121" s="36">
        <v>0</v>
      </c>
      <c r="AA121" s="36"/>
      <c r="AB121" s="36"/>
      <c r="AC121" s="36">
        <f>K121-T121</f>
        <v>0</v>
      </c>
      <c r="AD121" s="36">
        <f>+AM121+BA121</f>
        <v>0</v>
      </c>
      <c r="AE121" s="229" t="s">
        <v>412</v>
      </c>
      <c r="AF121" s="36"/>
      <c r="AG121" s="36">
        <v>0</v>
      </c>
      <c r="AH121" s="36"/>
      <c r="AI121" s="36"/>
      <c r="AJ121" s="36"/>
      <c r="AK121" s="36"/>
      <c r="AL121" s="36"/>
      <c r="AM121" s="36">
        <f t="shared" si="286"/>
        <v>0</v>
      </c>
      <c r="AN121" s="82"/>
      <c r="AO121" s="36"/>
      <c r="AP121" s="36"/>
      <c r="AQ121" s="36"/>
      <c r="AR121" s="36">
        <f t="shared" ref="AR121:AR122" si="295">SUM(AN121:AQ121)</f>
        <v>0</v>
      </c>
      <c r="AS121" s="36"/>
      <c r="AT121" s="36"/>
      <c r="AU121" s="36"/>
      <c r="AV121" s="36"/>
      <c r="AW121" s="36"/>
      <c r="AX121" s="36"/>
      <c r="AY121" s="36"/>
      <c r="AZ121" s="36"/>
      <c r="BA121" s="36">
        <f>+AR121+AS121+AU121+AW121+AY121+AZ121</f>
        <v>0</v>
      </c>
      <c r="BB121" s="49"/>
      <c r="BC121" s="50">
        <v>0</v>
      </c>
      <c r="BD121" s="50"/>
      <c r="BE121" s="49"/>
      <c r="BF121" s="50"/>
    </row>
    <row r="122" spans="1:58" ht="12.95" customHeight="1">
      <c r="A122" s="39"/>
      <c r="B122" s="40"/>
      <c r="C122" s="414"/>
      <c r="D122" s="40"/>
      <c r="E122" s="41"/>
      <c r="F122" s="41"/>
      <c r="G122" s="499"/>
      <c r="H122" s="43"/>
      <c r="I122" s="44"/>
      <c r="J122" s="81"/>
      <c r="K122" s="81"/>
      <c r="L122" s="34"/>
      <c r="M122" s="34"/>
      <c r="N122" s="45"/>
      <c r="O122" s="46"/>
      <c r="P122" s="47"/>
      <c r="Q122" s="46"/>
      <c r="R122" s="500"/>
      <c r="S122" s="500"/>
      <c r="T122" s="36"/>
      <c r="U122" s="36"/>
      <c r="V122" s="36"/>
      <c r="W122" s="36"/>
      <c r="X122" s="37"/>
      <c r="Y122" s="210"/>
      <c r="Z122" s="36">
        <v>0</v>
      </c>
      <c r="AA122" s="36"/>
      <c r="AB122" s="36"/>
      <c r="AC122" s="36">
        <f>K122-T122</f>
        <v>0</v>
      </c>
      <c r="AD122" s="36">
        <f>+AM122+BA122</f>
        <v>49</v>
      </c>
      <c r="AE122" s="229" t="s">
        <v>429</v>
      </c>
      <c r="AF122" s="32"/>
      <c r="AG122" s="32"/>
      <c r="AH122" s="32">
        <v>49</v>
      </c>
      <c r="AI122" s="32"/>
      <c r="AJ122" s="36"/>
      <c r="AK122" s="36"/>
      <c r="AL122" s="36"/>
      <c r="AM122" s="36">
        <f t="shared" si="286"/>
        <v>49</v>
      </c>
      <c r="AN122" s="36"/>
      <c r="AO122" s="36"/>
      <c r="AP122" s="36"/>
      <c r="AQ122" s="36"/>
      <c r="AR122" s="36">
        <f t="shared" si="295"/>
        <v>0</v>
      </c>
      <c r="AS122" s="36"/>
      <c r="AT122" s="36"/>
      <c r="AU122" s="36"/>
      <c r="AV122" s="36"/>
      <c r="AW122" s="36"/>
      <c r="AX122" s="36"/>
      <c r="AY122" s="36"/>
      <c r="AZ122" s="36"/>
      <c r="BA122" s="36">
        <f>+AR122+AS122+AU122+AW122+AY122+AZ122</f>
        <v>0</v>
      </c>
      <c r="BB122" s="32"/>
      <c r="BC122" s="503"/>
      <c r="BD122" s="503"/>
      <c r="BE122" s="32"/>
      <c r="BF122" s="503"/>
    </row>
    <row r="123" spans="1:58" ht="12.95" customHeight="1">
      <c r="A123" s="39"/>
      <c r="B123" s="40"/>
      <c r="C123" s="414"/>
      <c r="D123" s="40"/>
      <c r="E123" s="41"/>
      <c r="F123" s="41"/>
      <c r="G123" s="42"/>
      <c r="H123" s="43"/>
      <c r="I123" s="44"/>
      <c r="J123" s="81"/>
      <c r="K123" s="81"/>
      <c r="L123" s="34"/>
      <c r="M123" s="34"/>
      <c r="N123" s="45"/>
      <c r="O123" s="46"/>
      <c r="P123" s="47"/>
      <c r="Q123" s="46"/>
      <c r="R123" s="500"/>
      <c r="S123" s="500"/>
      <c r="T123" s="36"/>
      <c r="U123" s="36"/>
      <c r="V123" s="36"/>
      <c r="W123" s="36"/>
      <c r="X123" s="37"/>
      <c r="Y123" s="210"/>
      <c r="Z123" s="36"/>
      <c r="AA123" s="36"/>
      <c r="AB123" s="36"/>
      <c r="AC123" s="36"/>
      <c r="AD123" s="36">
        <f>+AM123+BA123</f>
        <v>0</v>
      </c>
      <c r="AE123" s="232" t="s">
        <v>378</v>
      </c>
      <c r="AF123" s="32"/>
      <c r="AG123" s="32"/>
      <c r="AH123" s="32"/>
      <c r="AI123" s="32"/>
      <c r="AJ123" s="36"/>
      <c r="AK123" s="36"/>
      <c r="AL123" s="36"/>
      <c r="AM123" s="36">
        <f t="shared" ref="AM123" si="296">SUM(AF123:AL123)+AT123+AV123+AX123</f>
        <v>0</v>
      </c>
      <c r="AN123" s="36"/>
      <c r="AO123" s="36"/>
      <c r="AP123" s="36"/>
      <c r="AQ123" s="36"/>
      <c r="AR123" s="36">
        <f t="shared" ref="AR123" si="297"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>
        <f>+AR123+AS123+AU123+AW123+AY123+AZ123</f>
        <v>0</v>
      </c>
      <c r="BB123" s="32"/>
      <c r="BC123" s="503"/>
      <c r="BD123" s="503"/>
      <c r="BE123" s="32"/>
      <c r="BF123" s="503"/>
    </row>
    <row r="124" spans="1:58" ht="16.5" customHeight="1">
      <c r="A124" s="39"/>
      <c r="B124" s="40"/>
      <c r="C124" s="414"/>
      <c r="D124" s="40"/>
      <c r="E124" s="41"/>
      <c r="F124" s="41"/>
      <c r="G124" s="499"/>
      <c r="H124" s="43"/>
      <c r="I124" s="44"/>
      <c r="J124" s="81"/>
      <c r="K124" s="81"/>
      <c r="L124" s="34"/>
      <c r="M124" s="34"/>
      <c r="N124" s="45"/>
      <c r="O124" s="46"/>
      <c r="P124" s="47"/>
      <c r="Q124" s="46"/>
      <c r="R124" s="500"/>
      <c r="S124" s="500"/>
      <c r="T124" s="36"/>
      <c r="U124" s="36"/>
      <c r="V124" s="36"/>
      <c r="W124" s="36"/>
      <c r="X124" s="501"/>
      <c r="Y124" s="210"/>
      <c r="Z124" s="36"/>
      <c r="AA124" s="48"/>
      <c r="AB124" s="48"/>
      <c r="AC124" s="36"/>
      <c r="AD124" s="36"/>
      <c r="AE124" s="229"/>
      <c r="AF124" s="36"/>
      <c r="AG124" s="36"/>
      <c r="AH124" s="36"/>
      <c r="AI124" s="502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2"/>
      <c r="BC124" s="50"/>
      <c r="BD124" s="50"/>
      <c r="BE124" s="50"/>
      <c r="BF124" s="50"/>
    </row>
    <row r="125" spans="1:58" ht="12.75" customHeight="1">
      <c r="A125" s="39">
        <v>46136</v>
      </c>
      <c r="B125" s="40" t="s">
        <v>7</v>
      </c>
      <c r="C125" s="414">
        <f t="shared" ref="C125" si="298">(M125*E125*O125*Q125)/100000000</f>
        <v>8.1626999999999992</v>
      </c>
      <c r="D125" s="40" t="s">
        <v>302</v>
      </c>
      <c r="E125" s="41">
        <v>14</v>
      </c>
      <c r="F125" s="41">
        <v>1</v>
      </c>
      <c r="G125" s="499">
        <f>+L125</f>
        <v>1150</v>
      </c>
      <c r="H125" s="43">
        <f>+N125</f>
        <v>0.25</v>
      </c>
      <c r="I125" s="44">
        <v>0.88</v>
      </c>
      <c r="J125" s="81">
        <f t="shared" ref="J125" si="299">E125*G125*(1-H125)*1440/1000000*2.74</f>
        <v>47.64312000000001</v>
      </c>
      <c r="K125" s="81">
        <f t="shared" ref="K125" si="300">(IF(G125&lt;L125,L125,G125)*(1-IF(H125&lt;N125,H125,N125))*E125*O125*Q125)/100000000</f>
        <v>8.1626999999999992</v>
      </c>
      <c r="L125" s="34">
        <v>1150</v>
      </c>
      <c r="M125" s="34">
        <v>862.5</v>
      </c>
      <c r="N125" s="45">
        <f t="shared" ref="N125" si="301">1-(M125/L125)</f>
        <v>0.25</v>
      </c>
      <c r="O125" s="46">
        <f>+'Trim Rwd'!H66</f>
        <v>260</v>
      </c>
      <c r="P125" s="47">
        <f t="shared" ref="P125" si="302">O125*(Q125-R125-S125)</f>
        <v>65000</v>
      </c>
      <c r="Q125" s="46">
        <v>260</v>
      </c>
      <c r="R125" s="500">
        <v>0</v>
      </c>
      <c r="S125" s="500">
        <v>10</v>
      </c>
      <c r="T125" s="36">
        <f t="shared" ref="T125" si="303">E125*M125*O125*Q125/100000000</f>
        <v>8.1626999999999992</v>
      </c>
      <c r="U125" s="36">
        <f t="shared" ref="U125" si="304">E125*M125*O125*(Q125-R125-S125)/100000000</f>
        <v>7.8487499999999999</v>
      </c>
      <c r="V125" s="36">
        <f t="shared" ref="V125" si="305">E125*G125*(1-N125)*O125/100*(R125+S125)/1000000</f>
        <v>0.31395000000000001</v>
      </c>
      <c r="W125" s="36">
        <f>+'24'!K8/1000</f>
        <v>11.933</v>
      </c>
      <c r="X125" s="501">
        <f>SUM(W125:W129)/SUM(K125:K129)</f>
        <v>0.85492535703840178</v>
      </c>
      <c r="Y125" s="210">
        <v>0</v>
      </c>
      <c r="Z125" s="36">
        <f>+'24'!D7/1000</f>
        <v>0.4</v>
      </c>
      <c r="AA125" s="48">
        <f>SUM(U125:U129)-SUM(W125:W129)-SUM(Z125:Z129)-SUM(Y125:Y129)</f>
        <v>1.3307270752118712</v>
      </c>
      <c r="AB125" s="48">
        <f>(SUM(K125:K129)-SUM(W125:W129)-SUM(Y125:Y129)-SUM(Z125:Z129)-SUM(AC125:AC129)-SUM(V125:V129))-AA125</f>
        <v>-7.8809356542131725E-2</v>
      </c>
      <c r="AC125" s="36">
        <f>K125-T125</f>
        <v>0</v>
      </c>
      <c r="AD125" s="36">
        <f>+AM125+BA125</f>
        <v>22</v>
      </c>
      <c r="AE125" s="229" t="s">
        <v>692</v>
      </c>
      <c r="AF125" s="36">
        <v>22</v>
      </c>
      <c r="AG125" s="36"/>
      <c r="AH125" s="36"/>
      <c r="AI125" s="36"/>
      <c r="AJ125" s="36"/>
      <c r="AK125" s="36"/>
      <c r="AL125" s="36"/>
      <c r="AM125" s="36">
        <f t="shared" ref="AM125:AM127" si="306">SUM(AF125:AL125)+AT125+AV125+AX125</f>
        <v>22</v>
      </c>
      <c r="AN125" s="36"/>
      <c r="AO125" s="36"/>
      <c r="AP125" s="36"/>
      <c r="AQ125" s="36"/>
      <c r="AR125" s="36">
        <f>SUM(AN125:AQ125)</f>
        <v>0</v>
      </c>
      <c r="AS125" s="36"/>
      <c r="AT125" s="36"/>
      <c r="AU125" s="36"/>
      <c r="AV125" s="36"/>
      <c r="AW125" s="36"/>
      <c r="AX125" s="36"/>
      <c r="AY125" s="36"/>
      <c r="AZ125" s="36"/>
      <c r="BA125" s="36">
        <f>+AR125+AS125+AU125+AW125+AY125+AZ125</f>
        <v>0</v>
      </c>
      <c r="BB125" s="32">
        <v>8</v>
      </c>
      <c r="BC125" s="50"/>
      <c r="BD125" s="50"/>
      <c r="BE125" s="32"/>
      <c r="BF125" s="50"/>
    </row>
    <row r="126" spans="1:58" ht="12.95" customHeight="1">
      <c r="A126" s="39"/>
      <c r="B126" s="40" t="s">
        <v>7</v>
      </c>
      <c r="C126" s="414">
        <f t="shared" ref="C126" si="307">(M126*E126*O126*Q126)/100000000</f>
        <v>34.082571510000008</v>
      </c>
      <c r="D126" s="40" t="s">
        <v>302</v>
      </c>
      <c r="E126" s="41">
        <v>13</v>
      </c>
      <c r="F126" s="41">
        <v>1</v>
      </c>
      <c r="G126" s="499">
        <v>1230</v>
      </c>
      <c r="H126" s="43">
        <v>0.24</v>
      </c>
      <c r="I126" s="44">
        <v>0.88</v>
      </c>
      <c r="J126" s="81">
        <f t="shared" ref="J126" si="308">E126*G126*(1-H126)*1440/1000000*2.74</f>
        <v>47.948509440000002</v>
      </c>
      <c r="K126" s="81">
        <f t="shared" ref="K126" si="309">(IF(G126&lt;L126,L126,G126)*(1-IF(H126&lt;N126,H126,N126))*E126*O126*Q126)/100000000</f>
        <v>36.942992189999998</v>
      </c>
      <c r="L126" s="34">
        <v>1171.8644067796611</v>
      </c>
      <c r="M126" s="34">
        <v>862.4203389830509</v>
      </c>
      <c r="N126" s="45">
        <f t="shared" ref="N126" si="310">1-(M126/L126)</f>
        <v>0.26406132484813416</v>
      </c>
      <c r="O126" s="46">
        <f>+'Trim Rwd'!H67</f>
        <v>257.625</v>
      </c>
      <c r="P126" s="47">
        <f t="shared" ref="P126" si="311">O126*(Q126-R126-S126)</f>
        <v>289828.125</v>
      </c>
      <c r="Q126" s="46">
        <v>1180</v>
      </c>
      <c r="R126" s="500">
        <v>0</v>
      </c>
      <c r="S126" s="500">
        <f>65-S125</f>
        <v>55</v>
      </c>
      <c r="T126" s="36">
        <f t="shared" ref="T126" si="312">E126*M126*O126*Q126/100000000</f>
        <v>34.082571510000008</v>
      </c>
      <c r="U126" s="36">
        <f t="shared" ref="U126" si="313">E126*M126*O126*(Q126-R126-S126)/100000000</f>
        <v>32.493977075211866</v>
      </c>
      <c r="V126" s="36">
        <f t="shared" ref="V126" si="314">E126*G126*(1-N126)*O126/100*(R126+S126)/1000000</f>
        <v>1.6674037913302719</v>
      </c>
      <c r="W126" s="36">
        <f>+'24'!K9/1000</f>
        <v>26.629000000000001</v>
      </c>
      <c r="X126" s="37"/>
      <c r="Y126" s="210"/>
      <c r="Z126" s="36">
        <f>+'24'!D8/1000</f>
        <v>0.05</v>
      </c>
      <c r="AA126" s="36"/>
      <c r="AB126" s="36"/>
      <c r="AC126" s="36">
        <f>K126-T126</f>
        <v>2.8604206799999901</v>
      </c>
      <c r="AD126" s="36">
        <f>+AM126+BA126</f>
        <v>2</v>
      </c>
      <c r="AE126" s="229" t="s">
        <v>414</v>
      </c>
      <c r="AF126" s="36"/>
      <c r="AG126" s="36">
        <v>2</v>
      </c>
      <c r="AH126" s="36"/>
      <c r="AI126" s="36"/>
      <c r="AJ126" s="36"/>
      <c r="AK126" s="36"/>
      <c r="AL126" s="36"/>
      <c r="AM126" s="36">
        <f t="shared" si="306"/>
        <v>2</v>
      </c>
      <c r="AN126" s="82"/>
      <c r="AO126" s="36"/>
      <c r="AP126" s="36"/>
      <c r="AQ126" s="36"/>
      <c r="AR126" s="36">
        <f t="shared" ref="AR126:AR127" si="315">SUM(AN126:AQ126)</f>
        <v>0</v>
      </c>
      <c r="AS126" s="36"/>
      <c r="AT126" s="36"/>
      <c r="AU126" s="36"/>
      <c r="AV126" s="36"/>
      <c r="AW126" s="36"/>
      <c r="AX126" s="36"/>
      <c r="AY126" s="36"/>
      <c r="AZ126" s="36"/>
      <c r="BA126" s="36">
        <f>+AR126+AS126+AU126+AW126+AY126+AZ126</f>
        <v>0</v>
      </c>
      <c r="BB126" s="49"/>
      <c r="BC126" s="50">
        <v>1</v>
      </c>
      <c r="BD126" s="50"/>
      <c r="BE126" s="49"/>
      <c r="BF126" s="50"/>
    </row>
    <row r="127" spans="1:58" ht="12.95" customHeight="1">
      <c r="A127" s="39"/>
      <c r="B127" s="40"/>
      <c r="C127" s="414"/>
      <c r="D127" s="40"/>
      <c r="E127" s="41"/>
      <c r="F127" s="41"/>
      <c r="G127" s="499"/>
      <c r="H127" s="43"/>
      <c r="I127" s="44"/>
      <c r="J127" s="81"/>
      <c r="K127" s="81"/>
      <c r="L127" s="34"/>
      <c r="M127" s="34"/>
      <c r="N127" s="45"/>
      <c r="O127" s="46"/>
      <c r="P127" s="47"/>
      <c r="Q127" s="46"/>
      <c r="R127" s="500"/>
      <c r="S127" s="500"/>
      <c r="T127" s="36"/>
      <c r="U127" s="36"/>
      <c r="V127" s="36"/>
      <c r="W127" s="36"/>
      <c r="X127" s="37"/>
      <c r="Y127" s="210"/>
      <c r="Z127" s="36">
        <v>0</v>
      </c>
      <c r="AA127" s="36"/>
      <c r="AB127" s="36"/>
      <c r="AC127" s="36">
        <f>K127-T127</f>
        <v>0</v>
      </c>
      <c r="AD127" s="36">
        <f>+AM127+BA127</f>
        <v>41</v>
      </c>
      <c r="AE127" s="229" t="s">
        <v>467</v>
      </c>
      <c r="AF127" s="32"/>
      <c r="AG127" s="32"/>
      <c r="AH127" s="32">
        <v>41</v>
      </c>
      <c r="AI127" s="32"/>
      <c r="AJ127" s="36"/>
      <c r="AK127" s="36"/>
      <c r="AL127" s="36"/>
      <c r="AM127" s="36">
        <f t="shared" si="306"/>
        <v>41</v>
      </c>
      <c r="AN127" s="36"/>
      <c r="AO127" s="36"/>
      <c r="AP127" s="36"/>
      <c r="AQ127" s="36"/>
      <c r="AR127" s="36">
        <f t="shared" si="315"/>
        <v>0</v>
      </c>
      <c r="AS127" s="36"/>
      <c r="AT127" s="36"/>
      <c r="AU127" s="36"/>
      <c r="AV127" s="36"/>
      <c r="AW127" s="36"/>
      <c r="AX127" s="36"/>
      <c r="AY127" s="36"/>
      <c r="AZ127" s="36"/>
      <c r="BA127" s="36">
        <f>+AR127+AS127+AU127+AW127+AY127+AZ127</f>
        <v>0</v>
      </c>
      <c r="BB127" s="32"/>
      <c r="BC127" s="503"/>
      <c r="BD127" s="503"/>
      <c r="BE127" s="32"/>
      <c r="BF127" s="503"/>
    </row>
    <row r="128" spans="1:58" ht="12.95" customHeight="1">
      <c r="A128" s="39"/>
      <c r="B128" s="40"/>
      <c r="C128" s="414"/>
      <c r="D128" s="40"/>
      <c r="E128" s="41"/>
      <c r="F128" s="41"/>
      <c r="G128" s="42"/>
      <c r="H128" s="43"/>
      <c r="I128" s="44"/>
      <c r="J128" s="81"/>
      <c r="K128" s="81"/>
      <c r="L128" s="34"/>
      <c r="M128" s="34"/>
      <c r="N128" s="45"/>
      <c r="O128" s="46"/>
      <c r="P128" s="47"/>
      <c r="Q128" s="46"/>
      <c r="R128" s="500"/>
      <c r="S128" s="500"/>
      <c r="T128" s="36"/>
      <c r="U128" s="36"/>
      <c r="V128" s="36"/>
      <c r="W128" s="36"/>
      <c r="X128" s="37"/>
      <c r="Y128" s="210"/>
      <c r="Z128" s="36"/>
      <c r="AA128" s="36"/>
      <c r="AB128" s="36"/>
      <c r="AC128" s="36"/>
      <c r="AD128" s="36">
        <f>+AM128+BA128</f>
        <v>0</v>
      </c>
      <c r="AE128" s="232" t="s">
        <v>378</v>
      </c>
      <c r="AF128" s="32"/>
      <c r="AG128" s="32"/>
      <c r="AH128" s="32"/>
      <c r="AI128" s="32"/>
      <c r="AJ128" s="36"/>
      <c r="AK128" s="36"/>
      <c r="AL128" s="36"/>
      <c r="AM128" s="36">
        <f t="shared" ref="AM128" si="316">SUM(AF128:AL128)+AT128+AV128+AX128</f>
        <v>0</v>
      </c>
      <c r="AN128" s="36"/>
      <c r="AO128" s="36"/>
      <c r="AP128" s="36"/>
      <c r="AQ128" s="36"/>
      <c r="AR128" s="36">
        <f t="shared" ref="AR128" si="317">SUM(AN128:AQ128)</f>
        <v>0</v>
      </c>
      <c r="AS128" s="36"/>
      <c r="AT128" s="36"/>
      <c r="AU128" s="36"/>
      <c r="AV128" s="36"/>
      <c r="AW128" s="36"/>
      <c r="AX128" s="36"/>
      <c r="AY128" s="36"/>
      <c r="AZ128" s="36"/>
      <c r="BA128" s="36">
        <f>+AR128+AS128+AU128+AW128+AY128+AZ128</f>
        <v>0</v>
      </c>
      <c r="BB128" s="32"/>
      <c r="BC128" s="503"/>
      <c r="BD128" s="503"/>
      <c r="BE128" s="32"/>
      <c r="BF128" s="503"/>
    </row>
    <row r="129" spans="1:58" ht="16.5" customHeight="1">
      <c r="A129" s="39"/>
      <c r="B129" s="40"/>
      <c r="C129" s="414"/>
      <c r="D129" s="40"/>
      <c r="E129" s="41"/>
      <c r="F129" s="41"/>
      <c r="G129" s="499"/>
      <c r="H129" s="43"/>
      <c r="I129" s="44"/>
      <c r="J129" s="81"/>
      <c r="K129" s="81"/>
      <c r="L129" s="34"/>
      <c r="M129" s="34"/>
      <c r="N129" s="45"/>
      <c r="O129" s="46"/>
      <c r="P129" s="47"/>
      <c r="Q129" s="46"/>
      <c r="R129" s="500"/>
      <c r="S129" s="500"/>
      <c r="T129" s="36"/>
      <c r="U129" s="36"/>
      <c r="V129" s="36"/>
      <c r="W129" s="36"/>
      <c r="X129" s="501"/>
      <c r="Y129" s="210"/>
      <c r="Z129" s="36"/>
      <c r="AA129" s="48"/>
      <c r="AB129" s="48"/>
      <c r="AC129" s="36"/>
      <c r="AD129" s="36"/>
      <c r="AE129" s="229"/>
      <c r="AF129" s="36"/>
      <c r="AG129" s="36"/>
      <c r="AH129" s="36"/>
      <c r="AI129" s="502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2"/>
      <c r="BC129" s="50"/>
      <c r="BD129" s="50"/>
      <c r="BE129" s="50"/>
      <c r="BF129" s="50"/>
    </row>
    <row r="130" spans="1:58" ht="12.75" customHeight="1">
      <c r="A130" s="39">
        <v>46137</v>
      </c>
      <c r="B130" s="40" t="s">
        <v>7</v>
      </c>
      <c r="C130" s="414">
        <f t="shared" ref="C130:C131" si="318">(M130*E130*O130*Q130)/100000000</f>
        <v>22.372038592905408</v>
      </c>
      <c r="D130" s="40" t="s">
        <v>302</v>
      </c>
      <c r="E130" s="41">
        <v>13</v>
      </c>
      <c r="F130" s="41">
        <v>1</v>
      </c>
      <c r="G130" s="499">
        <v>1230</v>
      </c>
      <c r="H130" s="43">
        <v>0.24</v>
      </c>
      <c r="I130" s="44">
        <v>0.88</v>
      </c>
      <c r="J130" s="81">
        <f t="shared" ref="J130:J131" si="319">E130*G130*(1-H130)*1440/1000000*2.74</f>
        <v>47.948509440000002</v>
      </c>
      <c r="K130" s="81">
        <f t="shared" ref="K130:K131" si="320">(IF(G130&lt;L130,L130,G130)*(1-IF(H130&lt;N130,H130,N130))*E130*O130*Q130)/100000000</f>
        <v>24.131710410810815</v>
      </c>
      <c r="L130" s="34">
        <v>1187.171052631579</v>
      </c>
      <c r="M130" s="34">
        <v>866.6348684210526</v>
      </c>
      <c r="N130" s="45">
        <f t="shared" ref="N130:N131" si="321">1-(M130/L130)</f>
        <v>0.27</v>
      </c>
      <c r="O130" s="46">
        <f>+'Trim Rwd'!H70</f>
        <v>261.2837837837838</v>
      </c>
      <c r="P130" s="47">
        <f t="shared" ref="P130:P131" si="322">O130*(Q130-R130-S130)</f>
        <v>189953.31081081083</v>
      </c>
      <c r="Q130" s="46">
        <v>760</v>
      </c>
      <c r="R130" s="500">
        <v>0</v>
      </c>
      <c r="S130" s="500">
        <v>33</v>
      </c>
      <c r="T130" s="36">
        <f t="shared" ref="T130:T131" si="323">E130*M130*O130*Q130/100000000</f>
        <v>22.372038592905408</v>
      </c>
      <c r="U130" s="36">
        <f t="shared" ref="U130:U131" si="324">E130*M130*O130*(Q130-R130-S130)/100000000</f>
        <v>21.400621127687145</v>
      </c>
      <c r="V130" s="36">
        <f t="shared" ref="V130:V131" si="325">E130*G130*(1-N130)*O130/100*(R130+S130)/1000000</f>
        <v>1.0064627835810811</v>
      </c>
      <c r="W130" s="36">
        <f>+'25'!K9/1000</f>
        <v>24.201000000000001</v>
      </c>
      <c r="X130" s="501">
        <f>SUM(W130:W134)/SUM(K130:K134)</f>
        <v>0.88028283824555942</v>
      </c>
      <c r="Y130" s="210">
        <v>0</v>
      </c>
      <c r="Z130" s="36">
        <f>+'24'!D12/1000</f>
        <v>0</v>
      </c>
      <c r="AA130" s="48">
        <f>SUM(U130:U134)-SUM(W130:W134)-SUM(Z130:Z134)-SUM(Y130:Y134)</f>
        <v>0.91612362768714206</v>
      </c>
      <c r="AB130" s="48">
        <f>(SUM(K130:K134)-SUM(W130:W134)-SUM(Y130:Y134)-SUM(Z130:Z134)-SUM(AC130:AC134)-SUM(V130:V134))-AA130</f>
        <v>-3.5045318362816991E-2</v>
      </c>
      <c r="AC130" s="36">
        <f>K130-T130</f>
        <v>1.7596718179054065</v>
      </c>
      <c r="AD130" s="36">
        <f>+AM130+BA130</f>
        <v>18</v>
      </c>
      <c r="AE130" s="229" t="s">
        <v>719</v>
      </c>
      <c r="AF130" s="36">
        <v>18</v>
      </c>
      <c r="AG130" s="36"/>
      <c r="AH130" s="36"/>
      <c r="AI130" s="36"/>
      <c r="AJ130" s="36"/>
      <c r="AK130" s="36"/>
      <c r="AL130" s="36"/>
      <c r="AM130" s="36">
        <f t="shared" ref="AM130:AM132" si="326">SUM(AF130:AL130)+AT130+AV130+AX130</f>
        <v>18</v>
      </c>
      <c r="AN130" s="36"/>
      <c r="AO130" s="36"/>
      <c r="AP130" s="36"/>
      <c r="AQ130" s="36"/>
      <c r="AR130" s="36">
        <f>SUM(AN130:AQ130)</f>
        <v>0</v>
      </c>
      <c r="AS130" s="36"/>
      <c r="AT130" s="36"/>
      <c r="AU130" s="36"/>
      <c r="AV130" s="36"/>
      <c r="AW130" s="36"/>
      <c r="AX130" s="36"/>
      <c r="AY130" s="36"/>
      <c r="AZ130" s="36"/>
      <c r="BA130" s="36">
        <f>+AR130+AS130+AU130+AW130+AY130+AZ130</f>
        <v>0</v>
      </c>
      <c r="BB130" s="32">
        <v>9</v>
      </c>
      <c r="BC130" s="50"/>
      <c r="BD130" s="50"/>
      <c r="BE130" s="32"/>
      <c r="BF130" s="50"/>
    </row>
    <row r="131" spans="1:58" ht="12.95" customHeight="1">
      <c r="A131" s="39"/>
      <c r="B131" s="40" t="s">
        <v>7</v>
      </c>
      <c r="C131" s="414">
        <f t="shared" si="318"/>
        <v>19.233018000000001</v>
      </c>
      <c r="D131" s="40" t="s">
        <v>302</v>
      </c>
      <c r="E131" s="41">
        <v>12</v>
      </c>
      <c r="F131" s="41">
        <v>1</v>
      </c>
      <c r="G131" s="499">
        <v>1230</v>
      </c>
      <c r="H131" s="43">
        <v>0.24</v>
      </c>
      <c r="I131" s="44">
        <v>0.88</v>
      </c>
      <c r="J131" s="81">
        <f t="shared" si="319"/>
        <v>44.260162560000005</v>
      </c>
      <c r="K131" s="81">
        <f t="shared" si="320"/>
        <v>20.023415999999997</v>
      </c>
      <c r="L131" s="34">
        <v>1230</v>
      </c>
      <c r="M131" s="34">
        <v>897.9</v>
      </c>
      <c r="N131" s="45">
        <f t="shared" si="321"/>
        <v>0.27</v>
      </c>
      <c r="O131" s="46">
        <f>+'Trim Rwd'!H72</f>
        <v>262.5</v>
      </c>
      <c r="P131" s="47">
        <f t="shared" si="322"/>
        <v>170625</v>
      </c>
      <c r="Q131" s="46">
        <v>680</v>
      </c>
      <c r="R131" s="500">
        <v>0</v>
      </c>
      <c r="S131" s="500">
        <f>63-S130</f>
        <v>30</v>
      </c>
      <c r="T131" s="36">
        <f t="shared" si="323"/>
        <v>19.233018000000001</v>
      </c>
      <c r="U131" s="36">
        <f t="shared" si="324"/>
        <v>18.3845025</v>
      </c>
      <c r="V131" s="36">
        <f t="shared" si="325"/>
        <v>0.84851549999999998</v>
      </c>
      <c r="W131" s="36">
        <f>+'25'!K10/1000</f>
        <v>14.667999999999999</v>
      </c>
      <c r="X131" s="37"/>
      <c r="Y131" s="210"/>
      <c r="Z131" s="36">
        <f>+'24'!D13/1000</f>
        <v>0</v>
      </c>
      <c r="AA131" s="36"/>
      <c r="AB131" s="36"/>
      <c r="AC131" s="36">
        <f>K131-T131</f>
        <v>0.79039799999999616</v>
      </c>
      <c r="AD131" s="36">
        <f>+AM131+BA131</f>
        <v>3</v>
      </c>
      <c r="AE131" s="229" t="s">
        <v>414</v>
      </c>
      <c r="AF131" s="36"/>
      <c r="AG131" s="36">
        <v>3</v>
      </c>
      <c r="AH131" s="36"/>
      <c r="AI131" s="36"/>
      <c r="AJ131" s="36"/>
      <c r="AK131" s="36"/>
      <c r="AL131" s="36"/>
      <c r="AM131" s="36">
        <f t="shared" si="326"/>
        <v>3</v>
      </c>
      <c r="AN131" s="82"/>
      <c r="AO131" s="36"/>
      <c r="AP131" s="36"/>
      <c r="AQ131" s="36"/>
      <c r="AR131" s="36">
        <f t="shared" ref="AR131:AR132" si="327">SUM(AN131:AQ131)</f>
        <v>0</v>
      </c>
      <c r="AS131" s="36"/>
      <c r="AT131" s="36"/>
      <c r="AU131" s="36"/>
      <c r="AV131" s="36"/>
      <c r="AW131" s="36"/>
      <c r="AX131" s="36"/>
      <c r="AY131" s="36"/>
      <c r="AZ131" s="36"/>
      <c r="BA131" s="36">
        <f>+AR131+AS131+AU131+AW131+AY131+AZ131</f>
        <v>0</v>
      </c>
      <c r="BB131" s="49"/>
      <c r="BC131" s="50">
        <v>1</v>
      </c>
      <c r="BD131" s="50"/>
      <c r="BE131" s="49"/>
      <c r="BF131" s="50"/>
    </row>
    <row r="132" spans="1:58" ht="12.95" customHeight="1">
      <c r="A132" s="39"/>
      <c r="B132" s="40"/>
      <c r="C132" s="414"/>
      <c r="D132" s="40"/>
      <c r="E132" s="41"/>
      <c r="F132" s="41"/>
      <c r="G132" s="499"/>
      <c r="H132" s="43"/>
      <c r="I132" s="44"/>
      <c r="J132" s="81"/>
      <c r="K132" s="81"/>
      <c r="L132" s="34"/>
      <c r="M132" s="34"/>
      <c r="N132" s="45"/>
      <c r="O132" s="46"/>
      <c r="P132" s="47"/>
      <c r="Q132" s="46"/>
      <c r="R132" s="500"/>
      <c r="S132" s="500"/>
      <c r="T132" s="36"/>
      <c r="U132" s="36"/>
      <c r="V132" s="36"/>
      <c r="W132" s="36"/>
      <c r="X132" s="37"/>
      <c r="Y132" s="210"/>
      <c r="Z132" s="36">
        <v>0</v>
      </c>
      <c r="AA132" s="36"/>
      <c r="AB132" s="36"/>
      <c r="AC132" s="36">
        <f>K132-T132</f>
        <v>0</v>
      </c>
      <c r="AD132" s="36">
        <f>+AM132+BA132</f>
        <v>42</v>
      </c>
      <c r="AE132" s="229" t="s">
        <v>467</v>
      </c>
      <c r="AF132" s="32"/>
      <c r="AG132" s="32"/>
      <c r="AH132" s="32">
        <v>42</v>
      </c>
      <c r="AI132" s="32"/>
      <c r="AJ132" s="36"/>
      <c r="AK132" s="36"/>
      <c r="AL132" s="36"/>
      <c r="AM132" s="36">
        <f t="shared" si="326"/>
        <v>42</v>
      </c>
      <c r="AN132" s="36"/>
      <c r="AO132" s="36"/>
      <c r="AP132" s="36"/>
      <c r="AQ132" s="36"/>
      <c r="AR132" s="36">
        <f t="shared" si="327"/>
        <v>0</v>
      </c>
      <c r="AS132" s="36"/>
      <c r="AT132" s="36"/>
      <c r="AU132" s="36"/>
      <c r="AV132" s="36"/>
      <c r="AW132" s="36"/>
      <c r="AX132" s="36"/>
      <c r="AY132" s="36"/>
      <c r="AZ132" s="36"/>
      <c r="BA132" s="36">
        <f>+AR132+AS132+AU132+AW132+AY132+AZ132</f>
        <v>0</v>
      </c>
      <c r="BB132" s="32"/>
      <c r="BC132" s="503"/>
      <c r="BD132" s="503"/>
      <c r="BE132" s="32"/>
      <c r="BF132" s="503"/>
    </row>
    <row r="133" spans="1:58" ht="12.95" customHeight="1">
      <c r="A133" s="39"/>
      <c r="B133" s="40"/>
      <c r="C133" s="414"/>
      <c r="D133" s="40"/>
      <c r="E133" s="41"/>
      <c r="F133" s="41"/>
      <c r="G133" s="42"/>
      <c r="H133" s="43"/>
      <c r="I133" s="44"/>
      <c r="J133" s="81"/>
      <c r="K133" s="81"/>
      <c r="L133" s="34"/>
      <c r="M133" s="34"/>
      <c r="N133" s="45"/>
      <c r="O133" s="46"/>
      <c r="P133" s="47"/>
      <c r="Q133" s="46"/>
      <c r="R133" s="500"/>
      <c r="S133" s="500"/>
      <c r="T133" s="36"/>
      <c r="U133" s="36"/>
      <c r="V133" s="36"/>
      <c r="W133" s="36"/>
      <c r="X133" s="37"/>
      <c r="Y133" s="210"/>
      <c r="Z133" s="36"/>
      <c r="AA133" s="36"/>
      <c r="AB133" s="36"/>
      <c r="AC133" s="36"/>
      <c r="AD133" s="36">
        <f>+AM133+BA133</f>
        <v>0</v>
      </c>
      <c r="AE133" s="232" t="s">
        <v>378</v>
      </c>
      <c r="AF133" s="32"/>
      <c r="AG133" s="32"/>
      <c r="AH133" s="32"/>
      <c r="AI133" s="32"/>
      <c r="AJ133" s="36"/>
      <c r="AK133" s="36"/>
      <c r="AL133" s="36"/>
      <c r="AM133" s="36">
        <f t="shared" ref="AM133" si="328">SUM(AF133:AL133)+AT133+AV133+AX133</f>
        <v>0</v>
      </c>
      <c r="AN133" s="36"/>
      <c r="AO133" s="36"/>
      <c r="AP133" s="36"/>
      <c r="AQ133" s="36"/>
      <c r="AR133" s="36">
        <f t="shared" ref="AR133" si="329">SUM(AN133:AQ133)</f>
        <v>0</v>
      </c>
      <c r="AS133" s="36"/>
      <c r="AT133" s="36"/>
      <c r="AU133" s="36"/>
      <c r="AV133" s="36"/>
      <c r="AW133" s="36"/>
      <c r="AX133" s="36"/>
      <c r="AY133" s="36"/>
      <c r="AZ133" s="36"/>
      <c r="BA133" s="36">
        <f>+AR133+AS133+AU133+AW133+AY133+AZ133</f>
        <v>0</v>
      </c>
      <c r="BB133" s="32"/>
      <c r="BC133" s="503"/>
      <c r="BD133" s="503"/>
      <c r="BE133" s="32"/>
      <c r="BF133" s="503"/>
    </row>
    <row r="134" spans="1:58" ht="16.5" customHeight="1">
      <c r="A134" s="39"/>
      <c r="B134" s="40"/>
      <c r="C134" s="414"/>
      <c r="D134" s="40"/>
      <c r="E134" s="41"/>
      <c r="F134" s="41"/>
      <c r="G134" s="499"/>
      <c r="H134" s="43"/>
      <c r="I134" s="44"/>
      <c r="J134" s="81"/>
      <c r="K134" s="81"/>
      <c r="L134" s="34"/>
      <c r="M134" s="34"/>
      <c r="N134" s="45"/>
      <c r="O134" s="46"/>
      <c r="P134" s="47"/>
      <c r="Q134" s="46"/>
      <c r="R134" s="500"/>
      <c r="S134" s="500"/>
      <c r="T134" s="36"/>
      <c r="U134" s="36"/>
      <c r="V134" s="36"/>
      <c r="W134" s="36"/>
      <c r="X134" s="501"/>
      <c r="Y134" s="210"/>
      <c r="Z134" s="36"/>
      <c r="AA134" s="48"/>
      <c r="AB134" s="48"/>
      <c r="AC134" s="36"/>
      <c r="AD134" s="36"/>
      <c r="AE134" s="229"/>
      <c r="AF134" s="36"/>
      <c r="AG134" s="36"/>
      <c r="AH134" s="36"/>
      <c r="AI134" s="502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2"/>
      <c r="BC134" s="50"/>
      <c r="BD134" s="503"/>
      <c r="BE134" s="32"/>
      <c r="BF134" s="503"/>
    </row>
    <row r="135" spans="1:58" ht="12.75" customHeight="1">
      <c r="A135" s="39">
        <v>46138</v>
      </c>
      <c r="B135" s="40" t="s">
        <v>7</v>
      </c>
      <c r="C135" s="414">
        <f t="shared" ref="C135" si="330">(M135*E135*O135*Q135)/100000000</f>
        <v>20.058473879999998</v>
      </c>
      <c r="D135" s="40" t="s">
        <v>302</v>
      </c>
      <c r="E135" s="41">
        <v>12</v>
      </c>
      <c r="F135" s="41">
        <v>1</v>
      </c>
      <c r="G135" s="499">
        <v>1230</v>
      </c>
      <c r="H135" s="43">
        <v>0.24</v>
      </c>
      <c r="I135" s="44">
        <v>0.88</v>
      </c>
      <c r="J135" s="81">
        <f t="shared" ref="J135" si="331">E135*G135*(1-H135)*1440/1000000*2.74</f>
        <v>44.260162560000005</v>
      </c>
      <c r="K135" s="81">
        <f t="shared" ref="K135" si="332">(IF(G135&lt;L135,L135,G135)*(1-IF(H135&lt;N135,H135,N135))*E135*O135*Q135)/100000000</f>
        <v>20.917739159999996</v>
      </c>
      <c r="L135" s="34">
        <v>1223.1914893617022</v>
      </c>
      <c r="M135" s="34">
        <v>896.4</v>
      </c>
      <c r="N135" s="45">
        <f t="shared" ref="N135" si="333">1-(M135/L135)</f>
        <v>0.26716298486693346</v>
      </c>
      <c r="O135" s="46">
        <f>+'Trim Rwd'!H74</f>
        <v>264.5</v>
      </c>
      <c r="P135" s="47">
        <f t="shared" ref="P135" si="334">O135*(Q135-R135-S135)</f>
        <v>179066.5</v>
      </c>
      <c r="Q135" s="46">
        <v>705</v>
      </c>
      <c r="R135" s="500">
        <v>0</v>
      </c>
      <c r="S135" s="500">
        <v>28</v>
      </c>
      <c r="T135" s="36">
        <f t="shared" ref="T135:T136" si="335">E135*M135*O135*Q135/100000000</f>
        <v>20.058473879999998</v>
      </c>
      <c r="U135" s="36">
        <f t="shared" ref="U135:U136" si="336">E135*M135*O135*(Q135-R135-S135)/100000000</f>
        <v>19.261825271999999</v>
      </c>
      <c r="V135" s="36">
        <f t="shared" ref="V135:V136" si="337">E135*G135*(1-N135)*O135/100*(R135+S135)/1000000</f>
        <v>0.80108290186954245</v>
      </c>
      <c r="W135" s="36">
        <f>+'26'!K10/1000</f>
        <v>21.512</v>
      </c>
      <c r="X135" s="501">
        <f>SUM(W135:W139)/SUM(K135:K139)</f>
        <v>0.83985882015978752</v>
      </c>
      <c r="Y135" s="210">
        <v>0</v>
      </c>
      <c r="Z135" s="36">
        <f>+'24'!D17/1000</f>
        <v>0</v>
      </c>
      <c r="AA135" s="48">
        <f>SUM(U135:U139)-SUM(W135:W139)-SUM(Z135:Z139)-SUM(Y135:Y139)</f>
        <v>1.5069997638367383</v>
      </c>
      <c r="AB135" s="48">
        <f>(SUM(K135:K139)-SUM(W135:W139)-SUM(Y135:Y139)-SUM(Z135:Z139)-SUM(AC135:AC139)-SUM(V135:V139))-AA135</f>
        <v>-0.14318828570628139</v>
      </c>
      <c r="AC135" s="36">
        <f>K135-T135</f>
        <v>0.85926527999999891</v>
      </c>
      <c r="AD135" s="36">
        <f>+AM135+BA135</f>
        <v>8</v>
      </c>
      <c r="AE135" s="229" t="s">
        <v>493</v>
      </c>
      <c r="AF135" s="36">
        <v>8</v>
      </c>
      <c r="AG135" s="36"/>
      <c r="AH135" s="36"/>
      <c r="AI135" s="36"/>
      <c r="AJ135" s="36"/>
      <c r="AK135" s="36"/>
      <c r="AL135" s="36"/>
      <c r="AM135" s="36">
        <f t="shared" ref="AM135:AM137" si="338">SUM(AF135:AL135)+AT135+AV135+AX135</f>
        <v>8</v>
      </c>
      <c r="AN135" s="36"/>
      <c r="AO135" s="36"/>
      <c r="AP135" s="36"/>
      <c r="AQ135" s="36"/>
      <c r="AR135" s="36">
        <f>SUM(AN135:AQ135)</f>
        <v>0</v>
      </c>
      <c r="AS135" s="36"/>
      <c r="AT135" s="36"/>
      <c r="AU135" s="36"/>
      <c r="AV135" s="36"/>
      <c r="AW135" s="36"/>
      <c r="AX135" s="36"/>
      <c r="AY135" s="36"/>
      <c r="AZ135" s="36"/>
      <c r="BA135" s="36">
        <f>+AR135+AS135+AU135+AW135+AY135+AZ135</f>
        <v>0</v>
      </c>
      <c r="BB135" s="32">
        <v>3</v>
      </c>
      <c r="BC135" s="50"/>
      <c r="BD135" s="50"/>
      <c r="BE135" s="32"/>
      <c r="BF135" s="50"/>
    </row>
    <row r="136" spans="1:58" ht="12.95" customHeight="1">
      <c r="A136" s="39"/>
      <c r="B136" s="40" t="s">
        <v>513</v>
      </c>
      <c r="C136" s="414">
        <f t="shared" ref="C136" si="339">(M136*E136*O136*Q136)/100000000</f>
        <v>23.959300500000001</v>
      </c>
      <c r="D136" s="40" t="s">
        <v>302</v>
      </c>
      <c r="E136" s="41">
        <v>15</v>
      </c>
      <c r="F136" s="41">
        <v>1</v>
      </c>
      <c r="G136" s="499">
        <v>1225</v>
      </c>
      <c r="H136" s="43">
        <v>0.24</v>
      </c>
      <c r="I136" s="44">
        <v>0.88</v>
      </c>
      <c r="J136" s="81">
        <f t="shared" ref="J136" si="340">E136*G136*(1-H136)*1440/1000000*2.74</f>
        <v>55.100304000000008</v>
      </c>
      <c r="K136" s="81">
        <f t="shared" ref="K136" si="341">(IF(G136&lt;L136,L136,G136)*(1-IF(H136&lt;N136,H136,N136))*E136*O136*Q136)/100000000</f>
        <v>27.508257</v>
      </c>
      <c r="L136" s="34">
        <v>1081.1836734693877</v>
      </c>
      <c r="M136" s="34">
        <v>810.88775510204084</v>
      </c>
      <c r="N136" s="45">
        <f t="shared" ref="N136" si="342">1-(M136/L136)</f>
        <v>0.25</v>
      </c>
      <c r="O136" s="46">
        <f>+'Trim Rwd'!H76</f>
        <v>268</v>
      </c>
      <c r="P136" s="47">
        <f t="shared" ref="P136" si="343">O136*(Q136-R136-S136)</f>
        <v>188404</v>
      </c>
      <c r="Q136" s="46">
        <v>735</v>
      </c>
      <c r="R136" s="500">
        <v>0</v>
      </c>
      <c r="S136" s="500">
        <v>32</v>
      </c>
      <c r="T136" s="36">
        <f t="shared" si="335"/>
        <v>23.959300500000001</v>
      </c>
      <c r="U136" s="36">
        <f t="shared" si="336"/>
        <v>22.916174491836735</v>
      </c>
      <c r="V136" s="36">
        <f t="shared" si="337"/>
        <v>1.18188</v>
      </c>
      <c r="W136" s="36">
        <f>+'26'!K19/1000</f>
        <v>19.158999999999999</v>
      </c>
      <c r="X136" s="37"/>
      <c r="Y136" s="210"/>
      <c r="Z136" s="36">
        <f>+'24'!D18/1000</f>
        <v>0</v>
      </c>
      <c r="AA136" s="36"/>
      <c r="AB136" s="36"/>
      <c r="AC136" s="36">
        <f>K136-T136</f>
        <v>3.5489564999999992</v>
      </c>
      <c r="AD136" s="36">
        <f>+AM136+BA136</f>
        <v>0</v>
      </c>
      <c r="AE136" s="229" t="s">
        <v>412</v>
      </c>
      <c r="AF136" s="36"/>
      <c r="AG136" s="36">
        <v>0</v>
      </c>
      <c r="AH136" s="36"/>
      <c r="AI136" s="36"/>
      <c r="AJ136" s="36"/>
      <c r="AK136" s="36"/>
      <c r="AL136" s="36"/>
      <c r="AM136" s="36">
        <f t="shared" si="338"/>
        <v>0</v>
      </c>
      <c r="AN136" s="82"/>
      <c r="AO136" s="36"/>
      <c r="AP136" s="36"/>
      <c r="AQ136" s="36"/>
      <c r="AR136" s="36">
        <f t="shared" ref="AR136:AR137" si="344">SUM(AN136:AQ136)</f>
        <v>0</v>
      </c>
      <c r="AS136" s="36"/>
      <c r="AT136" s="36"/>
      <c r="AU136" s="36"/>
      <c r="AV136" s="36"/>
      <c r="AW136" s="36"/>
      <c r="AX136" s="36"/>
      <c r="AY136" s="36"/>
      <c r="AZ136" s="36"/>
      <c r="BA136" s="36">
        <f>+AR136+AS136+AU136+AW136+AY136+AZ136</f>
        <v>0</v>
      </c>
      <c r="BB136" s="49"/>
      <c r="BC136" s="50">
        <v>0</v>
      </c>
      <c r="BD136" s="50"/>
      <c r="BE136" s="49"/>
      <c r="BF136" s="50"/>
    </row>
    <row r="137" spans="1:58" ht="12.95" customHeight="1">
      <c r="A137" s="39"/>
      <c r="B137" s="40"/>
      <c r="C137" s="414"/>
      <c r="D137" s="40"/>
      <c r="E137" s="41"/>
      <c r="F137" s="41"/>
      <c r="G137" s="499"/>
      <c r="H137" s="43"/>
      <c r="I137" s="44"/>
      <c r="J137" s="81"/>
      <c r="K137" s="81"/>
      <c r="L137" s="34"/>
      <c r="M137" s="34"/>
      <c r="N137" s="45"/>
      <c r="O137" s="46"/>
      <c r="P137" s="47"/>
      <c r="Q137" s="46"/>
      <c r="R137" s="500"/>
      <c r="S137" s="500"/>
      <c r="T137" s="36"/>
      <c r="U137" s="36"/>
      <c r="V137" s="36"/>
      <c r="W137" s="36"/>
      <c r="X137" s="37"/>
      <c r="Y137" s="210"/>
      <c r="Z137" s="36">
        <v>0</v>
      </c>
      <c r="AA137" s="36"/>
      <c r="AB137" s="36"/>
      <c r="AC137" s="36">
        <f>K137-T137</f>
        <v>0</v>
      </c>
      <c r="AD137" s="36">
        <f>+AM137+BA137</f>
        <v>52</v>
      </c>
      <c r="AE137" s="229" t="s">
        <v>720</v>
      </c>
      <c r="AF137" s="32"/>
      <c r="AG137" s="32"/>
      <c r="AH137" s="32">
        <v>52</v>
      </c>
      <c r="AI137" s="32"/>
      <c r="AJ137" s="36"/>
      <c r="AK137" s="36"/>
      <c r="AL137" s="36"/>
      <c r="AM137" s="36">
        <f t="shared" si="338"/>
        <v>52</v>
      </c>
      <c r="AN137" s="36"/>
      <c r="AO137" s="36"/>
      <c r="AP137" s="36"/>
      <c r="AQ137" s="36"/>
      <c r="AR137" s="36">
        <f t="shared" si="344"/>
        <v>0</v>
      </c>
      <c r="AS137" s="36"/>
      <c r="AT137" s="36"/>
      <c r="AU137" s="36"/>
      <c r="AV137" s="36"/>
      <c r="AW137" s="36"/>
      <c r="AX137" s="36"/>
      <c r="AY137" s="36"/>
      <c r="AZ137" s="36"/>
      <c r="BA137" s="36">
        <f>+AR137+AS137+AU137+AW137+AY137+AZ137</f>
        <v>0</v>
      </c>
      <c r="BB137" s="32"/>
      <c r="BC137" s="503"/>
      <c r="BD137" s="503"/>
      <c r="BE137" s="32"/>
      <c r="BF137" s="503"/>
    </row>
    <row r="138" spans="1:58" ht="12.95" customHeight="1">
      <c r="A138" s="39"/>
      <c r="B138" s="40"/>
      <c r="C138" s="414"/>
      <c r="D138" s="40"/>
      <c r="E138" s="41"/>
      <c r="F138" s="41"/>
      <c r="G138" s="42"/>
      <c r="H138" s="43"/>
      <c r="I138" s="44"/>
      <c r="J138" s="81"/>
      <c r="K138" s="81"/>
      <c r="L138" s="34"/>
      <c r="M138" s="34"/>
      <c r="N138" s="45"/>
      <c r="O138" s="46"/>
      <c r="P138" s="47"/>
      <c r="Q138" s="46"/>
      <c r="R138" s="500"/>
      <c r="S138" s="500"/>
      <c r="T138" s="36"/>
      <c r="U138" s="36"/>
      <c r="V138" s="36"/>
      <c r="W138" s="36"/>
      <c r="X138" s="37"/>
      <c r="Y138" s="210"/>
      <c r="Z138" s="36"/>
      <c r="AA138" s="36"/>
      <c r="AB138" s="36"/>
      <c r="AC138" s="36"/>
      <c r="AD138" s="36">
        <f>+AM138+BA138</f>
        <v>0</v>
      </c>
      <c r="AE138" s="232" t="s">
        <v>378</v>
      </c>
      <c r="AF138" s="32"/>
      <c r="AG138" s="32"/>
      <c r="AH138" s="32"/>
      <c r="AI138" s="32"/>
      <c r="AJ138" s="36"/>
      <c r="AK138" s="36"/>
      <c r="AL138" s="36"/>
      <c r="AM138" s="36">
        <f t="shared" ref="AM138" si="345">SUM(AF138:AL138)+AT138+AV138+AX138</f>
        <v>0</v>
      </c>
      <c r="AN138" s="36"/>
      <c r="AO138" s="36"/>
      <c r="AP138" s="36"/>
      <c r="AQ138" s="36"/>
      <c r="AR138" s="36">
        <f t="shared" ref="AR138" si="346">SUM(AN138:AQ138)</f>
        <v>0</v>
      </c>
      <c r="AS138" s="36"/>
      <c r="AT138" s="36"/>
      <c r="AU138" s="36"/>
      <c r="AV138" s="36"/>
      <c r="AW138" s="36"/>
      <c r="AX138" s="36"/>
      <c r="AY138" s="36"/>
      <c r="AZ138" s="36"/>
      <c r="BA138" s="36">
        <f>+AR138+AS138+AU138+AW138+AY138+AZ138</f>
        <v>0</v>
      </c>
      <c r="BB138" s="32"/>
      <c r="BC138" s="503"/>
      <c r="BD138" s="503"/>
      <c r="BE138" s="32"/>
      <c r="BF138" s="503"/>
    </row>
    <row r="139" spans="1:58" ht="16.5" customHeight="1">
      <c r="A139" s="39"/>
      <c r="B139" s="40"/>
      <c r="C139" s="414"/>
      <c r="D139" s="40"/>
      <c r="E139" s="41"/>
      <c r="F139" s="41"/>
      <c r="G139" s="499"/>
      <c r="H139" s="43"/>
      <c r="I139" s="44"/>
      <c r="J139" s="81"/>
      <c r="K139" s="81"/>
      <c r="L139" s="34"/>
      <c r="M139" s="34"/>
      <c r="N139" s="45"/>
      <c r="O139" s="46"/>
      <c r="P139" s="47"/>
      <c r="Q139" s="46"/>
      <c r="R139" s="500"/>
      <c r="S139" s="500"/>
      <c r="T139" s="36"/>
      <c r="U139" s="36"/>
      <c r="V139" s="36"/>
      <c r="W139" s="36"/>
      <c r="X139" s="501"/>
      <c r="Y139" s="210"/>
      <c r="Z139" s="36"/>
      <c r="AA139" s="48"/>
      <c r="AB139" s="48"/>
      <c r="AC139" s="36"/>
      <c r="AD139" s="36"/>
      <c r="AE139" s="229"/>
      <c r="AF139" s="36"/>
      <c r="AG139" s="36"/>
      <c r="AH139" s="36"/>
      <c r="AI139" s="502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2"/>
      <c r="BC139" s="50"/>
      <c r="BD139" s="503"/>
      <c r="BE139" s="32"/>
      <c r="BF139" s="503"/>
    </row>
    <row r="140" spans="1:58" ht="12.75" customHeight="1">
      <c r="A140" s="39">
        <v>46139</v>
      </c>
      <c r="B140" s="40" t="s">
        <v>513</v>
      </c>
      <c r="C140" s="414">
        <f t="shared" ref="C140" si="347">(M140*E140*O140*Q140)/100000000</f>
        <v>13.778952</v>
      </c>
      <c r="D140" s="40" t="s">
        <v>302</v>
      </c>
      <c r="E140" s="41">
        <v>15</v>
      </c>
      <c r="F140" s="41">
        <v>1</v>
      </c>
      <c r="G140" s="499">
        <v>1225</v>
      </c>
      <c r="H140" s="43">
        <v>0.24</v>
      </c>
      <c r="I140" s="44">
        <v>0.88</v>
      </c>
      <c r="J140" s="81">
        <f t="shared" ref="J140" si="348">E140*G140*(1-H140)*1440/1000000*2.74</f>
        <v>55.100304000000008</v>
      </c>
      <c r="K140" s="81">
        <f t="shared" ref="K140" si="349">(IF(G140&lt;L140,L140,G140)*(1-IF(H140&lt;N140,H140,N140))*E140*O140*Q140)/100000000</f>
        <v>15.344742</v>
      </c>
      <c r="L140" s="34">
        <v>1100</v>
      </c>
      <c r="M140" s="34">
        <v>836</v>
      </c>
      <c r="N140" s="45">
        <f t="shared" ref="N140" si="350">1-(M140/L140)</f>
        <v>0.24</v>
      </c>
      <c r="O140" s="46">
        <f>+'Trim Rwd'!H78</f>
        <v>268</v>
      </c>
      <c r="P140" s="47">
        <f t="shared" ref="P140" si="351">O140*(Q140-R140-S140)</f>
        <v>103180</v>
      </c>
      <c r="Q140" s="46">
        <v>410</v>
      </c>
      <c r="R140" s="500">
        <v>0</v>
      </c>
      <c r="S140" s="500">
        <v>25</v>
      </c>
      <c r="T140" s="36">
        <f t="shared" ref="T140" si="352">E140*M140*O140*Q140/100000000</f>
        <v>13.778952</v>
      </c>
      <c r="U140" s="36">
        <f t="shared" ref="U140" si="353">E140*M140*O140*(Q140-R140-S140)/100000000</f>
        <v>12.938772</v>
      </c>
      <c r="V140" s="36">
        <f t="shared" ref="V140" si="354">E140*G140*(1-N140)*O140/100*(R140+S140)/1000000</f>
        <v>0.9356549999999999</v>
      </c>
      <c r="W140" s="36">
        <f>+'27'!K19/1000</f>
        <v>14.476000000000001</v>
      </c>
      <c r="X140" s="501">
        <f>SUM(W140:W144)/SUM(K140:K144)</f>
        <v>0.80918162988148223</v>
      </c>
      <c r="Y140" s="210">
        <v>0</v>
      </c>
      <c r="Z140" s="36">
        <f>+'27'!D7/1000</f>
        <v>0.34699999999999998</v>
      </c>
      <c r="AA140" s="48">
        <f>SUM(U140:U144)-SUM(W140:W144)-SUM(Z140:Z144)-SUM(Y140:Y144)</f>
        <v>4.6639089513684144</v>
      </c>
      <c r="AB140" s="48">
        <f>(SUM(K140:K144)-SUM(W140:W144)-SUM(Y140:Y144)-SUM(Z140:Z144)-SUM(AC140:AC144)-SUM(V140:V144))-AA140</f>
        <v>-0.11686792146703073</v>
      </c>
      <c r="AC140" s="36">
        <f>K140-T140</f>
        <v>1.5657899999999998</v>
      </c>
      <c r="AD140" s="36">
        <f>+AM140+BA140</f>
        <v>15</v>
      </c>
      <c r="AE140" s="229" t="s">
        <v>415</v>
      </c>
      <c r="AF140" s="36">
        <v>15</v>
      </c>
      <c r="AG140" s="36"/>
      <c r="AH140" s="36"/>
      <c r="AI140" s="36"/>
      <c r="AJ140" s="36"/>
      <c r="AK140" s="36"/>
      <c r="AL140" s="36"/>
      <c r="AM140" s="36">
        <f t="shared" ref="AM140:AM142" si="355">SUM(AF140:AL140)+AT140+AV140+AX140</f>
        <v>15</v>
      </c>
      <c r="AN140" s="36"/>
      <c r="AO140" s="36"/>
      <c r="AP140" s="36"/>
      <c r="AQ140" s="36"/>
      <c r="AR140" s="36">
        <f>SUM(AN140:AQ140)</f>
        <v>0</v>
      </c>
      <c r="AS140" s="36"/>
      <c r="AT140" s="36"/>
      <c r="AU140" s="36"/>
      <c r="AV140" s="36"/>
      <c r="AW140" s="36"/>
      <c r="AX140" s="36"/>
      <c r="AY140" s="36"/>
      <c r="AZ140" s="36"/>
      <c r="BA140" s="36">
        <f>+AR140+AS140+AU140+AW140+AY140+AZ140</f>
        <v>0</v>
      </c>
      <c r="BB140" s="32">
        <v>6</v>
      </c>
      <c r="BC140" s="50"/>
      <c r="BD140" s="50"/>
      <c r="BE140" s="32"/>
      <c r="BF140" s="50"/>
    </row>
    <row r="141" spans="1:58" ht="12.95" customHeight="1">
      <c r="A141" s="39"/>
      <c r="B141" s="40" t="s">
        <v>513</v>
      </c>
      <c r="C141" s="414">
        <f t="shared" ref="C141:C142" si="356">(M141*E141*O141*Q141)/100000000</f>
        <v>31.4109333</v>
      </c>
      <c r="D141" s="40" t="s">
        <v>302</v>
      </c>
      <c r="E141" s="41">
        <v>13.5</v>
      </c>
      <c r="F141" s="41">
        <v>1</v>
      </c>
      <c r="G141" s="499">
        <v>1230</v>
      </c>
      <c r="H141" s="43">
        <v>0.24</v>
      </c>
      <c r="I141" s="44">
        <v>0.88</v>
      </c>
      <c r="J141" s="81">
        <f t="shared" ref="J141:J142" si="357">E141*G141*(1-H141)*1440/1000000*2.74</f>
        <v>49.792682880000008</v>
      </c>
      <c r="K141" s="81">
        <f t="shared" ref="K141:K142" si="358">(IF(G141&lt;L141,L141,G141)*(1-IF(H141&lt;N141,H141,N141))*E141*O141*Q141)/100000000</f>
        <v>32.130010800000001</v>
      </c>
      <c r="L141" s="34">
        <v>1210.421052631579</v>
      </c>
      <c r="M141" s="34">
        <v>913.87894736842111</v>
      </c>
      <c r="N141" s="45">
        <f t="shared" ref="N141:N142" si="359">1-(M141/L141)</f>
        <v>0.24499086877119747</v>
      </c>
      <c r="O141" s="46">
        <f>+'Trim Rwd'!H80</f>
        <v>268</v>
      </c>
      <c r="P141" s="47">
        <f t="shared" ref="P141:P142" si="360">O141*(Q141-R141-S141)</f>
        <v>243880</v>
      </c>
      <c r="Q141" s="46">
        <v>950</v>
      </c>
      <c r="R141" s="500">
        <v>0</v>
      </c>
      <c r="S141" s="500">
        <v>40</v>
      </c>
      <c r="T141" s="36">
        <f t="shared" ref="T141:T142" si="361">E141*M141*O141*Q141/100000000</f>
        <v>31.4109333</v>
      </c>
      <c r="U141" s="36">
        <f t="shared" ref="U141:U142" si="362">E141*M141*O141*(Q141-R141-S141)/100000000</f>
        <v>30.088367687368422</v>
      </c>
      <c r="V141" s="36">
        <f t="shared" ref="V141:V142" si="363">E141*G141*(1-N141)*O141/100*(R141+S141)/1000000</f>
        <v>1.3439585340986173</v>
      </c>
      <c r="W141" s="36">
        <f>+'27'!K17/1000</f>
        <v>26.047999999999998</v>
      </c>
      <c r="X141" s="37"/>
      <c r="Y141" s="210"/>
      <c r="Z141" s="36">
        <f>+'24'!D23/1000</f>
        <v>0</v>
      </c>
      <c r="AA141" s="36"/>
      <c r="AB141" s="36"/>
      <c r="AC141" s="36">
        <f>K141-T141</f>
        <v>0.71907750000000092</v>
      </c>
      <c r="AD141" s="36">
        <f>+AM141+BA141</f>
        <v>0</v>
      </c>
      <c r="AE141" s="229" t="s">
        <v>412</v>
      </c>
      <c r="AF141" s="36"/>
      <c r="AG141" s="36">
        <v>0</v>
      </c>
      <c r="AH141" s="36"/>
      <c r="AI141" s="36"/>
      <c r="AJ141" s="36"/>
      <c r="AK141" s="36"/>
      <c r="AL141" s="36"/>
      <c r="AM141" s="36">
        <f t="shared" si="355"/>
        <v>0</v>
      </c>
      <c r="AN141" s="82"/>
      <c r="AO141" s="36"/>
      <c r="AP141" s="36"/>
      <c r="AQ141" s="36"/>
      <c r="AR141" s="36">
        <f t="shared" ref="AR141:AR142" si="364">SUM(AN141:AQ141)</f>
        <v>0</v>
      </c>
      <c r="AS141" s="36"/>
      <c r="AT141" s="36"/>
      <c r="AU141" s="36"/>
      <c r="AV141" s="36"/>
      <c r="AW141" s="36"/>
      <c r="AX141" s="36"/>
      <c r="AY141" s="36"/>
      <c r="AZ141" s="36"/>
      <c r="BA141" s="36">
        <f>+AR141+AS141+AU141+AW141+AY141+AZ141</f>
        <v>0</v>
      </c>
      <c r="BB141" s="49"/>
      <c r="BC141" s="50">
        <v>0</v>
      </c>
      <c r="BD141" s="50"/>
      <c r="BE141" s="49"/>
      <c r="BF141" s="50"/>
    </row>
    <row r="142" spans="1:58" ht="12.95" customHeight="1">
      <c r="A142" s="39"/>
      <c r="B142" s="40" t="s">
        <v>513</v>
      </c>
      <c r="C142" s="414">
        <f t="shared" si="356"/>
        <v>2.6054745599999998</v>
      </c>
      <c r="D142" s="40" t="s">
        <v>302</v>
      </c>
      <c r="E142" s="41">
        <v>13</v>
      </c>
      <c r="F142" s="41">
        <v>1</v>
      </c>
      <c r="G142" s="499">
        <v>1230</v>
      </c>
      <c r="H142" s="43">
        <v>0.24</v>
      </c>
      <c r="I142" s="44">
        <v>0.88</v>
      </c>
      <c r="J142" s="81">
        <f t="shared" si="357"/>
        <v>47.948509440000002</v>
      </c>
      <c r="K142" s="81">
        <f t="shared" si="358"/>
        <v>2.6054745599999998</v>
      </c>
      <c r="L142" s="34">
        <v>1230</v>
      </c>
      <c r="M142" s="34">
        <v>934.8</v>
      </c>
      <c r="N142" s="45">
        <f t="shared" si="359"/>
        <v>0.24</v>
      </c>
      <c r="O142" s="46">
        <f>+'Trim Rwd'!H81</f>
        <v>268</v>
      </c>
      <c r="P142" s="47">
        <f t="shared" si="360"/>
        <v>20636</v>
      </c>
      <c r="Q142" s="46">
        <v>80</v>
      </c>
      <c r="R142" s="500">
        <v>0</v>
      </c>
      <c r="S142" s="500">
        <f>68-S140-S141</f>
        <v>3</v>
      </c>
      <c r="T142" s="36">
        <f t="shared" si="361"/>
        <v>2.6054745599999998</v>
      </c>
      <c r="U142" s="36">
        <f t="shared" si="362"/>
        <v>2.5077692639999998</v>
      </c>
      <c r="V142" s="36">
        <f t="shared" si="363"/>
        <v>9.7705295999999983E-2</v>
      </c>
      <c r="W142" s="36">
        <f>+'26'!K17/1000</f>
        <v>0</v>
      </c>
      <c r="X142" s="37"/>
      <c r="Y142" s="210"/>
      <c r="Z142" s="36">
        <v>0</v>
      </c>
      <c r="AA142" s="36"/>
      <c r="AB142" s="36"/>
      <c r="AC142" s="36">
        <f>K142-T142</f>
        <v>0</v>
      </c>
      <c r="AD142" s="36">
        <f>+AM142+BA142</f>
        <v>53</v>
      </c>
      <c r="AE142" s="229" t="s">
        <v>720</v>
      </c>
      <c r="AF142" s="32"/>
      <c r="AG142" s="32"/>
      <c r="AH142" s="32">
        <v>53</v>
      </c>
      <c r="AI142" s="32"/>
      <c r="AJ142" s="36"/>
      <c r="AK142" s="36"/>
      <c r="AL142" s="36"/>
      <c r="AM142" s="36">
        <f t="shared" si="355"/>
        <v>53</v>
      </c>
      <c r="AN142" s="36"/>
      <c r="AO142" s="36"/>
      <c r="AP142" s="36"/>
      <c r="AQ142" s="36"/>
      <c r="AR142" s="36">
        <f t="shared" si="364"/>
        <v>0</v>
      </c>
      <c r="AS142" s="36"/>
      <c r="AT142" s="36"/>
      <c r="AU142" s="36"/>
      <c r="AV142" s="36"/>
      <c r="AW142" s="36"/>
      <c r="AX142" s="36"/>
      <c r="AY142" s="36"/>
      <c r="AZ142" s="36"/>
      <c r="BA142" s="36">
        <f>+AR142+AS142+AU142+AW142+AY142+AZ142</f>
        <v>0</v>
      </c>
      <c r="BB142" s="32"/>
      <c r="BC142" s="503"/>
      <c r="BD142" s="503"/>
      <c r="BE142" s="32"/>
      <c r="BF142" s="503"/>
    </row>
    <row r="143" spans="1:58" ht="12.95" customHeight="1">
      <c r="A143" s="39"/>
      <c r="B143" s="40"/>
      <c r="C143" s="414"/>
      <c r="D143" s="40"/>
      <c r="E143" s="41"/>
      <c r="F143" s="41"/>
      <c r="G143" s="42"/>
      <c r="H143" s="43"/>
      <c r="I143" s="44"/>
      <c r="J143" s="81"/>
      <c r="K143" s="81"/>
      <c r="L143" s="34"/>
      <c r="M143" s="34"/>
      <c r="N143" s="45"/>
      <c r="O143" s="46"/>
      <c r="P143" s="47"/>
      <c r="Q143" s="46"/>
      <c r="R143" s="500"/>
      <c r="S143" s="500"/>
      <c r="T143" s="36"/>
      <c r="U143" s="36"/>
      <c r="V143" s="36"/>
      <c r="W143" s="36"/>
      <c r="X143" s="37"/>
      <c r="Y143" s="210"/>
      <c r="Z143" s="36"/>
      <c r="AA143" s="36"/>
      <c r="AB143" s="36"/>
      <c r="AC143" s="36"/>
      <c r="AD143" s="36">
        <f>+AM143+BA143</f>
        <v>0</v>
      </c>
      <c r="AE143" s="232" t="s">
        <v>378</v>
      </c>
      <c r="AF143" s="32"/>
      <c r="AG143" s="32"/>
      <c r="AH143" s="32"/>
      <c r="AI143" s="32"/>
      <c r="AJ143" s="36"/>
      <c r="AK143" s="36"/>
      <c r="AL143" s="36"/>
      <c r="AM143" s="36">
        <f t="shared" ref="AM143" si="365">SUM(AF143:AL143)+AT143+AV143+AX143</f>
        <v>0</v>
      </c>
      <c r="AN143" s="36"/>
      <c r="AO143" s="36"/>
      <c r="AP143" s="36"/>
      <c r="AQ143" s="36"/>
      <c r="AR143" s="36">
        <f t="shared" ref="AR143" si="366">SUM(AN143:AQ143)</f>
        <v>0</v>
      </c>
      <c r="AS143" s="36"/>
      <c r="AT143" s="36"/>
      <c r="AU143" s="36"/>
      <c r="AV143" s="36"/>
      <c r="AW143" s="36"/>
      <c r="AX143" s="36"/>
      <c r="AY143" s="36"/>
      <c r="AZ143" s="36"/>
      <c r="BA143" s="36">
        <f>+AR143+AS143+AU143+AW143+AY143+AZ143</f>
        <v>0</v>
      </c>
      <c r="BB143" s="32"/>
      <c r="BC143" s="503"/>
      <c r="BD143" s="503"/>
      <c r="BE143" s="32"/>
      <c r="BF143" s="503"/>
    </row>
    <row r="144" spans="1:58" ht="16.5" customHeight="1">
      <c r="A144" s="39"/>
      <c r="B144" s="40"/>
      <c r="C144" s="414"/>
      <c r="D144" s="40"/>
      <c r="E144" s="41"/>
      <c r="F144" s="41"/>
      <c r="G144" s="499"/>
      <c r="H144" s="43"/>
      <c r="I144" s="44"/>
      <c r="J144" s="81"/>
      <c r="K144" s="81"/>
      <c r="L144" s="34"/>
      <c r="M144" s="34"/>
      <c r="N144" s="45"/>
      <c r="O144" s="46"/>
      <c r="P144" s="47"/>
      <c r="Q144" s="46"/>
      <c r="R144" s="500"/>
      <c r="S144" s="500"/>
      <c r="T144" s="36"/>
      <c r="U144" s="36"/>
      <c r="V144" s="36"/>
      <c r="W144" s="36"/>
      <c r="X144" s="501"/>
      <c r="Y144" s="210"/>
      <c r="Z144" s="36"/>
      <c r="AA144" s="48"/>
      <c r="AB144" s="48"/>
      <c r="AC144" s="36"/>
      <c r="AD144" s="36"/>
      <c r="AE144" s="229"/>
      <c r="AF144" s="36"/>
      <c r="AG144" s="36"/>
      <c r="AH144" s="36"/>
      <c r="AI144" s="502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2"/>
      <c r="BC144" s="50"/>
      <c r="BD144" s="503"/>
      <c r="BE144" s="32"/>
      <c r="BF144" s="503"/>
    </row>
    <row r="145" spans="1:58" ht="12.75" customHeight="1">
      <c r="A145" s="39">
        <v>46140</v>
      </c>
      <c r="B145" s="40" t="s">
        <v>513</v>
      </c>
      <c r="C145" s="414">
        <f t="shared" ref="C145" si="367">(M145*E145*O145*Q145)/100000000</f>
        <v>11.248965</v>
      </c>
      <c r="D145" s="40" t="s">
        <v>302</v>
      </c>
      <c r="E145" s="41">
        <v>13</v>
      </c>
      <c r="F145" s="41">
        <v>1</v>
      </c>
      <c r="G145" s="499">
        <v>1230</v>
      </c>
      <c r="H145" s="43">
        <v>0.24</v>
      </c>
      <c r="I145" s="44">
        <v>0.88</v>
      </c>
      <c r="J145" s="81">
        <f t="shared" ref="J145" si="368">E145*G145*(1-H145)*1440/1000000*2.74</f>
        <v>47.948509440000002</v>
      </c>
      <c r="K145" s="81">
        <f t="shared" ref="K145" si="369">(IF(G145&lt;L145,L145,G145)*(1-IF(H145&lt;N145,H145,N145))*E145*O145*Q145)/100000000</f>
        <v>11.398951200000001</v>
      </c>
      <c r="L145" s="34">
        <v>1230</v>
      </c>
      <c r="M145" s="34">
        <v>922.5</v>
      </c>
      <c r="N145" s="45">
        <f t="shared" ref="N145" si="370">1-(M145/L145)</f>
        <v>0.25</v>
      </c>
      <c r="O145" s="46">
        <f>+'Trim Rwd'!H83</f>
        <v>268</v>
      </c>
      <c r="P145" s="47">
        <f t="shared" ref="P145" si="371">O145*(Q145-R145-S145)</f>
        <v>89512</v>
      </c>
      <c r="Q145" s="46">
        <v>350</v>
      </c>
      <c r="R145" s="500">
        <v>0</v>
      </c>
      <c r="S145" s="500">
        <v>16</v>
      </c>
      <c r="T145" s="36">
        <f t="shared" ref="T145" si="372">E145*M145*O145*Q145/100000000</f>
        <v>11.248965</v>
      </c>
      <c r="U145" s="36">
        <f t="shared" ref="U145" si="373">E145*M145*O145*(Q145-R145-S145)/100000000</f>
        <v>10.7347266</v>
      </c>
      <c r="V145" s="36">
        <f t="shared" ref="V145" si="374">E145*G145*(1-N145)*O145/100*(R145+S145)/1000000</f>
        <v>0.51423839999999998</v>
      </c>
      <c r="W145" s="36">
        <f>+'28'!K14/1000</f>
        <v>13.47</v>
      </c>
      <c r="X145" s="501">
        <f>SUM(W145:W149)/SUM(K145:K149)</f>
        <v>0.92749025110347572</v>
      </c>
      <c r="Y145" s="210">
        <v>0</v>
      </c>
      <c r="Z145" s="36">
        <f>+'28'!D7/1000</f>
        <v>0.28899999999999998</v>
      </c>
      <c r="AA145" s="48">
        <f>SUM(U145:U149)-SUM(W145:W149)-SUM(Z145:Z149)-SUM(Y145:Y149)</f>
        <v>9.8938378348621903E-2</v>
      </c>
      <c r="AB145" s="48">
        <f>(SUM(K145:K149)-SUM(W145:W149)-SUM(Y145:Y149)-SUM(Z145:Z149)-SUM(AC145:AC149)-SUM(V145:V149))-AA145</f>
        <v>-2.3922178348627365E-2</v>
      </c>
      <c r="AC145" s="36">
        <f>K145-T145</f>
        <v>0.14998620000000074</v>
      </c>
      <c r="AD145" s="36">
        <f>+AM145+BA145</f>
        <v>12</v>
      </c>
      <c r="AE145" s="229" t="s">
        <v>494</v>
      </c>
      <c r="AF145" s="36">
        <v>12</v>
      </c>
      <c r="AG145" s="36"/>
      <c r="AH145" s="36"/>
      <c r="AI145" s="36"/>
      <c r="AJ145" s="36"/>
      <c r="AK145" s="36"/>
      <c r="AL145" s="36"/>
      <c r="AM145" s="36">
        <f t="shared" ref="AM145:AM147" si="375">SUM(AF145:AL145)+AT145+AV145+AX145</f>
        <v>12</v>
      </c>
      <c r="AN145" s="36"/>
      <c r="AO145" s="36"/>
      <c r="AP145" s="36"/>
      <c r="AQ145" s="36"/>
      <c r="AR145" s="36">
        <f>SUM(AN145:AQ145)</f>
        <v>0</v>
      </c>
      <c r="AS145" s="36"/>
      <c r="AT145" s="36"/>
      <c r="AU145" s="36"/>
      <c r="AV145" s="36"/>
      <c r="AW145" s="36"/>
      <c r="AX145" s="36"/>
      <c r="AY145" s="36"/>
      <c r="AZ145" s="36"/>
      <c r="BA145" s="36">
        <f>+AR145+AS145+AU145+AW145+AY145+AZ145</f>
        <v>0</v>
      </c>
      <c r="BB145" s="32">
        <v>5</v>
      </c>
      <c r="BC145" s="50"/>
      <c r="BD145" s="50"/>
      <c r="BE145" s="32"/>
      <c r="BF145" s="50"/>
    </row>
    <row r="146" spans="1:58" ht="12.95" customHeight="1">
      <c r="A146" s="39"/>
      <c r="B146" s="40" t="s">
        <v>513</v>
      </c>
      <c r="C146" s="414">
        <f t="shared" ref="C146" si="376">(M146*E146*O146*Q146)/100000000</f>
        <v>32.148364799999996</v>
      </c>
      <c r="D146" s="40" t="s">
        <v>302</v>
      </c>
      <c r="E146" s="41">
        <v>12.5</v>
      </c>
      <c r="F146" s="41">
        <v>1</v>
      </c>
      <c r="G146" s="499">
        <v>1230</v>
      </c>
      <c r="H146" s="43">
        <v>0.24</v>
      </c>
      <c r="I146" s="44">
        <v>0.88</v>
      </c>
      <c r="J146" s="81">
        <f t="shared" ref="J146" si="377">E146*G146*(1-H146)*1440/1000000*2.74</f>
        <v>46.104336000000004</v>
      </c>
      <c r="K146" s="81">
        <f t="shared" ref="K146" si="378">(IF(G146&lt;L146,L146,G146)*(1-IF(H146&lt;N146,H146,N146))*E146*O146*Q146)/100000000</f>
        <v>32.605823999999998</v>
      </c>
      <c r="L146" s="34">
        <v>1212.7431192660551</v>
      </c>
      <c r="M146" s="34">
        <v>921.68477064220178</v>
      </c>
      <c r="N146" s="45">
        <f t="shared" ref="N146" si="379">1-(M146/L146)</f>
        <v>0.2400000000000001</v>
      </c>
      <c r="O146" s="46">
        <f>+'Trim Rwd'!H85</f>
        <v>256</v>
      </c>
      <c r="P146" s="47">
        <f t="shared" ref="P146" si="380">O146*(Q146-R146-S146)</f>
        <v>264448</v>
      </c>
      <c r="Q146" s="46">
        <v>1090</v>
      </c>
      <c r="R146" s="500">
        <v>0</v>
      </c>
      <c r="S146" s="500">
        <f>50+7</f>
        <v>57</v>
      </c>
      <c r="T146" s="36">
        <f t="shared" ref="T146" si="381">E146*M146*O146*Q146/100000000</f>
        <v>32.148364799999996</v>
      </c>
      <c r="U146" s="36">
        <f t="shared" ref="U146" si="382">E146*M146*O146*(Q146-R146-S146)/100000000</f>
        <v>30.467211778348624</v>
      </c>
      <c r="V146" s="36">
        <f t="shared" ref="V146" si="383">E146*G146*(1-N146)*O146/100*(R146+S146)/1000000</f>
        <v>1.7050751999999998</v>
      </c>
      <c r="W146" s="36">
        <f>+'28'!K16/1000</f>
        <v>27.344000000000001</v>
      </c>
      <c r="X146" s="37"/>
      <c r="Y146" s="210"/>
      <c r="Z146" s="36">
        <f>+'24'!D28/1000</f>
        <v>0</v>
      </c>
      <c r="AA146" s="36"/>
      <c r="AB146" s="36"/>
      <c r="AC146" s="36">
        <f>K146-T146</f>
        <v>0.4574592000000024</v>
      </c>
      <c r="AD146" s="36">
        <f>+AM146+BA146</f>
        <v>2</v>
      </c>
      <c r="AE146" s="229" t="s">
        <v>414</v>
      </c>
      <c r="AF146" s="36"/>
      <c r="AG146" s="36">
        <v>2</v>
      </c>
      <c r="AH146" s="36"/>
      <c r="AI146" s="36"/>
      <c r="AJ146" s="36"/>
      <c r="AK146" s="36"/>
      <c r="AL146" s="36"/>
      <c r="AM146" s="36">
        <f t="shared" si="375"/>
        <v>2</v>
      </c>
      <c r="AN146" s="82"/>
      <c r="AO146" s="36"/>
      <c r="AP146" s="36"/>
      <c r="AQ146" s="36"/>
      <c r="AR146" s="36">
        <f t="shared" ref="AR146:AR147" si="384">SUM(AN146:AQ146)</f>
        <v>0</v>
      </c>
      <c r="AS146" s="36"/>
      <c r="AT146" s="36"/>
      <c r="AU146" s="36"/>
      <c r="AV146" s="36"/>
      <c r="AW146" s="36"/>
      <c r="AX146" s="36"/>
      <c r="AY146" s="36"/>
      <c r="AZ146" s="36"/>
      <c r="BA146" s="36">
        <f>+AR146+AS146+AU146+AW146+AY146+AZ146</f>
        <v>0</v>
      </c>
      <c r="BB146" s="49"/>
      <c r="BC146" s="50">
        <v>1</v>
      </c>
      <c r="BD146" s="50"/>
      <c r="BE146" s="49"/>
      <c r="BF146" s="50"/>
    </row>
    <row r="147" spans="1:58" ht="12.95" customHeight="1">
      <c r="A147" s="39"/>
      <c r="B147" s="40"/>
      <c r="C147" s="414"/>
      <c r="D147" s="40"/>
      <c r="E147" s="41"/>
      <c r="F147" s="41"/>
      <c r="G147" s="499"/>
      <c r="H147" s="43"/>
      <c r="I147" s="44"/>
      <c r="J147" s="81"/>
      <c r="K147" s="81"/>
      <c r="L147" s="34"/>
      <c r="M147" s="34"/>
      <c r="N147" s="45"/>
      <c r="O147" s="46"/>
      <c r="P147" s="47"/>
      <c r="Q147" s="46"/>
      <c r="R147" s="500"/>
      <c r="S147" s="500"/>
      <c r="T147" s="36"/>
      <c r="U147" s="36"/>
      <c r="V147" s="36"/>
      <c r="W147" s="36"/>
      <c r="X147" s="37"/>
      <c r="Y147" s="210"/>
      <c r="Z147" s="36">
        <v>0</v>
      </c>
      <c r="AA147" s="36"/>
      <c r="AB147" s="36"/>
      <c r="AC147" s="36">
        <f>K147-T147</f>
        <v>0</v>
      </c>
      <c r="AD147" s="36">
        <f>+AM147+BA147</f>
        <v>52</v>
      </c>
      <c r="AE147" s="229" t="s">
        <v>429</v>
      </c>
      <c r="AF147" s="32"/>
      <c r="AG147" s="32"/>
      <c r="AH147" s="32">
        <v>52</v>
      </c>
      <c r="AI147" s="32"/>
      <c r="AJ147" s="36"/>
      <c r="AK147" s="36"/>
      <c r="AL147" s="36"/>
      <c r="AM147" s="36">
        <f t="shared" si="375"/>
        <v>52</v>
      </c>
      <c r="AN147" s="36"/>
      <c r="AO147" s="36"/>
      <c r="AP147" s="36"/>
      <c r="AQ147" s="36"/>
      <c r="AR147" s="36">
        <f t="shared" si="384"/>
        <v>0</v>
      </c>
      <c r="AS147" s="36"/>
      <c r="AT147" s="36"/>
      <c r="AU147" s="36"/>
      <c r="AV147" s="36"/>
      <c r="AW147" s="36"/>
      <c r="AX147" s="36"/>
      <c r="AY147" s="36"/>
      <c r="AZ147" s="36"/>
      <c r="BA147" s="36">
        <f>+AR147+AS147+AU147+AW147+AY147+AZ147</f>
        <v>0</v>
      </c>
      <c r="BB147" s="32"/>
      <c r="BC147" s="503"/>
      <c r="BD147" s="503"/>
      <c r="BE147" s="32"/>
      <c r="BF147" s="503"/>
    </row>
    <row r="148" spans="1:58" ht="12.95" customHeight="1">
      <c r="A148" s="39"/>
      <c r="B148" s="40"/>
      <c r="C148" s="414"/>
      <c r="D148" s="40"/>
      <c r="E148" s="41"/>
      <c r="F148" s="41"/>
      <c r="G148" s="42"/>
      <c r="H148" s="43"/>
      <c r="I148" s="44"/>
      <c r="J148" s="81"/>
      <c r="K148" s="81"/>
      <c r="L148" s="34"/>
      <c r="M148" s="34"/>
      <c r="N148" s="45"/>
      <c r="O148" s="46"/>
      <c r="P148" s="47"/>
      <c r="Q148" s="46"/>
      <c r="R148" s="500"/>
      <c r="S148" s="500"/>
      <c r="T148" s="36"/>
      <c r="U148" s="36"/>
      <c r="V148" s="36"/>
      <c r="W148" s="36"/>
      <c r="X148" s="37"/>
      <c r="Y148" s="210"/>
      <c r="Z148" s="36"/>
      <c r="AA148" s="36"/>
      <c r="AB148" s="36"/>
      <c r="AC148" s="36"/>
      <c r="AD148" s="36">
        <f>+AM148+BA148</f>
        <v>7</v>
      </c>
      <c r="AE148" s="232" t="s">
        <v>744</v>
      </c>
      <c r="AF148" s="32"/>
      <c r="AG148" s="32"/>
      <c r="AH148" s="32"/>
      <c r="AI148" s="32"/>
      <c r="AJ148" s="36"/>
      <c r="AK148" s="36"/>
      <c r="AL148" s="36"/>
      <c r="AM148" s="36">
        <f t="shared" ref="AM148" si="385">SUM(AF148:AL148)+AT148+AV148+AX148</f>
        <v>7</v>
      </c>
      <c r="AN148" s="36"/>
      <c r="AO148" s="36"/>
      <c r="AP148" s="36"/>
      <c r="AQ148" s="36"/>
      <c r="AR148" s="36">
        <f t="shared" ref="AR148" si="386">SUM(AN148:AQ148)</f>
        <v>0</v>
      </c>
      <c r="AS148" s="36"/>
      <c r="AT148" s="36"/>
      <c r="AU148" s="36"/>
      <c r="AV148" s="36">
        <v>7</v>
      </c>
      <c r="AW148" s="36"/>
      <c r="AX148" s="36"/>
      <c r="AY148" s="36"/>
      <c r="AZ148" s="36"/>
      <c r="BA148" s="36">
        <f>+AR148+AS148+AU148+AW148+AY148+AZ148</f>
        <v>0</v>
      </c>
      <c r="BB148" s="32"/>
      <c r="BC148" s="503"/>
      <c r="BD148" s="503">
        <v>3</v>
      </c>
      <c r="BE148" s="32"/>
      <c r="BF148" s="503"/>
    </row>
    <row r="149" spans="1:58" ht="12.95" customHeight="1">
      <c r="A149" s="39"/>
      <c r="B149" s="40"/>
      <c r="C149" s="414"/>
      <c r="D149" s="40"/>
      <c r="E149" s="41"/>
      <c r="F149" s="41"/>
      <c r="G149" s="499"/>
      <c r="H149" s="43"/>
      <c r="I149" s="44"/>
      <c r="J149" s="81"/>
      <c r="K149" s="81"/>
      <c r="L149" s="34"/>
      <c r="M149" s="34"/>
      <c r="N149" s="45"/>
      <c r="O149" s="46"/>
      <c r="P149" s="47"/>
      <c r="Q149" s="46"/>
      <c r="R149" s="500"/>
      <c r="S149" s="500"/>
      <c r="T149" s="36"/>
      <c r="U149" s="36"/>
      <c r="V149" s="36"/>
      <c r="W149" s="36"/>
      <c r="X149" s="37"/>
      <c r="Y149" s="210"/>
      <c r="Z149" s="36"/>
      <c r="AA149" s="48"/>
      <c r="AB149" s="48"/>
      <c r="AC149" s="36"/>
      <c r="AD149" s="36"/>
      <c r="AE149" s="229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2"/>
      <c r="BC149" s="50"/>
      <c r="BD149" s="50"/>
      <c r="BE149" s="50"/>
      <c r="BF149" s="50"/>
    </row>
    <row r="150" spans="1:58" ht="12.75" customHeight="1">
      <c r="A150" s="39">
        <v>46141</v>
      </c>
      <c r="B150" s="40" t="s">
        <v>513</v>
      </c>
      <c r="C150" s="414">
        <f t="shared" ref="C150" si="387">(M150*E150*O150*Q150)/100000000</f>
        <v>41.692514081906474</v>
      </c>
      <c r="D150" s="40" t="s">
        <v>302</v>
      </c>
      <c r="E150" s="41">
        <v>12.5</v>
      </c>
      <c r="F150" s="41">
        <v>1</v>
      </c>
      <c r="G150" s="499">
        <v>1230</v>
      </c>
      <c r="H150" s="43">
        <v>0.24</v>
      </c>
      <c r="I150" s="44">
        <v>0.88</v>
      </c>
      <c r="J150" s="81">
        <f t="shared" ref="J150" si="388">E150*G150*(1-H150)*1440/1000000*2.74</f>
        <v>46.104336000000004</v>
      </c>
      <c r="K150" s="81">
        <f t="shared" ref="K150" si="389">(IF(G150&lt;L150,L150,G150)*(1-IF(H150&lt;N150,H150,N150))*E150*O150*Q150)/100000000</f>
        <v>43.614891692307701</v>
      </c>
      <c r="L150" s="34">
        <v>1193.7956810631229</v>
      </c>
      <c r="M150" s="34">
        <v>893.5975913621262</v>
      </c>
      <c r="N150" s="45">
        <f t="shared" ref="N150" si="390">1-(M150/L150)</f>
        <v>0.25146521675606859</v>
      </c>
      <c r="O150" s="46">
        <f>+'Trim Rwd'!H87</f>
        <v>259.20512820512823</v>
      </c>
      <c r="P150" s="47">
        <f t="shared" ref="P150" si="391">O150*(Q150-R150-S150)</f>
        <v>286680.87179487181</v>
      </c>
      <c r="Q150" s="46">
        <v>1440</v>
      </c>
      <c r="R150" s="500">
        <v>236</v>
      </c>
      <c r="S150" s="500">
        <f>58+34+6</f>
        <v>98</v>
      </c>
      <c r="T150" s="36">
        <f t="shared" ref="T150" si="392">E150*M150*O150*Q150/100000000</f>
        <v>41.692514081906474</v>
      </c>
      <c r="U150" s="36">
        <f t="shared" ref="U150" si="393">E150*M150*O150*(Q150-R150-S150)/100000000</f>
        <v>32.022167065686496</v>
      </c>
      <c r="V150" s="36">
        <f t="shared" ref="V150" si="394">E150*G150*(1-N150)*O150/100*(R150+S150)/1000000</f>
        <v>9.9636202564897989</v>
      </c>
      <c r="W150" s="36">
        <f>+'29'!K16/1000</f>
        <v>28.553000000000001</v>
      </c>
      <c r="X150" s="501">
        <f>SUM(W150:W154)/SUM(K150:K154)</f>
        <v>0.65466171970423248</v>
      </c>
      <c r="Y150" s="210">
        <v>0</v>
      </c>
      <c r="Z150" s="36">
        <f>+'28'!D12/1000</f>
        <v>0</v>
      </c>
      <c r="AA150" s="48">
        <f>SUM(U150:U154)-SUM(W150:W154)-SUM(Z150:Z154)-SUM(Y150:Y154)</f>
        <v>3.469167065686495</v>
      </c>
      <c r="AB150" s="48">
        <f>(SUM(K150:K154)-SUM(W150:W154)-SUM(Y150:Y154)-SUM(Z150:Z154)-SUM(AC150:AC154)-SUM(V150:V154))-AA150</f>
        <v>-0.29327324026982104</v>
      </c>
      <c r="AC150" s="36">
        <f>K150-T150</f>
        <v>1.9223776104012273</v>
      </c>
      <c r="AD150" s="36">
        <f>+AM150+BA150</f>
        <v>12</v>
      </c>
      <c r="AE150" s="229" t="s">
        <v>453</v>
      </c>
      <c r="AF150" s="36">
        <v>12</v>
      </c>
      <c r="AG150" s="36"/>
      <c r="AH150" s="36"/>
      <c r="AI150" s="36"/>
      <c r="AJ150" s="36"/>
      <c r="AK150" s="36"/>
      <c r="AL150" s="36"/>
      <c r="AM150" s="36">
        <f t="shared" ref="AM150:AM152" si="395">SUM(AF150:AL150)+AT150+AV150+AX150</f>
        <v>12</v>
      </c>
      <c r="AN150" s="36"/>
      <c r="AO150" s="36"/>
      <c r="AP150" s="36"/>
      <c r="AQ150" s="36"/>
      <c r="AR150" s="36">
        <f>SUM(AN150:AQ150)</f>
        <v>0</v>
      </c>
      <c r="AS150" s="36"/>
      <c r="AT150" s="36"/>
      <c r="AU150" s="36"/>
      <c r="AV150" s="36"/>
      <c r="AW150" s="36"/>
      <c r="AX150" s="36"/>
      <c r="AY150" s="36"/>
      <c r="AZ150" s="36"/>
      <c r="BA150" s="36">
        <f>+AR150+AS150+AU150+AW150+AY150+AZ150</f>
        <v>0</v>
      </c>
      <c r="BB150" s="32">
        <v>4</v>
      </c>
      <c r="BC150" s="50"/>
      <c r="BD150" s="50"/>
      <c r="BE150" s="32"/>
      <c r="BF150" s="50"/>
    </row>
    <row r="151" spans="1:58" ht="12.95" customHeight="1">
      <c r="A151" s="39"/>
      <c r="B151" s="40"/>
      <c r="C151" s="414"/>
      <c r="D151" s="40"/>
      <c r="E151" s="41"/>
      <c r="F151" s="41"/>
      <c r="G151" s="499"/>
      <c r="H151" s="43"/>
      <c r="I151" s="44"/>
      <c r="J151" s="81"/>
      <c r="K151" s="81"/>
      <c r="L151" s="34"/>
      <c r="M151" s="34"/>
      <c r="N151" s="45"/>
      <c r="O151" s="46"/>
      <c r="P151" s="47"/>
      <c r="Q151" s="46"/>
      <c r="R151" s="500"/>
      <c r="S151" s="500"/>
      <c r="T151" s="36"/>
      <c r="U151" s="36"/>
      <c r="V151" s="36"/>
      <c r="W151" s="36"/>
      <c r="X151" s="37"/>
      <c r="Y151" s="210"/>
      <c r="Z151" s="36">
        <f>+'24'!D33/1000</f>
        <v>0</v>
      </c>
      <c r="AA151" s="36"/>
      <c r="AB151" s="36"/>
      <c r="AC151" s="36">
        <f>K151-T151</f>
        <v>0</v>
      </c>
      <c r="AD151" s="36">
        <f>+AM151+BA151</f>
        <v>0</v>
      </c>
      <c r="AE151" s="229" t="s">
        <v>412</v>
      </c>
      <c r="AF151" s="36"/>
      <c r="AG151" s="36">
        <v>0</v>
      </c>
      <c r="AH151" s="36"/>
      <c r="AI151" s="36"/>
      <c r="AJ151" s="36"/>
      <c r="AK151" s="36"/>
      <c r="AL151" s="36"/>
      <c r="AM151" s="36">
        <f t="shared" si="395"/>
        <v>0</v>
      </c>
      <c r="AN151" s="82"/>
      <c r="AO151" s="36"/>
      <c r="AP151" s="36"/>
      <c r="AQ151" s="36"/>
      <c r="AR151" s="36">
        <f t="shared" ref="AR151:AR152" si="396">SUM(AN151:AQ151)</f>
        <v>0</v>
      </c>
      <c r="AS151" s="36"/>
      <c r="AT151" s="36"/>
      <c r="AU151" s="36"/>
      <c r="AV151" s="36"/>
      <c r="AW151" s="36"/>
      <c r="AX151" s="36"/>
      <c r="AY151" s="36"/>
      <c r="AZ151" s="36"/>
      <c r="BA151" s="36">
        <f>+AR151+AS151+AU151+AW151+AY151+AZ151</f>
        <v>0</v>
      </c>
      <c r="BB151" s="49"/>
      <c r="BC151" s="50">
        <v>0</v>
      </c>
      <c r="BD151" s="50"/>
      <c r="BE151" s="49"/>
      <c r="BF151" s="50"/>
    </row>
    <row r="152" spans="1:58" ht="12.95" customHeight="1">
      <c r="A152" s="39"/>
      <c r="B152" s="40"/>
      <c r="C152" s="414"/>
      <c r="D152" s="40"/>
      <c r="E152" s="41"/>
      <c r="F152" s="41"/>
      <c r="G152" s="499"/>
      <c r="H152" s="43"/>
      <c r="I152" s="44"/>
      <c r="J152" s="81"/>
      <c r="K152" s="81"/>
      <c r="L152" s="34"/>
      <c r="M152" s="34"/>
      <c r="N152" s="45"/>
      <c r="O152" s="46"/>
      <c r="P152" s="47"/>
      <c r="Q152" s="46"/>
      <c r="R152" s="500"/>
      <c r="S152" s="500"/>
      <c r="T152" s="36"/>
      <c r="U152" s="36"/>
      <c r="V152" s="36"/>
      <c r="W152" s="36"/>
      <c r="X152" s="37"/>
      <c r="Y152" s="210"/>
      <c r="Z152" s="36">
        <v>0</v>
      </c>
      <c r="AA152" s="36"/>
      <c r="AB152" s="36"/>
      <c r="AC152" s="36">
        <f>K152-T152</f>
        <v>0</v>
      </c>
      <c r="AD152" s="36">
        <f>+AM152+BA152</f>
        <v>46</v>
      </c>
      <c r="AE152" s="229" t="s">
        <v>388</v>
      </c>
      <c r="AF152" s="32"/>
      <c r="AG152" s="32"/>
      <c r="AH152" s="32">
        <v>46</v>
      </c>
      <c r="AI152" s="32"/>
      <c r="AJ152" s="36"/>
      <c r="AK152" s="36"/>
      <c r="AL152" s="36"/>
      <c r="AM152" s="36">
        <f t="shared" si="395"/>
        <v>46</v>
      </c>
      <c r="AN152" s="36"/>
      <c r="AO152" s="36"/>
      <c r="AP152" s="36"/>
      <c r="AQ152" s="36"/>
      <c r="AR152" s="36">
        <f t="shared" si="396"/>
        <v>0</v>
      </c>
      <c r="AS152" s="36"/>
      <c r="AT152" s="36"/>
      <c r="AU152" s="36"/>
      <c r="AV152" s="36"/>
      <c r="AW152" s="36"/>
      <c r="AX152" s="36"/>
      <c r="AY152" s="36"/>
      <c r="AZ152" s="36"/>
      <c r="BA152" s="36">
        <f>+AR152+AS152+AU152+AW152+AY152+AZ152</f>
        <v>0</v>
      </c>
      <c r="BB152" s="32"/>
      <c r="BC152" s="503"/>
      <c r="BD152" s="503"/>
      <c r="BE152" s="32"/>
      <c r="BF152" s="503"/>
    </row>
    <row r="153" spans="1:58" ht="12.95" customHeight="1">
      <c r="A153" s="39"/>
      <c r="B153" s="40"/>
      <c r="C153" s="414"/>
      <c r="D153" s="40"/>
      <c r="E153" s="41"/>
      <c r="F153" s="41"/>
      <c r="G153" s="42"/>
      <c r="H153" s="43"/>
      <c r="I153" s="44"/>
      <c r="J153" s="81"/>
      <c r="K153" s="81"/>
      <c r="L153" s="34"/>
      <c r="M153" s="34"/>
      <c r="N153" s="45"/>
      <c r="O153" s="46"/>
      <c r="P153" s="47"/>
      <c r="Q153" s="46"/>
      <c r="R153" s="500"/>
      <c r="S153" s="500"/>
      <c r="T153" s="36"/>
      <c r="U153" s="36"/>
      <c r="V153" s="36"/>
      <c r="W153" s="36"/>
      <c r="X153" s="37"/>
      <c r="Y153" s="210"/>
      <c r="Z153" s="36"/>
      <c r="AA153" s="36"/>
      <c r="AB153" s="36"/>
      <c r="AC153" s="36"/>
      <c r="AD153" s="36">
        <f>+AM153+BA153</f>
        <v>236</v>
      </c>
      <c r="AE153" s="232" t="s">
        <v>767</v>
      </c>
      <c r="AF153" s="32"/>
      <c r="AG153" s="32"/>
      <c r="AH153" s="32"/>
      <c r="AI153" s="32"/>
      <c r="AJ153" s="36"/>
      <c r="AK153" s="36"/>
      <c r="AL153" s="36"/>
      <c r="AM153" s="36">
        <f t="shared" ref="AM153" si="397">SUM(AF153:AL153)+AT153+AV153+AX153</f>
        <v>0</v>
      </c>
      <c r="AN153" s="36"/>
      <c r="AO153" s="36"/>
      <c r="AP153" s="36"/>
      <c r="AQ153" s="36"/>
      <c r="AR153" s="36">
        <f t="shared" ref="AR153" si="398">SUM(AN153:AQ153)</f>
        <v>0</v>
      </c>
      <c r="AS153" s="36"/>
      <c r="AT153" s="36"/>
      <c r="AU153" s="36"/>
      <c r="AV153" s="36"/>
      <c r="AW153" s="36">
        <v>236</v>
      </c>
      <c r="AX153" s="36"/>
      <c r="AY153" s="36"/>
      <c r="AZ153" s="36"/>
      <c r="BA153" s="36">
        <f>+AR153+AS153+AU153+AW153+AY153+AZ153</f>
        <v>236</v>
      </c>
      <c r="BB153" s="32"/>
      <c r="BC153" s="503"/>
      <c r="BD153" s="503"/>
      <c r="BE153" s="32"/>
      <c r="BF153" s="503"/>
    </row>
    <row r="154" spans="1:58" ht="12.95" customHeight="1">
      <c r="A154" s="39"/>
      <c r="B154" s="40"/>
      <c r="C154" s="414"/>
      <c r="D154" s="40"/>
      <c r="E154" s="41"/>
      <c r="F154" s="41"/>
      <c r="G154" s="42"/>
      <c r="H154" s="43"/>
      <c r="I154" s="44"/>
      <c r="J154" s="81"/>
      <c r="K154" s="81"/>
      <c r="L154" s="34"/>
      <c r="M154" s="34"/>
      <c r="N154" s="45"/>
      <c r="O154" s="46"/>
      <c r="P154" s="47"/>
      <c r="Q154" s="46"/>
      <c r="R154" s="500"/>
      <c r="S154" s="500"/>
      <c r="T154" s="36"/>
      <c r="U154" s="36"/>
      <c r="V154" s="36"/>
      <c r="W154" s="36"/>
      <c r="X154" s="37"/>
      <c r="Y154" s="210"/>
      <c r="Z154" s="36"/>
      <c r="AA154" s="36"/>
      <c r="AB154" s="36"/>
      <c r="AC154" s="36"/>
      <c r="AD154" s="36">
        <f>+AM154+BA154</f>
        <v>40</v>
      </c>
      <c r="AE154" s="232" t="s">
        <v>766</v>
      </c>
      <c r="AF154" s="32"/>
      <c r="AG154" s="32"/>
      <c r="AH154" s="32"/>
      <c r="AI154" s="32"/>
      <c r="AJ154" s="36"/>
      <c r="AK154" s="36"/>
      <c r="AL154" s="36"/>
      <c r="AM154" s="36">
        <f t="shared" ref="AM154" si="399">SUM(AF154:AL154)+AT154+AV154+AX154</f>
        <v>40</v>
      </c>
      <c r="AN154" s="36"/>
      <c r="AO154" s="36"/>
      <c r="AP154" s="36"/>
      <c r="AQ154" s="36"/>
      <c r="AR154" s="36">
        <f t="shared" ref="AR154" si="400">SUM(AN154:AQ154)</f>
        <v>0</v>
      </c>
      <c r="AS154" s="36"/>
      <c r="AT154" s="36"/>
      <c r="AU154" s="36"/>
      <c r="AV154" s="36">
        <f>34+6</f>
        <v>40</v>
      </c>
      <c r="AW154" s="36"/>
      <c r="AX154" s="36"/>
      <c r="AY154" s="36"/>
      <c r="AZ154" s="36"/>
      <c r="BA154" s="36">
        <f>+AR154+AS154+AU154+AW154+AY154+AZ154</f>
        <v>0</v>
      </c>
      <c r="BB154" s="32"/>
      <c r="BC154" s="503"/>
      <c r="BD154" s="503">
        <v>3</v>
      </c>
      <c r="BE154" s="32"/>
      <c r="BF154" s="503"/>
    </row>
    <row r="155" spans="1:58" ht="16.5" customHeight="1">
      <c r="A155" s="39"/>
      <c r="B155" s="40"/>
      <c r="C155" s="414"/>
      <c r="D155" s="40"/>
      <c r="E155" s="41"/>
      <c r="F155" s="41"/>
      <c r="G155" s="499"/>
      <c r="H155" s="43"/>
      <c r="I155" s="44"/>
      <c r="J155" s="81"/>
      <c r="K155" s="81"/>
      <c r="L155" s="34"/>
      <c r="M155" s="34"/>
      <c r="N155" s="45"/>
      <c r="O155" s="46"/>
      <c r="P155" s="47"/>
      <c r="Q155" s="46"/>
      <c r="R155" s="500"/>
      <c r="S155" s="500"/>
      <c r="T155" s="36"/>
      <c r="U155" s="36"/>
      <c r="V155" s="36"/>
      <c r="W155" s="36"/>
      <c r="X155" s="501"/>
      <c r="Y155" s="210"/>
      <c r="Z155" s="36"/>
      <c r="AA155" s="48"/>
      <c r="AB155" s="48"/>
      <c r="AC155" s="36"/>
      <c r="AD155" s="36"/>
      <c r="AE155" s="229"/>
      <c r="AF155" s="36"/>
      <c r="AG155" s="36"/>
      <c r="AH155" s="36"/>
      <c r="AI155" s="502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2"/>
      <c r="BC155" s="50"/>
      <c r="BD155" s="50"/>
      <c r="BE155" s="50"/>
      <c r="BF155" s="50"/>
    </row>
    <row r="156" spans="1:58" ht="12.75" customHeight="1">
      <c r="A156" s="39">
        <v>46142</v>
      </c>
      <c r="B156" s="40" t="s">
        <v>513</v>
      </c>
      <c r="C156" s="414">
        <f t="shared" ref="C156" si="401">(M156*E156*O156*Q156)/100000000</f>
        <v>13.059426047794116</v>
      </c>
      <c r="D156" s="40" t="s">
        <v>302</v>
      </c>
      <c r="E156" s="41">
        <v>12.5</v>
      </c>
      <c r="F156" s="41">
        <v>1</v>
      </c>
      <c r="G156" s="499">
        <v>1230</v>
      </c>
      <c r="H156" s="43">
        <v>0.24</v>
      </c>
      <c r="I156" s="44">
        <v>0.88</v>
      </c>
      <c r="J156" s="81">
        <f t="shared" ref="J156" si="402">E156*G156*(1-H156)*1440/1000000*2.74</f>
        <v>46.104336000000004</v>
      </c>
      <c r="K156" s="81">
        <f t="shared" ref="K156" si="403">(IF(G156&lt;L156,L156,G156)*(1-IF(H156&lt;N156,H156,N156))*E156*O156*Q156)/100000000</f>
        <v>14.3962316</v>
      </c>
      <c r="L156" s="34">
        <v>1130.6617647058824</v>
      </c>
      <c r="M156" s="34">
        <v>847.99632352941171</v>
      </c>
      <c r="N156" s="45">
        <f t="shared" ref="N156" si="404">1-(M156/L156)</f>
        <v>0.25000000000000011</v>
      </c>
      <c r="O156" s="46">
        <f>+'Trim Rwd'!H91</f>
        <v>262.13333333333333</v>
      </c>
      <c r="P156" s="47">
        <f t="shared" ref="P156" si="405">O156*(Q156-R156-S156)</f>
        <v>63960.533333333333</v>
      </c>
      <c r="Q156" s="46">
        <f>272+198</f>
        <v>470</v>
      </c>
      <c r="R156" s="500">
        <v>198</v>
      </c>
      <c r="S156" s="500">
        <v>28</v>
      </c>
      <c r="T156" s="36">
        <f t="shared" ref="T156" si="406">E156*M156*O156*Q156/100000000</f>
        <v>13.059426047794116</v>
      </c>
      <c r="U156" s="36">
        <f t="shared" ref="U156" si="407">E156*M156*O156*(Q156-R156-S156)/100000000</f>
        <v>6.7797871397058822</v>
      </c>
      <c r="V156" s="36">
        <f t="shared" ref="V156" si="408">E156*G156*(1-N156)*O156/100*(R156+S156)/1000000</f>
        <v>6.8313584999999994</v>
      </c>
      <c r="W156" s="36">
        <f>+'30'!K16/1000</f>
        <v>10.423999999999999</v>
      </c>
      <c r="X156" s="501">
        <f>SUM(W156:W160)/SUM(K156:K160)</f>
        <v>0.68385242043650274</v>
      </c>
      <c r="Y156" s="210">
        <f>+SUM(RBP!AG3:AG4)</f>
        <v>5.4700000000000006</v>
      </c>
      <c r="Z156" s="36">
        <f>+'30'!D7/1000</f>
        <v>0.69</v>
      </c>
      <c r="AA156" s="48">
        <f>SUM(U156:U160)-SUM(W156:W160)-SUM(Z156:Z160)-SUM(Y156:Y160)</f>
        <v>-1.8373468581291701</v>
      </c>
      <c r="AB156" s="48">
        <f>(SUM(K156:K160)-SUM(W156:W160)-SUM(Y156:Y160)-SUM(Z156:Z160)-SUM(AC156:AC160)-SUM(V156:V160))-AA156</f>
        <v>-0.55191523596707137</v>
      </c>
      <c r="AC156" s="36">
        <f>K156-T156</f>
        <v>1.3368055522058846</v>
      </c>
      <c r="AD156" s="36">
        <f>+AM156+BA156</f>
        <v>21</v>
      </c>
      <c r="AE156" s="229" t="s">
        <v>453</v>
      </c>
      <c r="AF156" s="36">
        <v>21</v>
      </c>
      <c r="AG156" s="36"/>
      <c r="AH156" s="36"/>
      <c r="AI156" s="36"/>
      <c r="AJ156" s="36"/>
      <c r="AK156" s="36"/>
      <c r="AL156" s="36"/>
      <c r="AM156" s="36">
        <f t="shared" ref="AM156:AM158" si="409">SUM(AF156:AL156)+AT156+AV156+AX156</f>
        <v>21</v>
      </c>
      <c r="AN156" s="36"/>
      <c r="AO156" s="36"/>
      <c r="AP156" s="36"/>
      <c r="AQ156" s="36"/>
      <c r="AR156" s="36">
        <f>SUM(AN156:AQ156)</f>
        <v>0</v>
      </c>
      <c r="AS156" s="36"/>
      <c r="AT156" s="36"/>
      <c r="AU156" s="36"/>
      <c r="AV156" s="36"/>
      <c r="AW156" s="36"/>
      <c r="AX156" s="36"/>
      <c r="AY156" s="36"/>
      <c r="AZ156" s="36"/>
      <c r="BA156" s="36">
        <f>+AR156+AS156+AU156+AW156+AY156+AZ156</f>
        <v>0</v>
      </c>
      <c r="BB156" s="32">
        <v>4</v>
      </c>
      <c r="BC156" s="50"/>
      <c r="BD156" s="50"/>
      <c r="BE156" s="32"/>
      <c r="BF156" s="50"/>
    </row>
    <row r="157" spans="1:58" ht="12.95" customHeight="1">
      <c r="A157" s="39"/>
      <c r="B157" s="40" t="s">
        <v>7</v>
      </c>
      <c r="C157" s="414">
        <f t="shared" ref="C157" si="410">(M157*E157*O157*Q157)/100000000</f>
        <v>28.297784969999999</v>
      </c>
      <c r="D157" s="40" t="s">
        <v>302</v>
      </c>
      <c r="E157" s="41">
        <v>12</v>
      </c>
      <c r="F157" s="41">
        <v>1</v>
      </c>
      <c r="G157" s="499">
        <v>1230</v>
      </c>
      <c r="H157" s="43">
        <v>0.24</v>
      </c>
      <c r="I157" s="44">
        <v>0.88</v>
      </c>
      <c r="J157" s="81">
        <f t="shared" ref="J157" si="411">E157*G157*(1-H157)*1440/1000000*2.74</f>
        <v>44.260162560000005</v>
      </c>
      <c r="K157" s="81">
        <f t="shared" ref="K157" si="412">(IF(G157&lt;L157,L157,G157)*(1-IF(H157&lt;N157,H157,N157))*E157*O157*Q157)/100000000</f>
        <v>28.870413535384611</v>
      </c>
      <c r="L157" s="34">
        <v>1229.7938144329896</v>
      </c>
      <c r="M157" s="34">
        <v>916.25876288659799</v>
      </c>
      <c r="N157" s="45">
        <f t="shared" ref="N157" si="413">1-(M157/L157)</f>
        <v>0.25494928325928401</v>
      </c>
      <c r="O157" s="46">
        <f>+'Trim Rwd'!H93</f>
        <v>265.32692307692309</v>
      </c>
      <c r="P157" s="47">
        <f t="shared" ref="P157" si="414">O157*(Q157-R157-S157)</f>
        <v>246754.03846153847</v>
      </c>
      <c r="Q157" s="46">
        <v>970</v>
      </c>
      <c r="R157" s="500">
        <v>0</v>
      </c>
      <c r="S157" s="500">
        <v>40</v>
      </c>
      <c r="T157" s="36">
        <f t="shared" ref="T157" si="415">E157*M157*O157*Q157/100000000</f>
        <v>28.297784969999999</v>
      </c>
      <c r="U157" s="36">
        <f t="shared" ref="U157" si="416">E157*M157*O157*(Q157-R157-S157)/100000000</f>
        <v>27.13086600216495</v>
      </c>
      <c r="V157" s="36">
        <f t="shared" ref="V157" si="417">E157*G157*(1-N157)*O157/100*(R157+S157)/1000000</f>
        <v>1.1671146118903515</v>
      </c>
      <c r="W157" s="36">
        <f>+'30'!K10/1000</f>
        <v>19.164000000000001</v>
      </c>
      <c r="X157" s="37"/>
      <c r="Y157" s="210"/>
      <c r="Z157" s="36">
        <v>0</v>
      </c>
      <c r="AA157" s="36"/>
      <c r="AB157" s="36"/>
      <c r="AC157" s="36">
        <f>K157-T157</f>
        <v>0.57262856538461193</v>
      </c>
      <c r="AD157" s="36">
        <f>+AM157+BA157</f>
        <v>2</v>
      </c>
      <c r="AE157" s="229" t="s">
        <v>412</v>
      </c>
      <c r="AF157" s="36"/>
      <c r="AG157" s="36">
        <v>2</v>
      </c>
      <c r="AH157" s="36"/>
      <c r="AI157" s="36"/>
      <c r="AJ157" s="36"/>
      <c r="AK157" s="36"/>
      <c r="AL157" s="36"/>
      <c r="AM157" s="36">
        <f t="shared" si="409"/>
        <v>2</v>
      </c>
      <c r="AN157" s="82"/>
      <c r="AO157" s="36"/>
      <c r="AP157" s="36"/>
      <c r="AQ157" s="36"/>
      <c r="AR157" s="36">
        <f t="shared" ref="AR157:AR158" si="418">SUM(AN157:AQ157)</f>
        <v>0</v>
      </c>
      <c r="AS157" s="36"/>
      <c r="AT157" s="36"/>
      <c r="AU157" s="36"/>
      <c r="AV157" s="36"/>
      <c r="AW157" s="36"/>
      <c r="AX157" s="36"/>
      <c r="AY157" s="36"/>
      <c r="AZ157" s="36"/>
      <c r="BA157" s="36">
        <f>+AR157+AS157+AU157+AW157+AY157+AZ157</f>
        <v>0</v>
      </c>
      <c r="BB157" s="49"/>
      <c r="BC157" s="50">
        <v>0</v>
      </c>
      <c r="BD157" s="50"/>
      <c r="BE157" s="49"/>
      <c r="BF157" s="50"/>
    </row>
    <row r="158" spans="1:58" ht="12.95" customHeight="1">
      <c r="A158" s="39"/>
      <c r="B158" s="40"/>
      <c r="C158" s="414"/>
      <c r="D158" s="40"/>
      <c r="E158" s="41"/>
      <c r="F158" s="41"/>
      <c r="G158" s="499"/>
      <c r="H158" s="43"/>
      <c r="I158" s="44"/>
      <c r="J158" s="81"/>
      <c r="K158" s="81"/>
      <c r="L158" s="34"/>
      <c r="M158" s="34"/>
      <c r="N158" s="45"/>
      <c r="O158" s="46"/>
      <c r="P158" s="47"/>
      <c r="Q158" s="46"/>
      <c r="R158" s="500"/>
      <c r="S158" s="500"/>
      <c r="T158" s="36"/>
      <c r="U158" s="36"/>
      <c r="V158" s="36"/>
      <c r="W158" s="36"/>
      <c r="X158" s="37"/>
      <c r="Y158" s="210"/>
      <c r="Z158" s="36">
        <v>0</v>
      </c>
      <c r="AA158" s="36"/>
      <c r="AB158" s="36"/>
      <c r="AC158" s="36">
        <f>K158-T158</f>
        <v>0</v>
      </c>
      <c r="AD158" s="36">
        <f>+AM158+BA158</f>
        <v>45</v>
      </c>
      <c r="AE158" s="229" t="s">
        <v>388</v>
      </c>
      <c r="AF158" s="32"/>
      <c r="AG158" s="32"/>
      <c r="AH158" s="32">
        <v>45</v>
      </c>
      <c r="AI158" s="32"/>
      <c r="AJ158" s="36"/>
      <c r="AK158" s="36"/>
      <c r="AL158" s="36"/>
      <c r="AM158" s="36">
        <f t="shared" si="409"/>
        <v>45</v>
      </c>
      <c r="AN158" s="36"/>
      <c r="AO158" s="36"/>
      <c r="AP158" s="36"/>
      <c r="AQ158" s="36"/>
      <c r="AR158" s="36">
        <f t="shared" si="418"/>
        <v>0</v>
      </c>
      <c r="AS158" s="36"/>
      <c r="AT158" s="36"/>
      <c r="AU158" s="36"/>
      <c r="AV158" s="36"/>
      <c r="AW158" s="36"/>
      <c r="AX158" s="36"/>
      <c r="AY158" s="36"/>
      <c r="AZ158" s="36"/>
      <c r="BA158" s="36">
        <f>+AR158+AS158+AU158+AW158+AY158+AZ158</f>
        <v>0</v>
      </c>
      <c r="BB158" s="32"/>
      <c r="BC158" s="503"/>
      <c r="BD158" s="503"/>
      <c r="BE158" s="32"/>
      <c r="BF158" s="503"/>
    </row>
    <row r="159" spans="1:58" ht="12.95" customHeight="1">
      <c r="A159" s="39"/>
      <c r="B159" s="40"/>
      <c r="C159" s="414"/>
      <c r="D159" s="40"/>
      <c r="E159" s="41"/>
      <c r="F159" s="41"/>
      <c r="G159" s="42"/>
      <c r="H159" s="43"/>
      <c r="I159" s="44"/>
      <c r="J159" s="81"/>
      <c r="K159" s="81"/>
      <c r="L159" s="34"/>
      <c r="M159" s="34"/>
      <c r="N159" s="45"/>
      <c r="O159" s="46"/>
      <c r="P159" s="47"/>
      <c r="Q159" s="46"/>
      <c r="R159" s="500"/>
      <c r="S159" s="500"/>
      <c r="T159" s="36"/>
      <c r="U159" s="36"/>
      <c r="V159" s="36"/>
      <c r="W159" s="36"/>
      <c r="X159" s="37"/>
      <c r="Y159" s="210"/>
      <c r="Z159" s="36"/>
      <c r="AA159" s="36"/>
      <c r="AB159" s="36"/>
      <c r="AC159" s="36"/>
      <c r="AD159" s="36">
        <f>+AM159+BA159</f>
        <v>198</v>
      </c>
      <c r="AE159" s="232" t="s">
        <v>815</v>
      </c>
      <c r="AF159" s="32"/>
      <c r="AG159" s="32"/>
      <c r="AH159" s="32"/>
      <c r="AI159" s="32"/>
      <c r="AJ159" s="36"/>
      <c r="AK159" s="36"/>
      <c r="AL159" s="36"/>
      <c r="AM159" s="36">
        <f t="shared" ref="AM159" si="419">SUM(AF159:AL159)+AT159+AV159+AX159</f>
        <v>0</v>
      </c>
      <c r="AN159" s="36"/>
      <c r="AO159" s="36"/>
      <c r="AP159" s="36"/>
      <c r="AQ159" s="36"/>
      <c r="AR159" s="36">
        <f t="shared" ref="AR159" si="420">SUM(AN159:AQ159)</f>
        <v>0</v>
      </c>
      <c r="AS159" s="36"/>
      <c r="AT159" s="36"/>
      <c r="AU159" s="36"/>
      <c r="AV159" s="36"/>
      <c r="AW159" s="36">
        <v>198</v>
      </c>
      <c r="AX159" s="36"/>
      <c r="AY159" s="36"/>
      <c r="AZ159" s="36"/>
      <c r="BA159" s="36">
        <f>+AR159+AS159+AU159+AW159+AY159+AZ159</f>
        <v>198</v>
      </c>
      <c r="BB159" s="32"/>
      <c r="BC159" s="503"/>
      <c r="BD159" s="503">
        <v>1</v>
      </c>
      <c r="BE159" s="32"/>
      <c r="BF159" s="503"/>
    </row>
    <row r="160" spans="1:58" ht="12.95" customHeight="1">
      <c r="A160" s="39"/>
      <c r="B160" s="40"/>
      <c r="C160" s="414"/>
      <c r="D160" s="40"/>
      <c r="E160" s="41"/>
      <c r="F160" s="41"/>
      <c r="G160" s="499"/>
      <c r="H160" s="43"/>
      <c r="I160" s="44"/>
      <c r="J160" s="81"/>
      <c r="K160" s="81"/>
      <c r="L160" s="34"/>
      <c r="M160" s="34"/>
      <c r="N160" s="45"/>
      <c r="O160" s="46"/>
      <c r="P160" s="47"/>
      <c r="Q160" s="46"/>
      <c r="R160" s="500"/>
      <c r="S160" s="500"/>
      <c r="T160" s="36"/>
      <c r="U160" s="36"/>
      <c r="V160" s="36"/>
      <c r="W160" s="36"/>
      <c r="X160" s="501"/>
      <c r="Y160" s="210"/>
      <c r="Z160" s="36"/>
      <c r="AA160" s="48"/>
      <c r="AB160" s="48"/>
      <c r="AC160" s="36"/>
      <c r="AD160" s="36"/>
      <c r="AE160" s="229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2"/>
      <c r="BC160" s="50"/>
      <c r="BD160" s="50"/>
      <c r="BE160" s="50"/>
      <c r="BF160" s="50"/>
    </row>
    <row r="161" spans="1:58">
      <c r="R161" s="504"/>
      <c r="S161" s="504"/>
      <c r="AA161" s="246">
        <f>U161-W161-Z161</f>
        <v>0</v>
      </c>
      <c r="AB161" s="246"/>
      <c r="AC161" s="247">
        <f>K161-T161</f>
        <v>0</v>
      </c>
      <c r="AD161" s="36"/>
      <c r="AF161" s="51"/>
      <c r="AG161" s="51"/>
      <c r="AH161" s="51"/>
      <c r="AI161" s="51"/>
      <c r="AJ161" s="51"/>
      <c r="AK161" s="51"/>
      <c r="AL161" s="51"/>
      <c r="AM161" s="36">
        <f t="shared" ref="AM161" si="421">SUM(AF161:AL161)</f>
        <v>0</v>
      </c>
      <c r="AN161" s="51"/>
      <c r="AO161" s="51"/>
      <c r="AP161" s="51"/>
      <c r="AQ161" s="51"/>
      <c r="AR161" s="36">
        <f t="shared" ref="AR161" si="422">SUM(AN161:AQ161)</f>
        <v>0</v>
      </c>
      <c r="AS161" s="51"/>
      <c r="AT161" s="51"/>
      <c r="AU161" s="51"/>
      <c r="AV161" s="51"/>
      <c r="AW161" s="51"/>
      <c r="AX161" s="51"/>
      <c r="AY161" s="51"/>
      <c r="AZ161" s="51"/>
      <c r="BA161" s="36"/>
      <c r="BB161" s="32"/>
      <c r="BC161" s="50"/>
      <c r="BD161" s="50"/>
      <c r="BE161" s="50"/>
      <c r="BF161" s="50"/>
    </row>
    <row r="162" spans="1:58" s="26" customFormat="1" ht="12.95" customHeight="1">
      <c r="A162" s="55"/>
      <c r="B162" s="56"/>
      <c r="C162" s="415">
        <f>SUM(C6:C160)</f>
        <v>1306.3335934370214</v>
      </c>
      <c r="D162" s="56"/>
      <c r="E162" s="57"/>
      <c r="F162" s="57"/>
      <c r="G162" s="58"/>
      <c r="H162" s="58"/>
      <c r="I162" s="59">
        <v>0.85</v>
      </c>
      <c r="J162" s="81"/>
      <c r="K162" s="83">
        <f>SUM(K6:K160)</f>
        <v>1369.0992194184616</v>
      </c>
      <c r="L162" s="61"/>
      <c r="M162" s="61"/>
      <c r="N162" s="62"/>
      <c r="O162" s="63">
        <f>P162/(Q162-R162-S162)</f>
        <v>260.89060217705844</v>
      </c>
      <c r="P162" s="60">
        <f>SUM(P6:P160)</f>
        <v>10232912.089190762</v>
      </c>
      <c r="Q162" s="332">
        <f>SUM(Q6:Q161)</f>
        <v>43200</v>
      </c>
      <c r="R162" s="60">
        <f t="shared" ref="R162:W162" si="423">SUM(R6:R160)</f>
        <v>2012</v>
      </c>
      <c r="S162" s="60">
        <f t="shared" si="423"/>
        <v>1965</v>
      </c>
      <c r="T162" s="60">
        <f t="shared" si="423"/>
        <v>1306.3335934370214</v>
      </c>
      <c r="U162" s="60">
        <f t="shared" si="423"/>
        <v>1184.8247466803357</v>
      </c>
      <c r="V162" s="356">
        <f t="shared" si="423"/>
        <v>130.71903654376479</v>
      </c>
      <c r="W162" s="446">
        <f t="shared" si="423"/>
        <v>1129.4960000000001</v>
      </c>
      <c r="X162" s="495">
        <f>W162/K162</f>
        <v>0.82499207068408431</v>
      </c>
      <c r="Y162" s="357">
        <f>SUM(Y6:Y160)</f>
        <v>5.4700000000000006</v>
      </c>
      <c r="Z162" s="446">
        <f>SUM(Z6:Z160)</f>
        <v>5.2469999999999999</v>
      </c>
      <c r="AA162" s="60">
        <f>SUM(AA6:AA160)</f>
        <v>44.61174668033555</v>
      </c>
      <c r="AB162" s="60">
        <f>SUM(AB6:AB160)</f>
        <v>-8.7318547870791061</v>
      </c>
      <c r="AC162" s="60">
        <f>SUM(AC6:AC160)</f>
        <v>62.287290981440144</v>
      </c>
      <c r="AD162" s="36">
        <f>SUM(AD6:AD161)</f>
        <v>3977</v>
      </c>
      <c r="AE162" s="64"/>
      <c r="AF162" s="60">
        <f t="shared" ref="AF162:BF162" si="424">SUM(AF6:AF161)</f>
        <v>392</v>
      </c>
      <c r="AG162" s="60">
        <f t="shared" si="424"/>
        <v>92</v>
      </c>
      <c r="AH162" s="60">
        <f t="shared" si="424"/>
        <v>1390</v>
      </c>
      <c r="AI162" s="60">
        <f t="shared" si="424"/>
        <v>33</v>
      </c>
      <c r="AJ162" s="60">
        <f t="shared" si="424"/>
        <v>0</v>
      </c>
      <c r="AK162" s="60">
        <f t="shared" si="424"/>
        <v>0</v>
      </c>
      <c r="AL162" s="60">
        <f t="shared" si="424"/>
        <v>0</v>
      </c>
      <c r="AM162" s="60">
        <f t="shared" si="424"/>
        <v>1965</v>
      </c>
      <c r="AN162" s="51">
        <f t="shared" si="424"/>
        <v>0</v>
      </c>
      <c r="AO162" s="51">
        <f t="shared" si="424"/>
        <v>206</v>
      </c>
      <c r="AP162" s="51">
        <f t="shared" si="424"/>
        <v>207</v>
      </c>
      <c r="AQ162" s="51">
        <f t="shared" si="424"/>
        <v>0</v>
      </c>
      <c r="AR162" s="60">
        <f t="shared" si="424"/>
        <v>413</v>
      </c>
      <c r="AS162" s="60">
        <f t="shared" si="424"/>
        <v>738</v>
      </c>
      <c r="AT162" s="60">
        <f t="shared" si="424"/>
        <v>0</v>
      </c>
      <c r="AU162" s="60">
        <f t="shared" si="424"/>
        <v>0</v>
      </c>
      <c r="AV162" s="60">
        <f t="shared" si="424"/>
        <v>47</v>
      </c>
      <c r="AW162" s="60">
        <f t="shared" si="424"/>
        <v>434</v>
      </c>
      <c r="AX162" s="60">
        <f t="shared" si="424"/>
        <v>11</v>
      </c>
      <c r="AY162" s="60">
        <f t="shared" si="424"/>
        <v>427</v>
      </c>
      <c r="AZ162" s="60">
        <f t="shared" si="424"/>
        <v>0</v>
      </c>
      <c r="BA162" s="60">
        <f t="shared" si="424"/>
        <v>2012</v>
      </c>
      <c r="BB162" s="51">
        <f t="shared" si="424"/>
        <v>145</v>
      </c>
      <c r="BC162" s="51">
        <f t="shared" si="424"/>
        <v>43</v>
      </c>
      <c r="BD162" s="51">
        <f t="shared" si="424"/>
        <v>7</v>
      </c>
      <c r="BE162" s="51">
        <f t="shared" si="424"/>
        <v>1</v>
      </c>
      <c r="BF162" s="51">
        <f t="shared" si="424"/>
        <v>0</v>
      </c>
    </row>
    <row r="163" spans="1:58" s="26" customFormat="1" ht="12.95" customHeight="1">
      <c r="A163" s="55"/>
      <c r="B163" s="56"/>
      <c r="C163" s="56"/>
      <c r="D163" s="56"/>
      <c r="E163" s="57"/>
      <c r="F163" s="57"/>
      <c r="G163" s="58"/>
      <c r="H163" s="58"/>
      <c r="I163" s="58"/>
      <c r="J163" s="84"/>
      <c r="K163" s="84"/>
      <c r="L163" s="61"/>
      <c r="M163" s="61"/>
      <c r="N163" s="62"/>
      <c r="O163" s="680"/>
      <c r="P163" s="681"/>
      <c r="Q163" s="58">
        <f>30*1440-Q162</f>
        <v>0</v>
      </c>
      <c r="R163" s="65">
        <f>R162/Q162</f>
        <v>4.6574074074074073E-2</v>
      </c>
      <c r="S163" s="65">
        <f>S162/Q162</f>
        <v>4.5486111111111109E-2</v>
      </c>
      <c r="T163" s="343"/>
      <c r="U163" s="343"/>
      <c r="V163" s="345">
        <f>V162/K162</f>
        <v>9.5478132402477725E-2</v>
      </c>
      <c r="W163" s="361" t="s">
        <v>169</v>
      </c>
      <c r="X163" s="496">
        <v>0.85</v>
      </c>
      <c r="Y163" s="358">
        <f>Y162/K162</f>
        <v>3.9953276741501887E-3</v>
      </c>
      <c r="Z163" s="66">
        <f>Z162/K162</f>
        <v>3.8324468567213959E-3</v>
      </c>
      <c r="AA163" s="66">
        <f>AA162/K162</f>
        <v>3.2584743346274661E-2</v>
      </c>
      <c r="AB163" s="66">
        <f>AB162/K162</f>
        <v>-6.377810069008766E-3</v>
      </c>
      <c r="AC163" s="497">
        <f>AC162/K162</f>
        <v>4.5495089105300403E-2</v>
      </c>
      <c r="AD163" s="346"/>
      <c r="AE163" s="38"/>
      <c r="AF163" s="66">
        <f>AF162/$AD$162*$V$163</f>
        <v>9.4109700532490001E-3</v>
      </c>
      <c r="AG163" s="66">
        <f>AG162/$AD$162*$V$163</f>
        <v>2.2086970533135406E-3</v>
      </c>
      <c r="AH163" s="66">
        <f>AH162/$AD$162*$V$163</f>
        <v>3.3370531566367621E-2</v>
      </c>
      <c r="AI163" s="66">
        <f>AI162/$AD$162*$V$163</f>
        <v>7.9225002999290051E-4</v>
      </c>
      <c r="AJ163" s="66">
        <f t="shared" ref="AJ163:BA163" si="425">AJ162/$AD$162*$V$163</f>
        <v>0</v>
      </c>
      <c r="AK163" s="66">
        <f t="shared" si="425"/>
        <v>0</v>
      </c>
      <c r="AL163" s="66">
        <f t="shared" si="425"/>
        <v>0</v>
      </c>
      <c r="AM163" s="66">
        <f t="shared" si="425"/>
        <v>4.7174888149577252E-2</v>
      </c>
      <c r="AN163" s="66">
        <f t="shared" si="425"/>
        <v>0</v>
      </c>
      <c r="AO163" s="66">
        <f t="shared" si="425"/>
        <v>4.9455607932890151E-3</v>
      </c>
      <c r="AP163" s="66">
        <f t="shared" si="425"/>
        <v>4.9695683699554662E-3</v>
      </c>
      <c r="AQ163" s="66">
        <f t="shared" si="425"/>
        <v>0</v>
      </c>
      <c r="AR163" s="66">
        <f t="shared" si="425"/>
        <v>9.9151291632444804E-3</v>
      </c>
      <c r="AS163" s="66">
        <f t="shared" si="425"/>
        <v>1.7717591579841228E-2</v>
      </c>
      <c r="AT163" s="66">
        <f t="shared" si="425"/>
        <v>0</v>
      </c>
      <c r="AU163" s="66">
        <f t="shared" si="425"/>
        <v>0</v>
      </c>
      <c r="AV163" s="66">
        <f>AV162/$AD$162*$V$163</f>
        <v>1.1283561033232218E-3</v>
      </c>
      <c r="AW163" s="66">
        <f t="shared" ref="AW163:AZ163" si="426">AW162/$AD$162*$V$163</f>
        <v>1.0419288273239962E-2</v>
      </c>
      <c r="AX163" s="66">
        <f t="shared" si="426"/>
        <v>2.6408334333096682E-4</v>
      </c>
      <c r="AY163" s="66">
        <f t="shared" si="426"/>
        <v>1.0251235236574802E-2</v>
      </c>
      <c r="AZ163" s="66">
        <f t="shared" si="426"/>
        <v>0</v>
      </c>
      <c r="BA163" s="66">
        <f t="shared" si="425"/>
        <v>4.8303244252900474E-2</v>
      </c>
      <c r="BB163" s="33" t="s">
        <v>168</v>
      </c>
      <c r="BC163" s="33" t="s">
        <v>168</v>
      </c>
      <c r="BD163" s="33" t="s">
        <v>399</v>
      </c>
      <c r="BE163" s="33" t="s">
        <v>399</v>
      </c>
      <c r="BF163" s="33" t="s">
        <v>399</v>
      </c>
    </row>
    <row r="164" spans="1:58" ht="12.95" customHeight="1">
      <c r="A164" s="55"/>
      <c r="B164" s="56"/>
      <c r="C164" s="56"/>
      <c r="D164" s="56"/>
      <c r="E164" s="57"/>
      <c r="F164" s="57"/>
      <c r="G164" s="33"/>
      <c r="H164" s="33"/>
      <c r="I164" s="33"/>
      <c r="J164" s="81"/>
      <c r="K164" s="81"/>
      <c r="L164" s="34"/>
      <c r="M164" s="34"/>
      <c r="N164" s="32"/>
      <c r="O164" s="35"/>
      <c r="P164" s="27"/>
      <c r="Q164" s="33"/>
      <c r="R164" s="36">
        <f>R162-(BA162)</f>
        <v>0</v>
      </c>
      <c r="S164" s="36">
        <f>S162-SUM(AF162:AL162)-AX162-AV162</f>
        <v>0</v>
      </c>
      <c r="T164" s="32"/>
      <c r="U164" s="32"/>
      <c r="V164" s="32"/>
      <c r="W164" s="359"/>
      <c r="X164" s="360"/>
      <c r="Y164" s="67">
        <f>+Y162-(SUM(RBP!AG3:AG4))</f>
        <v>0</v>
      </c>
      <c r="Z164" s="36"/>
      <c r="AA164" s="32"/>
      <c r="AB164" s="32"/>
      <c r="AC164" s="32"/>
      <c r="AD164" s="32"/>
      <c r="AE164" s="38"/>
      <c r="AF164" s="333"/>
      <c r="AG164" s="333"/>
      <c r="AH164" s="333"/>
      <c r="AI164" s="333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505">
        <f>BB162/($Q$162/1440)/2</f>
        <v>2.4166666666666665</v>
      </c>
      <c r="BC164" s="505">
        <f>BC162/($Q$162/1440)/2</f>
        <v>0.71666666666666667</v>
      </c>
      <c r="BD164" s="505">
        <f>BD162/($Q$162/1440)</f>
        <v>0.23333333333333334</v>
      </c>
      <c r="BE164" s="505">
        <f t="shared" ref="BE164:BF164" si="427">BE162/($Q$162/1440)</f>
        <v>3.3333333333333333E-2</v>
      </c>
      <c r="BF164" s="505">
        <f t="shared" si="427"/>
        <v>0</v>
      </c>
    </row>
    <row r="165" spans="1:58">
      <c r="A165" s="68"/>
      <c r="B165" s="69"/>
      <c r="C165" s="69"/>
      <c r="D165" s="69"/>
      <c r="E165" s="70"/>
      <c r="F165" s="70"/>
      <c r="G165" s="71"/>
      <c r="H165" s="71"/>
      <c r="I165" s="71"/>
      <c r="J165" s="85"/>
      <c r="K165" s="85"/>
      <c r="O165" s="72"/>
      <c r="P165" s="73"/>
      <c r="Q165" s="71"/>
      <c r="R165" s="52"/>
      <c r="S165" s="52"/>
      <c r="U165" s="74"/>
      <c r="V165" s="74"/>
      <c r="W165" s="75" t="s">
        <v>119</v>
      </c>
      <c r="X165" s="498">
        <f>W162/U162</f>
        <v>0.95330216824441194</v>
      </c>
      <c r="Y165" s="498"/>
      <c r="Z165" s="52"/>
      <c r="AD165" s="82"/>
      <c r="AE165" s="77"/>
      <c r="AF165" s="78"/>
      <c r="AG165" s="78"/>
      <c r="AH165" s="78"/>
      <c r="AI165" s="78"/>
      <c r="AJ165" s="78"/>
      <c r="AK165" s="78"/>
      <c r="AL165" s="78"/>
      <c r="AM165" s="78"/>
      <c r="AN165" s="76"/>
      <c r="AO165" s="76"/>
      <c r="AP165" s="76"/>
      <c r="AQ165" s="76"/>
      <c r="AR165" s="76"/>
      <c r="AS165" s="78"/>
      <c r="AT165" s="78"/>
      <c r="AU165" s="78"/>
      <c r="AV165" s="78"/>
      <c r="AW165" s="78"/>
      <c r="AX165" s="78"/>
      <c r="AY165" s="78"/>
      <c r="AZ165" s="78"/>
      <c r="BA165" s="76"/>
      <c r="BB165" s="26"/>
      <c r="BC165" s="76"/>
      <c r="BD165" s="76"/>
      <c r="BE165" s="26"/>
      <c r="BF165" s="76"/>
    </row>
    <row r="166" spans="1:58">
      <c r="A166" s="68"/>
      <c r="B166" s="69"/>
      <c r="C166" s="69"/>
      <c r="D166" s="69"/>
      <c r="E166" s="70"/>
      <c r="F166" s="70"/>
      <c r="G166" s="71"/>
      <c r="H166" s="71"/>
      <c r="I166" s="71"/>
      <c r="J166" s="85"/>
      <c r="K166" s="85"/>
      <c r="O166" s="72"/>
      <c r="P166" s="73"/>
      <c r="Q166" s="71"/>
      <c r="R166" s="52"/>
      <c r="S166" s="52"/>
      <c r="U166" s="74"/>
      <c r="V166" s="74"/>
      <c r="W166" s="75">
        <f>+W162-'30'!M34/1000</f>
        <v>0</v>
      </c>
      <c r="X166" s="76"/>
      <c r="Y166" s="76"/>
      <c r="Z166" s="52">
        <f>+Z162-'30'!J56/1000</f>
        <v>0</v>
      </c>
      <c r="AA166" s="88"/>
      <c r="AB166" s="88"/>
      <c r="AD166" s="82"/>
      <c r="AE166" s="77"/>
      <c r="AF166" s="78"/>
      <c r="AG166" s="78"/>
      <c r="AH166" s="78"/>
      <c r="AI166" s="78"/>
      <c r="AJ166" s="78"/>
      <c r="AK166" s="78"/>
      <c r="AL166" s="78"/>
      <c r="AM166" s="78"/>
      <c r="AN166" s="78"/>
      <c r="AO166" s="76"/>
      <c r="AP166" s="76"/>
      <c r="AQ166" s="76"/>
      <c r="AR166" s="78"/>
      <c r="AS166" s="76"/>
      <c r="AT166" s="76"/>
      <c r="AU166" s="76"/>
      <c r="AV166" s="76"/>
      <c r="AW166" s="76"/>
      <c r="AX166" s="76"/>
      <c r="AY166" s="76"/>
      <c r="AZ166" s="76"/>
      <c r="BA166" s="76"/>
      <c r="BB166" s="26"/>
      <c r="BC166" s="76"/>
      <c r="BD166" s="76"/>
      <c r="BE166" s="26"/>
      <c r="BF166" s="76"/>
    </row>
    <row r="167" spans="1:58">
      <c r="A167" s="68"/>
      <c r="B167" s="69"/>
      <c r="C167" s="69"/>
      <c r="D167" s="69"/>
      <c r="E167" s="70"/>
      <c r="F167" s="70"/>
      <c r="G167" s="71"/>
      <c r="H167" s="71"/>
      <c r="I167" s="71"/>
      <c r="J167" s="85"/>
      <c r="K167" s="85"/>
      <c r="O167" s="72"/>
      <c r="P167" s="73"/>
      <c r="Q167" s="71"/>
      <c r="R167" s="344"/>
      <c r="S167" s="52"/>
      <c r="U167" s="74"/>
      <c r="V167" s="74"/>
      <c r="W167" s="75" t="s">
        <v>143</v>
      </c>
      <c r="X167" s="333">
        <f>+W162+Y162</f>
        <v>1134.9660000000001</v>
      </c>
      <c r="Y167" s="76"/>
      <c r="Z167" s="52"/>
      <c r="AD167" s="82"/>
      <c r="AE167" s="77"/>
      <c r="AF167" s="82"/>
      <c r="AG167" s="82"/>
      <c r="AH167" s="82"/>
      <c r="AI167" s="82"/>
      <c r="AJ167" s="76"/>
      <c r="AK167" s="76"/>
      <c r="AL167" s="76"/>
      <c r="AM167" s="78"/>
      <c r="AN167" s="76"/>
      <c r="AO167" s="76"/>
      <c r="AP167" s="76"/>
      <c r="AQ167" s="76"/>
      <c r="AR167" s="78"/>
      <c r="AS167" s="76"/>
      <c r="AT167" s="76"/>
      <c r="AU167" s="76"/>
      <c r="AV167" s="76"/>
      <c r="AW167" s="76"/>
      <c r="AX167" s="76"/>
      <c r="AY167" s="76"/>
      <c r="AZ167" s="76"/>
      <c r="BA167" s="76"/>
      <c r="BB167" s="26"/>
      <c r="BC167" s="76"/>
      <c r="BD167" s="76"/>
      <c r="BE167" s="26"/>
      <c r="BF167" s="76"/>
    </row>
    <row r="168" spans="1:58">
      <c r="A168" s="68"/>
      <c r="C168" s="69" t="s">
        <v>298</v>
      </c>
      <c r="D168" s="69"/>
      <c r="E168" s="70"/>
      <c r="F168" s="70"/>
      <c r="G168" s="71"/>
      <c r="H168" s="71"/>
      <c r="I168" s="71"/>
      <c r="J168" s="85"/>
      <c r="K168" s="85"/>
      <c r="O168" s="72"/>
      <c r="P168" s="73"/>
      <c r="Q168" s="71"/>
      <c r="R168" s="344"/>
      <c r="S168" s="52"/>
      <c r="U168" s="74"/>
      <c r="V168" s="354"/>
      <c r="W168" s="355"/>
      <c r="X168" s="349"/>
      <c r="Y168" s="355"/>
      <c r="Z168" s="349"/>
      <c r="AD168" s="342"/>
      <c r="AE168" s="77"/>
      <c r="AF168" s="342"/>
      <c r="AG168" s="342"/>
      <c r="AH168" s="342"/>
      <c r="AI168" s="342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26"/>
      <c r="BC168" s="76"/>
      <c r="BD168" s="76"/>
      <c r="BE168" s="26"/>
      <c r="BF168" s="76"/>
    </row>
    <row r="169" spans="1:58">
      <c r="A169" s="68"/>
      <c r="B169" s="69"/>
      <c r="C169" s="69" t="s">
        <v>299</v>
      </c>
      <c r="D169" s="69"/>
      <c r="E169" s="70"/>
      <c r="F169" s="70"/>
      <c r="G169" s="71"/>
      <c r="H169" s="71"/>
      <c r="I169" s="71"/>
      <c r="J169" s="85"/>
      <c r="K169" s="85"/>
      <c r="O169" s="72"/>
      <c r="P169" s="73"/>
      <c r="Q169" s="71"/>
      <c r="R169" s="344"/>
      <c r="S169" s="52"/>
      <c r="V169" s="347"/>
      <c r="W169" s="348" t="s">
        <v>305</v>
      </c>
      <c r="X169" s="347"/>
      <c r="Y169" s="347"/>
      <c r="Z169" s="349"/>
      <c r="AE169" s="77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26"/>
      <c r="BE169" s="26"/>
    </row>
    <row r="170" spans="1:58">
      <c r="A170" s="68"/>
      <c r="B170" s="69"/>
      <c r="C170" s="69"/>
      <c r="D170" s="69"/>
      <c r="E170" s="70"/>
      <c r="F170" s="70"/>
      <c r="G170" s="71"/>
      <c r="H170" s="71"/>
      <c r="I170" s="71"/>
      <c r="J170" s="85"/>
      <c r="K170" s="85"/>
      <c r="O170" s="72"/>
      <c r="P170" s="73"/>
      <c r="Q170" s="71"/>
      <c r="R170" s="344"/>
      <c r="S170" s="52"/>
      <c r="V170" s="347"/>
      <c r="W170" s="350" t="s">
        <v>294</v>
      </c>
      <c r="X170" s="506">
        <f>Y163</f>
        <v>3.9953276741501887E-3</v>
      </c>
      <c r="Y170" s="351"/>
      <c r="Z170" s="349"/>
      <c r="AE170" s="77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26"/>
      <c r="BE170" s="26"/>
    </row>
    <row r="171" spans="1:58">
      <c r="R171" s="88"/>
      <c r="V171" s="347"/>
      <c r="W171" s="350" t="s">
        <v>148</v>
      </c>
      <c r="X171" s="353">
        <f>Z163</f>
        <v>3.8324468567213959E-3</v>
      </c>
      <c r="Y171" s="352"/>
      <c r="Z171" s="347"/>
    </row>
    <row r="172" spans="1:58">
      <c r="R172" s="88"/>
      <c r="V172" s="347"/>
      <c r="W172" s="350" t="s">
        <v>149</v>
      </c>
      <c r="X172" s="353">
        <f>AC163</f>
        <v>4.5495089105300403E-2</v>
      </c>
      <c r="Y172" s="353"/>
      <c r="Z172" s="347"/>
    </row>
    <row r="173" spans="1:58">
      <c r="R173" s="88"/>
      <c r="V173" s="347"/>
      <c r="W173" s="350" t="s">
        <v>150</v>
      </c>
      <c r="X173" s="353">
        <f>AA163</f>
        <v>3.2584743346274661E-2</v>
      </c>
      <c r="Y173" s="352"/>
      <c r="Z173" s="347"/>
    </row>
    <row r="174" spans="1:58">
      <c r="V174" s="347"/>
      <c r="W174" s="350" t="s">
        <v>166</v>
      </c>
      <c r="X174" s="353">
        <f>AB163</f>
        <v>-6.377810069008766E-3</v>
      </c>
      <c r="Y174" s="352" t="s">
        <v>164</v>
      </c>
      <c r="Z174" s="347"/>
    </row>
    <row r="175" spans="1:58">
      <c r="V175" s="347"/>
      <c r="W175" s="350" t="s">
        <v>222</v>
      </c>
      <c r="X175" s="353">
        <f>AF163</f>
        <v>9.4109700532490001E-3</v>
      </c>
      <c r="Y175" s="352"/>
      <c r="Z175" s="347"/>
    </row>
    <row r="176" spans="1:58">
      <c r="V176" s="347"/>
      <c r="W176" s="350" t="s">
        <v>223</v>
      </c>
      <c r="X176" s="353">
        <f>+AG163</f>
        <v>2.2086970533135406E-3</v>
      </c>
      <c r="Y176" s="352"/>
      <c r="Z176" s="347"/>
    </row>
    <row r="177" spans="22:26">
      <c r="V177" s="347"/>
      <c r="W177" s="350" t="s">
        <v>300</v>
      </c>
      <c r="X177" s="353">
        <f>+AH163</f>
        <v>3.3370531566367621E-2</v>
      </c>
      <c r="Y177" s="352"/>
      <c r="Z177" s="347"/>
    </row>
    <row r="178" spans="22:26">
      <c r="V178" s="347"/>
      <c r="W178" s="350" t="s">
        <v>224</v>
      </c>
      <c r="X178" s="353">
        <f>+AI163</f>
        <v>7.9225002999290051E-4</v>
      </c>
      <c r="Y178" s="352"/>
      <c r="Z178" s="347"/>
    </row>
    <row r="179" spans="22:26">
      <c r="V179" s="347"/>
      <c r="W179" s="350" t="s">
        <v>157</v>
      </c>
      <c r="X179" s="353">
        <f>+AJ163</f>
        <v>0</v>
      </c>
      <c r="Y179" s="352"/>
      <c r="Z179" s="347"/>
    </row>
    <row r="180" spans="22:26">
      <c r="V180" s="347"/>
      <c r="W180" s="350" t="s">
        <v>159</v>
      </c>
      <c r="X180" s="353">
        <f>+AK163</f>
        <v>0</v>
      </c>
      <c r="Y180" s="352"/>
      <c r="Z180" s="347"/>
    </row>
    <row r="181" spans="22:26">
      <c r="V181" s="347"/>
      <c r="W181" s="350" t="s">
        <v>158</v>
      </c>
      <c r="X181" s="353">
        <f>+AL163</f>
        <v>0</v>
      </c>
      <c r="Y181" s="352"/>
      <c r="Z181" s="347"/>
    </row>
    <row r="182" spans="22:26">
      <c r="V182" s="347"/>
      <c r="W182" s="350" t="s">
        <v>151</v>
      </c>
      <c r="X182" s="353">
        <f>+AN163</f>
        <v>0</v>
      </c>
      <c r="Y182" s="352"/>
      <c r="Z182" s="347"/>
    </row>
    <row r="183" spans="22:26">
      <c r="V183" s="347"/>
      <c r="W183" s="350" t="s">
        <v>161</v>
      </c>
      <c r="X183" s="353">
        <f>+AO163</f>
        <v>4.9455607932890151E-3</v>
      </c>
      <c r="Y183" s="352"/>
      <c r="Z183" s="347"/>
    </row>
    <row r="184" spans="22:26">
      <c r="V184" s="347"/>
      <c r="W184" s="350" t="s">
        <v>152</v>
      </c>
      <c r="X184" s="353">
        <f>+AP163</f>
        <v>4.9695683699554662E-3</v>
      </c>
      <c r="Y184" s="352"/>
      <c r="Z184" s="347"/>
    </row>
    <row r="185" spans="22:26">
      <c r="V185" s="347"/>
      <c r="W185" s="350" t="s">
        <v>160</v>
      </c>
      <c r="X185" s="353">
        <f>+AQ163</f>
        <v>0</v>
      </c>
      <c r="Y185" s="352"/>
      <c r="Z185" s="347"/>
    </row>
    <row r="186" spans="22:26">
      <c r="V186" s="347"/>
      <c r="W186" s="350" t="s">
        <v>163</v>
      </c>
      <c r="X186" s="353">
        <f>+AS163</f>
        <v>1.7717591579841228E-2</v>
      </c>
      <c r="Y186" s="352"/>
      <c r="Z186" s="347"/>
    </row>
    <row r="187" spans="22:26">
      <c r="V187" s="347"/>
      <c r="W187" s="350" t="s">
        <v>301</v>
      </c>
      <c r="X187" s="353">
        <f>+AT163</f>
        <v>0</v>
      </c>
      <c r="Y187" s="352"/>
      <c r="Z187" s="347"/>
    </row>
    <row r="188" spans="22:26">
      <c r="V188" s="347"/>
      <c r="W188" s="350" t="s">
        <v>238</v>
      </c>
      <c r="X188" s="353">
        <f>+AU163</f>
        <v>0</v>
      </c>
      <c r="Y188" s="352"/>
      <c r="Z188" s="347"/>
    </row>
    <row r="189" spans="22:26">
      <c r="V189" s="347"/>
      <c r="W189" s="350" t="s">
        <v>307</v>
      </c>
      <c r="X189" s="353">
        <f>+AW163</f>
        <v>1.0419288273239962E-2</v>
      </c>
      <c r="Y189" s="352"/>
      <c r="Z189" s="347"/>
    </row>
    <row r="190" spans="22:26">
      <c r="V190" s="347"/>
      <c r="W190" s="350" t="s">
        <v>308</v>
      </c>
      <c r="X190" s="353">
        <f>+AV163</f>
        <v>1.1283561033232218E-3</v>
      </c>
      <c r="Y190" s="352"/>
      <c r="Z190" s="347"/>
    </row>
    <row r="191" spans="22:26">
      <c r="V191" s="347"/>
      <c r="W191" s="347" t="s">
        <v>162</v>
      </c>
      <c r="X191" s="353">
        <f>+AX163+AY163</f>
        <v>1.0515318579905768E-2</v>
      </c>
      <c r="Y191" s="353"/>
      <c r="Z191" s="347"/>
    </row>
    <row r="192" spans="22:26">
      <c r="V192" s="347"/>
      <c r="W192" s="347" t="s">
        <v>306</v>
      </c>
      <c r="X192" s="353">
        <f>+AZ163</f>
        <v>0</v>
      </c>
      <c r="Y192" s="347"/>
      <c r="Z192" s="347"/>
    </row>
    <row r="193" spans="22:26">
      <c r="V193" s="347"/>
      <c r="W193" s="347"/>
      <c r="X193" s="519">
        <f>SUM(X170:X192)</f>
        <v>0.17500792931591555</v>
      </c>
      <c r="Y193" s="347"/>
      <c r="Z193" s="347"/>
    </row>
    <row r="196" spans="22:26">
      <c r="X196" s="88">
        <f>+X193+X162</f>
        <v>0.99999999999999989</v>
      </c>
    </row>
  </sheetData>
  <mergeCells count="50">
    <mergeCell ref="AJ4:AJ5"/>
    <mergeCell ref="V3:V5"/>
    <mergeCell ref="U3:U5"/>
    <mergeCell ref="AV3:AW3"/>
    <mergeCell ref="AX3:AY3"/>
    <mergeCell ref="AN3:AR3"/>
    <mergeCell ref="AS3:AS5"/>
    <mergeCell ref="AQ4:AQ5"/>
    <mergeCell ref="AZ3:AZ5"/>
    <mergeCell ref="O163:P163"/>
    <mergeCell ref="BA3:BA5"/>
    <mergeCell ref="AT3:AU4"/>
    <mergeCell ref="P3:P5"/>
    <mergeCell ref="AK4:AK5"/>
    <mergeCell ref="AA3:AA5"/>
    <mergeCell ref="AL4:AL5"/>
    <mergeCell ref="AM3:AM5"/>
    <mergeCell ref="Q3:Q5"/>
    <mergeCell ref="AC3:AC5"/>
    <mergeCell ref="AE3:AE5"/>
    <mergeCell ref="AD3:AD5"/>
    <mergeCell ref="AF3:AL3"/>
    <mergeCell ref="AO4:AO5"/>
    <mergeCell ref="AR4:AR5"/>
    <mergeCell ref="A3:A5"/>
    <mergeCell ref="B3:B5"/>
    <mergeCell ref="D3:D5"/>
    <mergeCell ref="E3:E5"/>
    <mergeCell ref="F3:F5"/>
    <mergeCell ref="G3:K4"/>
    <mergeCell ref="C3:C5"/>
    <mergeCell ref="L3:N4"/>
    <mergeCell ref="O3:O5"/>
    <mergeCell ref="R3:R5"/>
    <mergeCell ref="BD3:BD5"/>
    <mergeCell ref="BE3:BE5"/>
    <mergeCell ref="BF3:BF5"/>
    <mergeCell ref="S3:S5"/>
    <mergeCell ref="T3:T5"/>
    <mergeCell ref="AF4:AH4"/>
    <mergeCell ref="W3:W5"/>
    <mergeCell ref="X3:X5"/>
    <mergeCell ref="Z3:Z5"/>
    <mergeCell ref="Y3:Y5"/>
    <mergeCell ref="AI4:AI5"/>
    <mergeCell ref="AB3:AB5"/>
    <mergeCell ref="BB3:BB5"/>
    <mergeCell ref="BC3:BC5"/>
    <mergeCell ref="AN4:AN5"/>
    <mergeCell ref="AP4:AP5"/>
  </mergeCells>
  <phoneticPr fontId="32" type="noConversion"/>
  <conditionalFormatting sqref="B6:C6 B8:C8 C163 B10:C10 C161 B161:B163">
    <cfRule type="cellIs" dxfId="1485" priority="1895" stopIfTrue="1" operator="equal">
      <formula>"Towel"</formula>
    </cfRule>
    <cfRule type="cellIs" dxfId="1484" priority="1896" stopIfTrue="1" operator="equal">
      <formula>"Napkin Hs"</formula>
    </cfRule>
  </conditionalFormatting>
  <conditionalFormatting sqref="B7:C7">
    <cfRule type="cellIs" dxfId="1483" priority="1435" stopIfTrue="1" operator="equal">
      <formula>"Towel"</formula>
    </cfRule>
    <cfRule type="cellIs" dxfId="1482" priority="1436" stopIfTrue="1" operator="equal">
      <formula>"Napkin Hs"</formula>
    </cfRule>
  </conditionalFormatting>
  <conditionalFormatting sqref="C73">
    <cfRule type="cellIs" dxfId="1481" priority="1705" stopIfTrue="1" operator="equal">
      <formula>"Towel"</formula>
    </cfRule>
    <cfRule type="cellIs" dxfId="1480" priority="1706" stopIfTrue="1" operator="equal">
      <formula>"Napkin Hs"</formula>
    </cfRule>
  </conditionalFormatting>
  <conditionalFormatting sqref="B73:C73">
    <cfRule type="cellIs" dxfId="1479" priority="1713" stopIfTrue="1" operator="equal">
      <formula>"Towel"</formula>
    </cfRule>
    <cfRule type="cellIs" dxfId="1478" priority="1714" stopIfTrue="1" operator="equal">
      <formula>"Napkin Hs"</formula>
    </cfRule>
  </conditionalFormatting>
  <conditionalFormatting sqref="C149">
    <cfRule type="cellIs" dxfId="1477" priority="1485" stopIfTrue="1" operator="equal">
      <formula>"Towel"</formula>
    </cfRule>
    <cfRule type="cellIs" dxfId="1476" priority="1486" stopIfTrue="1" operator="equal">
      <formula>"Napkin Hs"</formula>
    </cfRule>
  </conditionalFormatting>
  <conditionalFormatting sqref="B149:C149">
    <cfRule type="cellIs" dxfId="1475" priority="1483" stopIfTrue="1" operator="equal">
      <formula>"Towel"</formula>
    </cfRule>
    <cfRule type="cellIs" dxfId="1474" priority="1484" stopIfTrue="1" operator="equal">
      <formula>"Napkin Hs"</formula>
    </cfRule>
  </conditionalFormatting>
  <conditionalFormatting sqref="B160:C160">
    <cfRule type="cellIs" dxfId="1473" priority="1465" stopIfTrue="1" operator="equal">
      <formula>"Towel"</formula>
    </cfRule>
    <cfRule type="cellIs" dxfId="1472" priority="1466" stopIfTrue="1" operator="equal">
      <formula>"Napkin Hs"</formula>
    </cfRule>
  </conditionalFormatting>
  <conditionalFormatting sqref="C6 C8 C10">
    <cfRule type="cellIs" dxfId="1471" priority="1894" stopIfTrue="1" operator="equal">
      <formula>"Napkin Hs"</formula>
    </cfRule>
  </conditionalFormatting>
  <conditionalFormatting sqref="C6:C8 C10">
    <cfRule type="cellIs" dxfId="1470" priority="1433" stopIfTrue="1" operator="equal">
      <formula>"Towel"</formula>
    </cfRule>
    <cfRule type="cellIs" dxfId="1469" priority="1434" stopIfTrue="1" operator="equal">
      <formula>"Napkin Hs"</formula>
    </cfRule>
  </conditionalFormatting>
  <conditionalFormatting sqref="C7">
    <cfRule type="cellIs" dxfId="1468" priority="1431" stopIfTrue="1" operator="equal">
      <formula>"Towel"</formula>
    </cfRule>
    <cfRule type="cellIs" dxfId="1467" priority="1432" stopIfTrue="1" operator="equal">
      <formula>"Napkin Hs"</formula>
    </cfRule>
  </conditionalFormatting>
  <conditionalFormatting sqref="C6 C8 C10">
    <cfRule type="cellIs" dxfId="1466" priority="1893" stopIfTrue="1" operator="equal">
      <formula>"Towel"</formula>
    </cfRule>
  </conditionalFormatting>
  <conditionalFormatting sqref="C73">
    <cfRule type="cellIs" dxfId="1465" priority="1711" stopIfTrue="1" operator="equal">
      <formula>"Towel"</formula>
    </cfRule>
    <cfRule type="cellIs" dxfId="1464" priority="1712" stopIfTrue="1" operator="equal">
      <formula>"Napkin Hs"</formula>
    </cfRule>
  </conditionalFormatting>
  <conditionalFormatting sqref="C149">
    <cfRule type="cellIs" dxfId="1463" priority="1477" stopIfTrue="1" operator="equal">
      <formula>"Towel"</formula>
    </cfRule>
    <cfRule type="cellIs" dxfId="1462" priority="1478" stopIfTrue="1" operator="equal">
      <formula>"Napkin Hs"</formula>
    </cfRule>
  </conditionalFormatting>
  <conditionalFormatting sqref="C160">
    <cfRule type="cellIs" dxfId="1461" priority="1461" stopIfTrue="1" operator="equal">
      <formula>"Towel"</formula>
    </cfRule>
    <cfRule type="cellIs" dxfId="1460" priority="1462" stopIfTrue="1" operator="equal">
      <formula>"Napkin Hs"</formula>
    </cfRule>
  </conditionalFormatting>
  <conditionalFormatting sqref="C160">
    <cfRule type="cellIs" dxfId="1459" priority="1463" stopIfTrue="1" operator="equal">
      <formula>"Towel"</formula>
    </cfRule>
    <cfRule type="cellIs" dxfId="1458" priority="1464" stopIfTrue="1" operator="equal">
      <formula>"Napkin Hs"</formula>
    </cfRule>
  </conditionalFormatting>
  <conditionalFormatting sqref="B15:C15">
    <cfRule type="cellIs" dxfId="1457" priority="1417" stopIfTrue="1" operator="equal">
      <formula>"Towel"</formula>
    </cfRule>
    <cfRule type="cellIs" dxfId="1456" priority="1418" stopIfTrue="1" operator="equal">
      <formula>"Napkin Hs"</formula>
    </cfRule>
  </conditionalFormatting>
  <conditionalFormatting sqref="B9:C9">
    <cfRule type="cellIs" dxfId="1455" priority="1407" stopIfTrue="1" operator="equal">
      <formula>"Towel"</formula>
    </cfRule>
    <cfRule type="cellIs" dxfId="1454" priority="1408" stopIfTrue="1" operator="equal">
      <formula>"Napkin Hs"</formula>
    </cfRule>
  </conditionalFormatting>
  <conditionalFormatting sqref="C15">
    <cfRule type="cellIs" dxfId="1453" priority="1416" stopIfTrue="1" operator="equal">
      <formula>"Napkin Hs"</formula>
    </cfRule>
  </conditionalFormatting>
  <conditionalFormatting sqref="C15">
    <cfRule type="cellIs" dxfId="1452" priority="1411" stopIfTrue="1" operator="equal">
      <formula>"Towel"</formula>
    </cfRule>
    <cfRule type="cellIs" dxfId="1451" priority="1412" stopIfTrue="1" operator="equal">
      <formula>"Napkin Hs"</formula>
    </cfRule>
  </conditionalFormatting>
  <conditionalFormatting sqref="C9">
    <cfRule type="cellIs" dxfId="1450" priority="1403" stopIfTrue="1" operator="equal">
      <formula>"Towel"</formula>
    </cfRule>
    <cfRule type="cellIs" dxfId="1449" priority="1404" stopIfTrue="1" operator="equal">
      <formula>"Napkin Hs"</formula>
    </cfRule>
  </conditionalFormatting>
  <conditionalFormatting sqref="C15">
    <cfRule type="cellIs" dxfId="1448" priority="1415" stopIfTrue="1" operator="equal">
      <formula>"Towel"</formula>
    </cfRule>
  </conditionalFormatting>
  <conditionalFormatting sqref="C9">
    <cfRule type="cellIs" dxfId="1447" priority="1406" stopIfTrue="1" operator="equal">
      <formula>"Napkin Hs"</formula>
    </cfRule>
  </conditionalFormatting>
  <conditionalFormatting sqref="C9">
    <cfRule type="cellIs" dxfId="1446" priority="1405" stopIfTrue="1" operator="equal">
      <formula>"Towel"</formula>
    </cfRule>
  </conditionalFormatting>
  <conditionalFormatting sqref="B40:C40">
    <cfRule type="cellIs" dxfId="1445" priority="1357" stopIfTrue="1" operator="equal">
      <formula>"Towel"</formula>
    </cfRule>
    <cfRule type="cellIs" dxfId="1444" priority="1358" stopIfTrue="1" operator="equal">
      <formula>"Napkin Hs"</formula>
    </cfRule>
  </conditionalFormatting>
  <conditionalFormatting sqref="C40">
    <cfRule type="cellIs" dxfId="1443" priority="1353" stopIfTrue="1" operator="equal">
      <formula>"Towel"</formula>
    </cfRule>
    <cfRule type="cellIs" dxfId="1442" priority="1354" stopIfTrue="1" operator="equal">
      <formula>"Napkin Hs"</formula>
    </cfRule>
  </conditionalFormatting>
  <conditionalFormatting sqref="C40">
    <cfRule type="cellIs" dxfId="1441" priority="1355" stopIfTrue="1" operator="equal">
      <formula>"Towel"</formula>
    </cfRule>
    <cfRule type="cellIs" dxfId="1440" priority="1356" stopIfTrue="1" operator="equal">
      <formula>"Napkin Hs"</formula>
    </cfRule>
  </conditionalFormatting>
  <conditionalFormatting sqref="B45:C45">
    <cfRule type="cellIs" dxfId="1439" priority="1335" stopIfTrue="1" operator="equal">
      <formula>"Towel"</formula>
    </cfRule>
    <cfRule type="cellIs" dxfId="1438" priority="1336" stopIfTrue="1" operator="equal">
      <formula>"Napkin Hs"</formula>
    </cfRule>
  </conditionalFormatting>
  <conditionalFormatting sqref="C45">
    <cfRule type="cellIs" dxfId="1437" priority="1334" stopIfTrue="1" operator="equal">
      <formula>"Napkin Hs"</formula>
    </cfRule>
  </conditionalFormatting>
  <conditionalFormatting sqref="C45">
    <cfRule type="cellIs" dxfId="1436" priority="1331" stopIfTrue="1" operator="equal">
      <formula>"Towel"</formula>
    </cfRule>
    <cfRule type="cellIs" dxfId="1435" priority="1332" stopIfTrue="1" operator="equal">
      <formula>"Napkin Hs"</formula>
    </cfRule>
  </conditionalFormatting>
  <conditionalFormatting sqref="C45">
    <cfRule type="cellIs" dxfId="1434" priority="1333" stopIfTrue="1" operator="equal">
      <formula>"Towel"</formula>
    </cfRule>
  </conditionalFormatting>
  <conditionalFormatting sqref="B53:C53">
    <cfRule type="cellIs" dxfId="1433" priority="1329" stopIfTrue="1" operator="equal">
      <formula>"Towel"</formula>
    </cfRule>
    <cfRule type="cellIs" dxfId="1432" priority="1330" stopIfTrue="1" operator="equal">
      <formula>"Napkin Hs"</formula>
    </cfRule>
  </conditionalFormatting>
  <conditionalFormatting sqref="C53">
    <cfRule type="cellIs" dxfId="1431" priority="1328" stopIfTrue="1" operator="equal">
      <formula>"Napkin Hs"</formula>
    </cfRule>
  </conditionalFormatting>
  <conditionalFormatting sqref="C53">
    <cfRule type="cellIs" dxfId="1430" priority="1323" stopIfTrue="1" operator="equal">
      <formula>"Towel"</formula>
    </cfRule>
    <cfRule type="cellIs" dxfId="1429" priority="1324" stopIfTrue="1" operator="equal">
      <formula>"Napkin Hs"</formula>
    </cfRule>
  </conditionalFormatting>
  <conditionalFormatting sqref="C53">
    <cfRule type="cellIs" dxfId="1428" priority="1327" stopIfTrue="1" operator="equal">
      <formula>"Towel"</formula>
    </cfRule>
  </conditionalFormatting>
  <conditionalFormatting sqref="B58:C58">
    <cfRule type="cellIs" dxfId="1427" priority="1313" stopIfTrue="1" operator="equal">
      <formula>"Towel"</formula>
    </cfRule>
    <cfRule type="cellIs" dxfId="1426" priority="1314" stopIfTrue="1" operator="equal">
      <formula>"Napkin Hs"</formula>
    </cfRule>
  </conditionalFormatting>
  <conditionalFormatting sqref="C58">
    <cfRule type="cellIs" dxfId="1425" priority="1312" stopIfTrue="1" operator="equal">
      <formula>"Napkin Hs"</formula>
    </cfRule>
  </conditionalFormatting>
  <conditionalFormatting sqref="C58">
    <cfRule type="cellIs" dxfId="1424" priority="1307" stopIfTrue="1" operator="equal">
      <formula>"Towel"</formula>
    </cfRule>
    <cfRule type="cellIs" dxfId="1423" priority="1308" stopIfTrue="1" operator="equal">
      <formula>"Napkin Hs"</formula>
    </cfRule>
  </conditionalFormatting>
  <conditionalFormatting sqref="C58">
    <cfRule type="cellIs" dxfId="1422" priority="1311" stopIfTrue="1" operator="equal">
      <formula>"Towel"</formula>
    </cfRule>
  </conditionalFormatting>
  <conditionalFormatting sqref="B63:C63">
    <cfRule type="cellIs" dxfId="1421" priority="1297" stopIfTrue="1" operator="equal">
      <formula>"Towel"</formula>
    </cfRule>
    <cfRule type="cellIs" dxfId="1420" priority="1298" stopIfTrue="1" operator="equal">
      <formula>"Napkin Hs"</formula>
    </cfRule>
  </conditionalFormatting>
  <conditionalFormatting sqref="C63">
    <cfRule type="cellIs" dxfId="1419" priority="1296" stopIfTrue="1" operator="equal">
      <formula>"Napkin Hs"</formula>
    </cfRule>
  </conditionalFormatting>
  <conditionalFormatting sqref="C63">
    <cfRule type="cellIs" dxfId="1418" priority="1291" stopIfTrue="1" operator="equal">
      <formula>"Towel"</formula>
    </cfRule>
    <cfRule type="cellIs" dxfId="1417" priority="1292" stopIfTrue="1" operator="equal">
      <formula>"Napkin Hs"</formula>
    </cfRule>
  </conditionalFormatting>
  <conditionalFormatting sqref="C63">
    <cfRule type="cellIs" dxfId="1416" priority="1295" stopIfTrue="1" operator="equal">
      <formula>"Towel"</formula>
    </cfRule>
  </conditionalFormatting>
  <conditionalFormatting sqref="C68">
    <cfRule type="cellIs" dxfId="1415" priority="1271" stopIfTrue="1" operator="equal">
      <formula>"Towel"</formula>
    </cfRule>
    <cfRule type="cellIs" dxfId="1414" priority="1272" stopIfTrue="1" operator="equal">
      <formula>"Napkin Hs"</formula>
    </cfRule>
  </conditionalFormatting>
  <conditionalFormatting sqref="C68">
    <cfRule type="cellIs" dxfId="1413" priority="1267" stopIfTrue="1" operator="equal">
      <formula>"Towel"</formula>
    </cfRule>
    <cfRule type="cellIs" dxfId="1412" priority="1268" stopIfTrue="1" operator="equal">
      <formula>"Napkin Hs"</formula>
    </cfRule>
  </conditionalFormatting>
  <conditionalFormatting sqref="C68">
    <cfRule type="cellIs" dxfId="1411" priority="1269" stopIfTrue="1" operator="equal">
      <formula>"Towel"</formula>
    </cfRule>
    <cfRule type="cellIs" dxfId="1410" priority="1270" stopIfTrue="1" operator="equal">
      <formula>"Napkin Hs"</formula>
    </cfRule>
  </conditionalFormatting>
  <conditionalFormatting sqref="B68">
    <cfRule type="cellIs" dxfId="1409" priority="1259" stopIfTrue="1" operator="equal">
      <formula>"Towel"</formula>
    </cfRule>
    <cfRule type="cellIs" dxfId="1408" priority="1260" stopIfTrue="1" operator="equal">
      <formula>"Napkin Hs"</formula>
    </cfRule>
  </conditionalFormatting>
  <conditionalFormatting sqref="B74:C74">
    <cfRule type="cellIs" dxfId="1407" priority="1243" stopIfTrue="1" operator="equal">
      <formula>"Towel"</formula>
    </cfRule>
    <cfRule type="cellIs" dxfId="1406" priority="1244" stopIfTrue="1" operator="equal">
      <formula>"Napkin Hs"</formula>
    </cfRule>
  </conditionalFormatting>
  <conditionalFormatting sqref="C74">
    <cfRule type="cellIs" dxfId="1405" priority="1239" stopIfTrue="1" operator="equal">
      <formula>"Towel"</formula>
    </cfRule>
    <cfRule type="cellIs" dxfId="1404" priority="1240" stopIfTrue="1" operator="equal">
      <formula>"Napkin Hs"</formula>
    </cfRule>
  </conditionalFormatting>
  <conditionalFormatting sqref="C74">
    <cfRule type="cellIs" dxfId="1403" priority="1242" stopIfTrue="1" operator="equal">
      <formula>"Napkin Hs"</formula>
    </cfRule>
  </conditionalFormatting>
  <conditionalFormatting sqref="C74">
    <cfRule type="cellIs" dxfId="1402" priority="1241" stopIfTrue="1" operator="equal">
      <formula>"Towel"</formula>
    </cfRule>
  </conditionalFormatting>
  <conditionalFormatting sqref="B79:C79">
    <cfRule type="cellIs" dxfId="1401" priority="1213" stopIfTrue="1" operator="equal">
      <formula>"Towel"</formula>
    </cfRule>
    <cfRule type="cellIs" dxfId="1400" priority="1214" stopIfTrue="1" operator="equal">
      <formula>"Napkin Hs"</formula>
    </cfRule>
  </conditionalFormatting>
  <conditionalFormatting sqref="C79">
    <cfRule type="cellIs" dxfId="1399" priority="1212" stopIfTrue="1" operator="equal">
      <formula>"Napkin Hs"</formula>
    </cfRule>
  </conditionalFormatting>
  <conditionalFormatting sqref="C79">
    <cfRule type="cellIs" dxfId="1398" priority="1209" stopIfTrue="1" operator="equal">
      <formula>"Towel"</formula>
    </cfRule>
    <cfRule type="cellIs" dxfId="1397" priority="1210" stopIfTrue="1" operator="equal">
      <formula>"Napkin Hs"</formula>
    </cfRule>
  </conditionalFormatting>
  <conditionalFormatting sqref="C79">
    <cfRule type="cellIs" dxfId="1396" priority="1211" stopIfTrue="1" operator="equal">
      <formula>"Towel"</formula>
    </cfRule>
  </conditionalFormatting>
  <conditionalFormatting sqref="B84:C84">
    <cfRule type="cellIs" dxfId="1395" priority="1177" stopIfTrue="1" operator="equal">
      <formula>"Towel"</formula>
    </cfRule>
    <cfRule type="cellIs" dxfId="1394" priority="1178" stopIfTrue="1" operator="equal">
      <formula>"Napkin Hs"</formula>
    </cfRule>
  </conditionalFormatting>
  <conditionalFormatting sqref="C84">
    <cfRule type="cellIs" dxfId="1393" priority="1173" stopIfTrue="1" operator="equal">
      <formula>"Towel"</formula>
    </cfRule>
    <cfRule type="cellIs" dxfId="1392" priority="1174" stopIfTrue="1" operator="equal">
      <formula>"Napkin Hs"</formula>
    </cfRule>
  </conditionalFormatting>
  <conditionalFormatting sqref="C84">
    <cfRule type="cellIs" dxfId="1391" priority="1176" stopIfTrue="1" operator="equal">
      <formula>"Napkin Hs"</formula>
    </cfRule>
  </conditionalFormatting>
  <conditionalFormatting sqref="C84">
    <cfRule type="cellIs" dxfId="1390" priority="1175" stopIfTrue="1" operator="equal">
      <formula>"Towel"</formula>
    </cfRule>
  </conditionalFormatting>
  <conditionalFormatting sqref="B89:C89">
    <cfRule type="cellIs" dxfId="1389" priority="1159" stopIfTrue="1" operator="equal">
      <formula>"Towel"</formula>
    </cfRule>
    <cfRule type="cellIs" dxfId="1388" priority="1160" stopIfTrue="1" operator="equal">
      <formula>"Napkin Hs"</formula>
    </cfRule>
  </conditionalFormatting>
  <conditionalFormatting sqref="C89">
    <cfRule type="cellIs" dxfId="1387" priority="1155" stopIfTrue="1" operator="equal">
      <formula>"Towel"</formula>
    </cfRule>
    <cfRule type="cellIs" dxfId="1386" priority="1156" stopIfTrue="1" operator="equal">
      <formula>"Napkin Hs"</formula>
    </cfRule>
  </conditionalFormatting>
  <conditionalFormatting sqref="C89">
    <cfRule type="cellIs" dxfId="1385" priority="1158" stopIfTrue="1" operator="equal">
      <formula>"Napkin Hs"</formula>
    </cfRule>
  </conditionalFormatting>
  <conditionalFormatting sqref="C89">
    <cfRule type="cellIs" dxfId="1384" priority="1157" stopIfTrue="1" operator="equal">
      <formula>"Towel"</formula>
    </cfRule>
  </conditionalFormatting>
  <conditionalFormatting sqref="B94:C94">
    <cfRule type="cellIs" dxfId="1383" priority="1135" stopIfTrue="1" operator="equal">
      <formula>"Towel"</formula>
    </cfRule>
    <cfRule type="cellIs" dxfId="1382" priority="1136" stopIfTrue="1" operator="equal">
      <formula>"Napkin Hs"</formula>
    </cfRule>
  </conditionalFormatting>
  <conditionalFormatting sqref="C94">
    <cfRule type="cellIs" dxfId="1381" priority="1134" stopIfTrue="1" operator="equal">
      <formula>"Napkin Hs"</formula>
    </cfRule>
  </conditionalFormatting>
  <conditionalFormatting sqref="C94">
    <cfRule type="cellIs" dxfId="1380" priority="1131" stopIfTrue="1" operator="equal">
      <formula>"Towel"</formula>
    </cfRule>
    <cfRule type="cellIs" dxfId="1379" priority="1132" stopIfTrue="1" operator="equal">
      <formula>"Napkin Hs"</formula>
    </cfRule>
  </conditionalFormatting>
  <conditionalFormatting sqref="C94">
    <cfRule type="cellIs" dxfId="1378" priority="1133" stopIfTrue="1" operator="equal">
      <formula>"Towel"</formula>
    </cfRule>
  </conditionalFormatting>
  <conditionalFormatting sqref="B99:C99">
    <cfRule type="cellIs" dxfId="1377" priority="1117" stopIfTrue="1" operator="equal">
      <formula>"Towel"</formula>
    </cfRule>
    <cfRule type="cellIs" dxfId="1376" priority="1118" stopIfTrue="1" operator="equal">
      <formula>"Napkin Hs"</formula>
    </cfRule>
  </conditionalFormatting>
  <conditionalFormatting sqref="C99">
    <cfRule type="cellIs" dxfId="1375" priority="1116" stopIfTrue="1" operator="equal">
      <formula>"Napkin Hs"</formula>
    </cfRule>
  </conditionalFormatting>
  <conditionalFormatting sqref="C99">
    <cfRule type="cellIs" dxfId="1374" priority="1113" stopIfTrue="1" operator="equal">
      <formula>"Towel"</formula>
    </cfRule>
    <cfRule type="cellIs" dxfId="1373" priority="1114" stopIfTrue="1" operator="equal">
      <formula>"Napkin Hs"</formula>
    </cfRule>
  </conditionalFormatting>
  <conditionalFormatting sqref="C99">
    <cfRule type="cellIs" dxfId="1372" priority="1115" stopIfTrue="1" operator="equal">
      <formula>"Towel"</formula>
    </cfRule>
  </conditionalFormatting>
  <conditionalFormatting sqref="B104:C104">
    <cfRule type="cellIs" dxfId="1371" priority="1099" stopIfTrue="1" operator="equal">
      <formula>"Towel"</formula>
    </cfRule>
    <cfRule type="cellIs" dxfId="1370" priority="1100" stopIfTrue="1" operator="equal">
      <formula>"Napkin Hs"</formula>
    </cfRule>
  </conditionalFormatting>
  <conditionalFormatting sqref="C104">
    <cfRule type="cellIs" dxfId="1369" priority="1098" stopIfTrue="1" operator="equal">
      <formula>"Napkin Hs"</formula>
    </cfRule>
  </conditionalFormatting>
  <conditionalFormatting sqref="C104">
    <cfRule type="cellIs" dxfId="1368" priority="1095" stopIfTrue="1" operator="equal">
      <formula>"Towel"</formula>
    </cfRule>
    <cfRule type="cellIs" dxfId="1367" priority="1096" stopIfTrue="1" operator="equal">
      <formula>"Napkin Hs"</formula>
    </cfRule>
  </conditionalFormatting>
  <conditionalFormatting sqref="C104">
    <cfRule type="cellIs" dxfId="1366" priority="1097" stopIfTrue="1" operator="equal">
      <formula>"Towel"</formula>
    </cfRule>
  </conditionalFormatting>
  <conditionalFormatting sqref="B109:C109">
    <cfRule type="cellIs" dxfId="1365" priority="1081" stopIfTrue="1" operator="equal">
      <formula>"Towel"</formula>
    </cfRule>
    <cfRule type="cellIs" dxfId="1364" priority="1082" stopIfTrue="1" operator="equal">
      <formula>"Napkin Hs"</formula>
    </cfRule>
  </conditionalFormatting>
  <conditionalFormatting sqref="C109">
    <cfRule type="cellIs" dxfId="1363" priority="1080" stopIfTrue="1" operator="equal">
      <formula>"Napkin Hs"</formula>
    </cfRule>
  </conditionalFormatting>
  <conditionalFormatting sqref="C109">
    <cfRule type="cellIs" dxfId="1362" priority="1077" stopIfTrue="1" operator="equal">
      <formula>"Towel"</formula>
    </cfRule>
    <cfRule type="cellIs" dxfId="1361" priority="1078" stopIfTrue="1" operator="equal">
      <formula>"Napkin Hs"</formula>
    </cfRule>
  </conditionalFormatting>
  <conditionalFormatting sqref="C109">
    <cfRule type="cellIs" dxfId="1360" priority="1079" stopIfTrue="1" operator="equal">
      <formula>"Towel"</formula>
    </cfRule>
  </conditionalFormatting>
  <conditionalFormatting sqref="B114:C114">
    <cfRule type="cellIs" dxfId="1359" priority="1057" stopIfTrue="1" operator="equal">
      <formula>"Towel"</formula>
    </cfRule>
    <cfRule type="cellIs" dxfId="1358" priority="1058" stopIfTrue="1" operator="equal">
      <formula>"Napkin Hs"</formula>
    </cfRule>
  </conditionalFormatting>
  <conditionalFormatting sqref="C114">
    <cfRule type="cellIs" dxfId="1357" priority="1056" stopIfTrue="1" operator="equal">
      <formula>"Napkin Hs"</formula>
    </cfRule>
  </conditionalFormatting>
  <conditionalFormatting sqref="C114">
    <cfRule type="cellIs" dxfId="1356" priority="1053" stopIfTrue="1" operator="equal">
      <formula>"Towel"</formula>
    </cfRule>
    <cfRule type="cellIs" dxfId="1355" priority="1054" stopIfTrue="1" operator="equal">
      <formula>"Napkin Hs"</formula>
    </cfRule>
  </conditionalFormatting>
  <conditionalFormatting sqref="C114">
    <cfRule type="cellIs" dxfId="1354" priority="1055" stopIfTrue="1" operator="equal">
      <formula>"Towel"</formula>
    </cfRule>
  </conditionalFormatting>
  <conditionalFormatting sqref="B119:C119">
    <cfRule type="cellIs" dxfId="1353" priority="1039" stopIfTrue="1" operator="equal">
      <formula>"Towel"</formula>
    </cfRule>
    <cfRule type="cellIs" dxfId="1352" priority="1040" stopIfTrue="1" operator="equal">
      <formula>"Napkin Hs"</formula>
    </cfRule>
  </conditionalFormatting>
  <conditionalFormatting sqref="C119">
    <cfRule type="cellIs" dxfId="1351" priority="1038" stopIfTrue="1" operator="equal">
      <formula>"Napkin Hs"</formula>
    </cfRule>
  </conditionalFormatting>
  <conditionalFormatting sqref="C119">
    <cfRule type="cellIs" dxfId="1350" priority="1035" stopIfTrue="1" operator="equal">
      <formula>"Towel"</formula>
    </cfRule>
    <cfRule type="cellIs" dxfId="1349" priority="1036" stopIfTrue="1" operator="equal">
      <formula>"Napkin Hs"</formula>
    </cfRule>
  </conditionalFormatting>
  <conditionalFormatting sqref="C119">
    <cfRule type="cellIs" dxfId="1348" priority="1037" stopIfTrue="1" operator="equal">
      <formula>"Towel"</formula>
    </cfRule>
  </conditionalFormatting>
  <conditionalFormatting sqref="B124:C124">
    <cfRule type="cellIs" dxfId="1347" priority="1021" stopIfTrue="1" operator="equal">
      <formula>"Towel"</formula>
    </cfRule>
    <cfRule type="cellIs" dxfId="1346" priority="1022" stopIfTrue="1" operator="equal">
      <formula>"Napkin Hs"</formula>
    </cfRule>
  </conditionalFormatting>
  <conditionalFormatting sqref="C124">
    <cfRule type="cellIs" dxfId="1345" priority="1020" stopIfTrue="1" operator="equal">
      <formula>"Napkin Hs"</formula>
    </cfRule>
  </conditionalFormatting>
  <conditionalFormatting sqref="C124">
    <cfRule type="cellIs" dxfId="1344" priority="1017" stopIfTrue="1" operator="equal">
      <formula>"Towel"</formula>
    </cfRule>
    <cfRule type="cellIs" dxfId="1343" priority="1018" stopIfTrue="1" operator="equal">
      <formula>"Napkin Hs"</formula>
    </cfRule>
  </conditionalFormatting>
  <conditionalFormatting sqref="C124">
    <cfRule type="cellIs" dxfId="1342" priority="1019" stopIfTrue="1" operator="equal">
      <formula>"Towel"</formula>
    </cfRule>
  </conditionalFormatting>
  <conditionalFormatting sqref="B134:C134">
    <cfRule type="cellIs" dxfId="1341" priority="973" stopIfTrue="1" operator="equal">
      <formula>"Towel"</formula>
    </cfRule>
    <cfRule type="cellIs" dxfId="1340" priority="974" stopIfTrue="1" operator="equal">
      <formula>"Napkin Hs"</formula>
    </cfRule>
  </conditionalFormatting>
  <conditionalFormatting sqref="C134">
    <cfRule type="cellIs" dxfId="1339" priority="969" stopIfTrue="1" operator="equal">
      <formula>"Towel"</formula>
    </cfRule>
    <cfRule type="cellIs" dxfId="1338" priority="970" stopIfTrue="1" operator="equal">
      <formula>"Napkin Hs"</formula>
    </cfRule>
  </conditionalFormatting>
  <conditionalFormatting sqref="C134">
    <cfRule type="cellIs" dxfId="1337" priority="972" stopIfTrue="1" operator="equal">
      <formula>"Napkin Hs"</formula>
    </cfRule>
  </conditionalFormatting>
  <conditionalFormatting sqref="C134">
    <cfRule type="cellIs" dxfId="1336" priority="971" stopIfTrue="1" operator="equal">
      <formula>"Towel"</formula>
    </cfRule>
  </conditionalFormatting>
  <conditionalFormatting sqref="B139:C139">
    <cfRule type="cellIs" dxfId="1335" priority="949" stopIfTrue="1" operator="equal">
      <formula>"Towel"</formula>
    </cfRule>
    <cfRule type="cellIs" dxfId="1334" priority="950" stopIfTrue="1" operator="equal">
      <formula>"Napkin Hs"</formula>
    </cfRule>
  </conditionalFormatting>
  <conditionalFormatting sqref="C139">
    <cfRule type="cellIs" dxfId="1333" priority="948" stopIfTrue="1" operator="equal">
      <formula>"Napkin Hs"</formula>
    </cfRule>
  </conditionalFormatting>
  <conditionalFormatting sqref="C139">
    <cfRule type="cellIs" dxfId="1332" priority="945" stopIfTrue="1" operator="equal">
      <formula>"Towel"</formula>
    </cfRule>
    <cfRule type="cellIs" dxfId="1331" priority="946" stopIfTrue="1" operator="equal">
      <formula>"Napkin Hs"</formula>
    </cfRule>
  </conditionalFormatting>
  <conditionalFormatting sqref="C139">
    <cfRule type="cellIs" dxfId="1330" priority="947" stopIfTrue="1" operator="equal">
      <formula>"Towel"</formula>
    </cfRule>
  </conditionalFormatting>
  <conditionalFormatting sqref="C155">
    <cfRule type="cellIs" dxfId="1329" priority="879" stopIfTrue="1" operator="equal">
      <formula>"Towel"</formula>
    </cfRule>
    <cfRule type="cellIs" dxfId="1328" priority="880" stopIfTrue="1" operator="equal">
      <formula>"Napkin Hs"</formula>
    </cfRule>
  </conditionalFormatting>
  <conditionalFormatting sqref="B155:C155">
    <cfRule type="cellIs" dxfId="1327" priority="883" stopIfTrue="1" operator="equal">
      <formula>"Towel"</formula>
    </cfRule>
    <cfRule type="cellIs" dxfId="1326" priority="884" stopIfTrue="1" operator="equal">
      <formula>"Napkin Hs"</formula>
    </cfRule>
  </conditionalFormatting>
  <conditionalFormatting sqref="C155">
    <cfRule type="cellIs" dxfId="1325" priority="882" stopIfTrue="1" operator="equal">
      <formula>"Napkin Hs"</formula>
    </cfRule>
  </conditionalFormatting>
  <conditionalFormatting sqref="C155">
    <cfRule type="cellIs" dxfId="1324" priority="881" stopIfTrue="1" operator="equal">
      <formula>"Towel"</formula>
    </cfRule>
  </conditionalFormatting>
  <conditionalFormatting sqref="B15:C15">
    <cfRule type="cellIs" dxfId="1323" priority="857" stopIfTrue="1" operator="equal">
      <formula>"Towel"</formula>
    </cfRule>
    <cfRule type="cellIs" dxfId="1322" priority="858" stopIfTrue="1" operator="equal">
      <formula>"Napkin Hs"</formula>
    </cfRule>
  </conditionalFormatting>
  <conditionalFormatting sqref="C15">
    <cfRule type="cellIs" dxfId="1321" priority="853" stopIfTrue="1" operator="equal">
      <formula>"Towel"</formula>
    </cfRule>
    <cfRule type="cellIs" dxfId="1320" priority="854" stopIfTrue="1" operator="equal">
      <formula>"Napkin Hs"</formula>
    </cfRule>
  </conditionalFormatting>
  <conditionalFormatting sqref="C15">
    <cfRule type="cellIs" dxfId="1319" priority="856" stopIfTrue="1" operator="equal">
      <formula>"Napkin Hs"</formula>
    </cfRule>
  </conditionalFormatting>
  <conditionalFormatting sqref="C15">
    <cfRule type="cellIs" dxfId="1318" priority="855" stopIfTrue="1" operator="equal">
      <formula>"Towel"</formula>
    </cfRule>
  </conditionalFormatting>
  <conditionalFormatting sqref="B20:C20">
    <cfRule type="cellIs" dxfId="1317" priority="851" stopIfTrue="1" operator="equal">
      <formula>"Towel"</formula>
    </cfRule>
    <cfRule type="cellIs" dxfId="1316" priority="852" stopIfTrue="1" operator="equal">
      <formula>"Napkin Hs"</formula>
    </cfRule>
  </conditionalFormatting>
  <conditionalFormatting sqref="C20">
    <cfRule type="cellIs" dxfId="1315" priority="850" stopIfTrue="1" operator="equal">
      <formula>"Napkin Hs"</formula>
    </cfRule>
  </conditionalFormatting>
  <conditionalFormatting sqref="C20">
    <cfRule type="cellIs" dxfId="1314" priority="845" stopIfTrue="1" operator="equal">
      <formula>"Towel"</formula>
    </cfRule>
    <cfRule type="cellIs" dxfId="1313" priority="846" stopIfTrue="1" operator="equal">
      <formula>"Napkin Hs"</formula>
    </cfRule>
  </conditionalFormatting>
  <conditionalFormatting sqref="C20">
    <cfRule type="cellIs" dxfId="1312" priority="849" stopIfTrue="1" operator="equal">
      <formula>"Towel"</formula>
    </cfRule>
  </conditionalFormatting>
  <conditionalFormatting sqref="B20:C20">
    <cfRule type="cellIs" dxfId="1311" priority="841" stopIfTrue="1" operator="equal">
      <formula>"Towel"</formula>
    </cfRule>
    <cfRule type="cellIs" dxfId="1310" priority="842" stopIfTrue="1" operator="equal">
      <formula>"Napkin Hs"</formula>
    </cfRule>
  </conditionalFormatting>
  <conditionalFormatting sqref="C20">
    <cfRule type="cellIs" dxfId="1309" priority="840" stopIfTrue="1" operator="equal">
      <formula>"Napkin Hs"</formula>
    </cfRule>
  </conditionalFormatting>
  <conditionalFormatting sqref="C20">
    <cfRule type="cellIs" dxfId="1308" priority="835" stopIfTrue="1" operator="equal">
      <formula>"Towel"</formula>
    </cfRule>
    <cfRule type="cellIs" dxfId="1307" priority="836" stopIfTrue="1" operator="equal">
      <formula>"Napkin Hs"</formula>
    </cfRule>
  </conditionalFormatting>
  <conditionalFormatting sqref="C20">
    <cfRule type="cellIs" dxfId="1306" priority="839" stopIfTrue="1" operator="equal">
      <formula>"Towel"</formula>
    </cfRule>
  </conditionalFormatting>
  <conditionalFormatting sqref="B25:C25">
    <cfRule type="cellIs" dxfId="1305" priority="825" stopIfTrue="1" operator="equal">
      <formula>"Towel"</formula>
    </cfRule>
    <cfRule type="cellIs" dxfId="1304" priority="826" stopIfTrue="1" operator="equal">
      <formula>"Napkin Hs"</formula>
    </cfRule>
  </conditionalFormatting>
  <conditionalFormatting sqref="C25">
    <cfRule type="cellIs" dxfId="1303" priority="824" stopIfTrue="1" operator="equal">
      <formula>"Napkin Hs"</formula>
    </cfRule>
  </conditionalFormatting>
  <conditionalFormatting sqref="C25">
    <cfRule type="cellIs" dxfId="1302" priority="819" stopIfTrue="1" operator="equal">
      <formula>"Towel"</formula>
    </cfRule>
    <cfRule type="cellIs" dxfId="1301" priority="820" stopIfTrue="1" operator="equal">
      <formula>"Napkin Hs"</formula>
    </cfRule>
  </conditionalFormatting>
  <conditionalFormatting sqref="C25">
    <cfRule type="cellIs" dxfId="1300" priority="823" stopIfTrue="1" operator="equal">
      <formula>"Towel"</formula>
    </cfRule>
  </conditionalFormatting>
  <conditionalFormatting sqref="B25:C25">
    <cfRule type="cellIs" dxfId="1299" priority="815" stopIfTrue="1" operator="equal">
      <formula>"Towel"</formula>
    </cfRule>
    <cfRule type="cellIs" dxfId="1298" priority="816" stopIfTrue="1" operator="equal">
      <formula>"Napkin Hs"</formula>
    </cfRule>
  </conditionalFormatting>
  <conditionalFormatting sqref="C25">
    <cfRule type="cellIs" dxfId="1297" priority="814" stopIfTrue="1" operator="equal">
      <formula>"Napkin Hs"</formula>
    </cfRule>
  </conditionalFormatting>
  <conditionalFormatting sqref="C25">
    <cfRule type="cellIs" dxfId="1296" priority="809" stopIfTrue="1" operator="equal">
      <formula>"Towel"</formula>
    </cfRule>
    <cfRule type="cellIs" dxfId="1295" priority="810" stopIfTrue="1" operator="equal">
      <formula>"Napkin Hs"</formula>
    </cfRule>
  </conditionalFormatting>
  <conditionalFormatting sqref="C25">
    <cfRule type="cellIs" dxfId="1294" priority="813" stopIfTrue="1" operator="equal">
      <formula>"Towel"</formula>
    </cfRule>
  </conditionalFormatting>
  <conditionalFormatting sqref="B30:C30">
    <cfRule type="cellIs" dxfId="1293" priority="781" stopIfTrue="1" operator="equal">
      <formula>"Towel"</formula>
    </cfRule>
    <cfRule type="cellIs" dxfId="1292" priority="782" stopIfTrue="1" operator="equal">
      <formula>"Napkin Hs"</formula>
    </cfRule>
  </conditionalFormatting>
  <conditionalFormatting sqref="C30">
    <cfRule type="cellIs" dxfId="1291" priority="780" stopIfTrue="1" operator="equal">
      <formula>"Napkin Hs"</formula>
    </cfRule>
  </conditionalFormatting>
  <conditionalFormatting sqref="C30">
    <cfRule type="cellIs" dxfId="1290" priority="775" stopIfTrue="1" operator="equal">
      <formula>"Towel"</formula>
    </cfRule>
    <cfRule type="cellIs" dxfId="1289" priority="776" stopIfTrue="1" operator="equal">
      <formula>"Napkin Hs"</formula>
    </cfRule>
  </conditionalFormatting>
  <conditionalFormatting sqref="C30">
    <cfRule type="cellIs" dxfId="1288" priority="779" stopIfTrue="1" operator="equal">
      <formula>"Towel"</formula>
    </cfRule>
  </conditionalFormatting>
  <conditionalFormatting sqref="B30:C30">
    <cfRule type="cellIs" dxfId="1287" priority="771" stopIfTrue="1" operator="equal">
      <formula>"Towel"</formula>
    </cfRule>
    <cfRule type="cellIs" dxfId="1286" priority="772" stopIfTrue="1" operator="equal">
      <formula>"Napkin Hs"</formula>
    </cfRule>
  </conditionalFormatting>
  <conditionalFormatting sqref="C30">
    <cfRule type="cellIs" dxfId="1285" priority="770" stopIfTrue="1" operator="equal">
      <formula>"Napkin Hs"</formula>
    </cfRule>
  </conditionalFormatting>
  <conditionalFormatting sqref="C30">
    <cfRule type="cellIs" dxfId="1284" priority="765" stopIfTrue="1" operator="equal">
      <formula>"Towel"</formula>
    </cfRule>
    <cfRule type="cellIs" dxfId="1283" priority="766" stopIfTrue="1" operator="equal">
      <formula>"Napkin Hs"</formula>
    </cfRule>
  </conditionalFormatting>
  <conditionalFormatting sqref="C30">
    <cfRule type="cellIs" dxfId="1282" priority="769" stopIfTrue="1" operator="equal">
      <formula>"Towel"</formula>
    </cfRule>
  </conditionalFormatting>
  <conditionalFormatting sqref="B11:C11 B13:C13">
    <cfRule type="cellIs" dxfId="1281" priority="681" stopIfTrue="1" operator="equal">
      <formula>"Towel"</formula>
    </cfRule>
    <cfRule type="cellIs" dxfId="1280" priority="682" stopIfTrue="1" operator="equal">
      <formula>"Napkin Hs"</formula>
    </cfRule>
  </conditionalFormatting>
  <conditionalFormatting sqref="B12:C12">
    <cfRule type="cellIs" dxfId="1279" priority="677" stopIfTrue="1" operator="equal">
      <formula>"Towel"</formula>
    </cfRule>
    <cfRule type="cellIs" dxfId="1278" priority="678" stopIfTrue="1" operator="equal">
      <formula>"Napkin Hs"</formula>
    </cfRule>
  </conditionalFormatting>
  <conditionalFormatting sqref="C11 C13">
    <cfRule type="cellIs" dxfId="1277" priority="680" stopIfTrue="1" operator="equal">
      <formula>"Napkin Hs"</formula>
    </cfRule>
  </conditionalFormatting>
  <conditionalFormatting sqref="C11:C13">
    <cfRule type="cellIs" dxfId="1276" priority="675" stopIfTrue="1" operator="equal">
      <formula>"Towel"</formula>
    </cfRule>
    <cfRule type="cellIs" dxfId="1275" priority="676" stopIfTrue="1" operator="equal">
      <formula>"Napkin Hs"</formula>
    </cfRule>
  </conditionalFormatting>
  <conditionalFormatting sqref="C12">
    <cfRule type="cellIs" dxfId="1274" priority="673" stopIfTrue="1" operator="equal">
      <formula>"Towel"</formula>
    </cfRule>
    <cfRule type="cellIs" dxfId="1273" priority="674" stopIfTrue="1" operator="equal">
      <formula>"Napkin Hs"</formula>
    </cfRule>
  </conditionalFormatting>
  <conditionalFormatting sqref="C11 C13">
    <cfRule type="cellIs" dxfId="1272" priority="679" stopIfTrue="1" operator="equal">
      <formula>"Towel"</formula>
    </cfRule>
  </conditionalFormatting>
  <conditionalFormatting sqref="B14:C14">
    <cfRule type="cellIs" dxfId="1271" priority="671" stopIfTrue="1" operator="equal">
      <formula>"Towel"</formula>
    </cfRule>
    <cfRule type="cellIs" dxfId="1270" priority="672" stopIfTrue="1" operator="equal">
      <formula>"Napkin Hs"</formula>
    </cfRule>
  </conditionalFormatting>
  <conditionalFormatting sqref="C14">
    <cfRule type="cellIs" dxfId="1269" priority="667" stopIfTrue="1" operator="equal">
      <formula>"Towel"</formula>
    </cfRule>
    <cfRule type="cellIs" dxfId="1268" priority="668" stopIfTrue="1" operator="equal">
      <formula>"Napkin Hs"</formula>
    </cfRule>
  </conditionalFormatting>
  <conditionalFormatting sqref="C14">
    <cfRule type="cellIs" dxfId="1267" priority="670" stopIfTrue="1" operator="equal">
      <formula>"Napkin Hs"</formula>
    </cfRule>
  </conditionalFormatting>
  <conditionalFormatting sqref="C14">
    <cfRule type="cellIs" dxfId="1266" priority="669" stopIfTrue="1" operator="equal">
      <formula>"Towel"</formula>
    </cfRule>
  </conditionalFormatting>
  <conditionalFormatting sqref="B16:C16 B18:C18">
    <cfRule type="cellIs" dxfId="1265" priority="665" stopIfTrue="1" operator="equal">
      <formula>"Towel"</formula>
    </cfRule>
    <cfRule type="cellIs" dxfId="1264" priority="666" stopIfTrue="1" operator="equal">
      <formula>"Napkin Hs"</formula>
    </cfRule>
  </conditionalFormatting>
  <conditionalFormatting sqref="B17:C17">
    <cfRule type="cellIs" dxfId="1263" priority="661" stopIfTrue="1" operator="equal">
      <formula>"Towel"</formula>
    </cfRule>
    <cfRule type="cellIs" dxfId="1262" priority="662" stopIfTrue="1" operator="equal">
      <formula>"Napkin Hs"</formula>
    </cfRule>
  </conditionalFormatting>
  <conditionalFormatting sqref="C16 C18">
    <cfRule type="cellIs" dxfId="1261" priority="664" stopIfTrue="1" operator="equal">
      <formula>"Napkin Hs"</formula>
    </cfRule>
  </conditionalFormatting>
  <conditionalFormatting sqref="C16:C18">
    <cfRule type="cellIs" dxfId="1260" priority="659" stopIfTrue="1" operator="equal">
      <formula>"Towel"</formula>
    </cfRule>
    <cfRule type="cellIs" dxfId="1259" priority="660" stopIfTrue="1" operator="equal">
      <formula>"Napkin Hs"</formula>
    </cfRule>
  </conditionalFormatting>
  <conditionalFormatting sqref="C17">
    <cfRule type="cellIs" dxfId="1258" priority="657" stopIfTrue="1" operator="equal">
      <formula>"Towel"</formula>
    </cfRule>
    <cfRule type="cellIs" dxfId="1257" priority="658" stopIfTrue="1" operator="equal">
      <formula>"Napkin Hs"</formula>
    </cfRule>
  </conditionalFormatting>
  <conditionalFormatting sqref="C16 C18">
    <cfRule type="cellIs" dxfId="1256" priority="663" stopIfTrue="1" operator="equal">
      <formula>"Towel"</formula>
    </cfRule>
  </conditionalFormatting>
  <conditionalFormatting sqref="B19:C19">
    <cfRule type="cellIs" dxfId="1255" priority="655" stopIfTrue="1" operator="equal">
      <formula>"Towel"</formula>
    </cfRule>
    <cfRule type="cellIs" dxfId="1254" priority="656" stopIfTrue="1" operator="equal">
      <formula>"Napkin Hs"</formula>
    </cfRule>
  </conditionalFormatting>
  <conditionalFormatting sqref="C19">
    <cfRule type="cellIs" dxfId="1253" priority="651" stopIfTrue="1" operator="equal">
      <formula>"Towel"</formula>
    </cfRule>
    <cfRule type="cellIs" dxfId="1252" priority="652" stopIfTrue="1" operator="equal">
      <formula>"Napkin Hs"</formula>
    </cfRule>
  </conditionalFormatting>
  <conditionalFormatting sqref="C19">
    <cfRule type="cellIs" dxfId="1251" priority="654" stopIfTrue="1" operator="equal">
      <formula>"Napkin Hs"</formula>
    </cfRule>
  </conditionalFormatting>
  <conditionalFormatting sqref="C19">
    <cfRule type="cellIs" dxfId="1250" priority="653" stopIfTrue="1" operator="equal">
      <formula>"Towel"</formula>
    </cfRule>
  </conditionalFormatting>
  <conditionalFormatting sqref="B21:C23">
    <cfRule type="cellIs" dxfId="1249" priority="649" stopIfTrue="1" operator="equal">
      <formula>"Towel"</formula>
    </cfRule>
    <cfRule type="cellIs" dxfId="1248" priority="650" stopIfTrue="1" operator="equal">
      <formula>"Napkin Hs"</formula>
    </cfRule>
  </conditionalFormatting>
  <conditionalFormatting sqref="C21:C23">
    <cfRule type="cellIs" dxfId="1247" priority="648" stopIfTrue="1" operator="equal">
      <formula>"Napkin Hs"</formula>
    </cfRule>
  </conditionalFormatting>
  <conditionalFormatting sqref="C21:C23">
    <cfRule type="cellIs" dxfId="1246" priority="643" stopIfTrue="1" operator="equal">
      <formula>"Towel"</formula>
    </cfRule>
    <cfRule type="cellIs" dxfId="1245" priority="644" stopIfTrue="1" operator="equal">
      <formula>"Napkin Hs"</formula>
    </cfRule>
  </conditionalFormatting>
  <conditionalFormatting sqref="C21:C23">
    <cfRule type="cellIs" dxfId="1244" priority="647" stopIfTrue="1" operator="equal">
      <formula>"Towel"</formula>
    </cfRule>
  </conditionalFormatting>
  <conditionalFormatting sqref="B24:C24">
    <cfRule type="cellIs" dxfId="1243" priority="639" stopIfTrue="1" operator="equal">
      <formula>"Towel"</formula>
    </cfRule>
    <cfRule type="cellIs" dxfId="1242" priority="640" stopIfTrue="1" operator="equal">
      <formula>"Napkin Hs"</formula>
    </cfRule>
  </conditionalFormatting>
  <conditionalFormatting sqref="C24">
    <cfRule type="cellIs" dxfId="1241" priority="635" stopIfTrue="1" operator="equal">
      <formula>"Towel"</formula>
    </cfRule>
    <cfRule type="cellIs" dxfId="1240" priority="636" stopIfTrue="1" operator="equal">
      <formula>"Napkin Hs"</formula>
    </cfRule>
  </conditionalFormatting>
  <conditionalFormatting sqref="C24">
    <cfRule type="cellIs" dxfId="1239" priority="638" stopIfTrue="1" operator="equal">
      <formula>"Napkin Hs"</formula>
    </cfRule>
  </conditionalFormatting>
  <conditionalFormatting sqref="C24">
    <cfRule type="cellIs" dxfId="1238" priority="637" stopIfTrue="1" operator="equal">
      <formula>"Towel"</formula>
    </cfRule>
  </conditionalFormatting>
  <conditionalFormatting sqref="B26:C26 B28:C28">
    <cfRule type="cellIs" dxfId="1237" priority="633" stopIfTrue="1" operator="equal">
      <formula>"Towel"</formula>
    </cfRule>
    <cfRule type="cellIs" dxfId="1236" priority="634" stopIfTrue="1" operator="equal">
      <formula>"Napkin Hs"</formula>
    </cfRule>
  </conditionalFormatting>
  <conditionalFormatting sqref="B27:C27">
    <cfRule type="cellIs" dxfId="1235" priority="629" stopIfTrue="1" operator="equal">
      <formula>"Towel"</formula>
    </cfRule>
    <cfRule type="cellIs" dxfId="1234" priority="630" stopIfTrue="1" operator="equal">
      <formula>"Napkin Hs"</formula>
    </cfRule>
  </conditionalFormatting>
  <conditionalFormatting sqref="C26 C28">
    <cfRule type="cellIs" dxfId="1233" priority="632" stopIfTrue="1" operator="equal">
      <formula>"Napkin Hs"</formula>
    </cfRule>
  </conditionalFormatting>
  <conditionalFormatting sqref="C26:C28">
    <cfRule type="cellIs" dxfId="1232" priority="627" stopIfTrue="1" operator="equal">
      <formula>"Towel"</formula>
    </cfRule>
    <cfRule type="cellIs" dxfId="1231" priority="628" stopIfTrue="1" operator="equal">
      <formula>"Napkin Hs"</formula>
    </cfRule>
  </conditionalFormatting>
  <conditionalFormatting sqref="C27">
    <cfRule type="cellIs" dxfId="1230" priority="625" stopIfTrue="1" operator="equal">
      <formula>"Towel"</formula>
    </cfRule>
    <cfRule type="cellIs" dxfId="1229" priority="626" stopIfTrue="1" operator="equal">
      <formula>"Napkin Hs"</formula>
    </cfRule>
  </conditionalFormatting>
  <conditionalFormatting sqref="C26 C28">
    <cfRule type="cellIs" dxfId="1228" priority="631" stopIfTrue="1" operator="equal">
      <formula>"Towel"</formula>
    </cfRule>
  </conditionalFormatting>
  <conditionalFormatting sqref="B29:C29">
    <cfRule type="cellIs" dxfId="1227" priority="623" stopIfTrue="1" operator="equal">
      <formula>"Towel"</formula>
    </cfRule>
    <cfRule type="cellIs" dxfId="1226" priority="624" stopIfTrue="1" operator="equal">
      <formula>"Napkin Hs"</formula>
    </cfRule>
  </conditionalFormatting>
  <conditionalFormatting sqref="C29">
    <cfRule type="cellIs" dxfId="1225" priority="619" stopIfTrue="1" operator="equal">
      <formula>"Towel"</formula>
    </cfRule>
    <cfRule type="cellIs" dxfId="1224" priority="620" stopIfTrue="1" operator="equal">
      <formula>"Napkin Hs"</formula>
    </cfRule>
  </conditionalFormatting>
  <conditionalFormatting sqref="C29">
    <cfRule type="cellIs" dxfId="1223" priority="622" stopIfTrue="1" operator="equal">
      <formula>"Napkin Hs"</formula>
    </cfRule>
  </conditionalFormatting>
  <conditionalFormatting sqref="C29">
    <cfRule type="cellIs" dxfId="1222" priority="621" stopIfTrue="1" operator="equal">
      <formula>"Towel"</formula>
    </cfRule>
  </conditionalFormatting>
  <conditionalFormatting sqref="B35:C35">
    <cfRule type="cellIs" dxfId="1221" priority="591" stopIfTrue="1" operator="equal">
      <formula>"Towel"</formula>
    </cfRule>
    <cfRule type="cellIs" dxfId="1220" priority="592" stopIfTrue="1" operator="equal">
      <formula>"Napkin Hs"</formula>
    </cfRule>
  </conditionalFormatting>
  <conditionalFormatting sqref="C35">
    <cfRule type="cellIs" dxfId="1219" priority="590" stopIfTrue="1" operator="equal">
      <formula>"Napkin Hs"</formula>
    </cfRule>
  </conditionalFormatting>
  <conditionalFormatting sqref="C35">
    <cfRule type="cellIs" dxfId="1218" priority="587" stopIfTrue="1" operator="equal">
      <formula>"Towel"</formula>
    </cfRule>
    <cfRule type="cellIs" dxfId="1217" priority="588" stopIfTrue="1" operator="equal">
      <formula>"Napkin Hs"</formula>
    </cfRule>
  </conditionalFormatting>
  <conditionalFormatting sqref="C35">
    <cfRule type="cellIs" dxfId="1216" priority="589" stopIfTrue="1" operator="equal">
      <formula>"Towel"</formula>
    </cfRule>
  </conditionalFormatting>
  <conditionalFormatting sqref="B35:C35">
    <cfRule type="cellIs" dxfId="1215" priority="585" stopIfTrue="1" operator="equal">
      <formula>"Towel"</formula>
    </cfRule>
    <cfRule type="cellIs" dxfId="1214" priority="586" stopIfTrue="1" operator="equal">
      <formula>"Napkin Hs"</formula>
    </cfRule>
  </conditionalFormatting>
  <conditionalFormatting sqref="C35">
    <cfRule type="cellIs" dxfId="1213" priority="584" stopIfTrue="1" operator="equal">
      <formula>"Napkin Hs"</formula>
    </cfRule>
  </conditionalFormatting>
  <conditionalFormatting sqref="C35">
    <cfRule type="cellIs" dxfId="1212" priority="581" stopIfTrue="1" operator="equal">
      <formula>"Towel"</formula>
    </cfRule>
    <cfRule type="cellIs" dxfId="1211" priority="582" stopIfTrue="1" operator="equal">
      <formula>"Napkin Hs"</formula>
    </cfRule>
  </conditionalFormatting>
  <conditionalFormatting sqref="C35">
    <cfRule type="cellIs" dxfId="1210" priority="583" stopIfTrue="1" operator="equal">
      <formula>"Towel"</formula>
    </cfRule>
  </conditionalFormatting>
  <conditionalFormatting sqref="B31:C33">
    <cfRule type="cellIs" dxfId="1209" priority="573" stopIfTrue="1" operator="equal">
      <formula>"Towel"</formula>
    </cfRule>
    <cfRule type="cellIs" dxfId="1208" priority="574" stopIfTrue="1" operator="equal">
      <formula>"Napkin Hs"</formula>
    </cfRule>
  </conditionalFormatting>
  <conditionalFormatting sqref="C31:C33">
    <cfRule type="cellIs" dxfId="1207" priority="572" stopIfTrue="1" operator="equal">
      <formula>"Napkin Hs"</formula>
    </cfRule>
  </conditionalFormatting>
  <conditionalFormatting sqref="C31:C33">
    <cfRule type="cellIs" dxfId="1206" priority="569" stopIfTrue="1" operator="equal">
      <formula>"Towel"</formula>
    </cfRule>
    <cfRule type="cellIs" dxfId="1205" priority="570" stopIfTrue="1" operator="equal">
      <formula>"Napkin Hs"</formula>
    </cfRule>
  </conditionalFormatting>
  <conditionalFormatting sqref="C31:C33">
    <cfRule type="cellIs" dxfId="1204" priority="571" stopIfTrue="1" operator="equal">
      <formula>"Towel"</formula>
    </cfRule>
  </conditionalFormatting>
  <conditionalFormatting sqref="B34:C34">
    <cfRule type="cellIs" dxfId="1203" priority="567" stopIfTrue="1" operator="equal">
      <formula>"Towel"</formula>
    </cfRule>
    <cfRule type="cellIs" dxfId="1202" priority="568" stopIfTrue="1" operator="equal">
      <formula>"Napkin Hs"</formula>
    </cfRule>
  </conditionalFormatting>
  <conditionalFormatting sqref="C34">
    <cfRule type="cellIs" dxfId="1201" priority="563" stopIfTrue="1" operator="equal">
      <formula>"Towel"</formula>
    </cfRule>
    <cfRule type="cellIs" dxfId="1200" priority="564" stopIfTrue="1" operator="equal">
      <formula>"Napkin Hs"</formula>
    </cfRule>
  </conditionalFormatting>
  <conditionalFormatting sqref="C34">
    <cfRule type="cellIs" dxfId="1199" priority="566" stopIfTrue="1" operator="equal">
      <formula>"Napkin Hs"</formula>
    </cfRule>
  </conditionalFormatting>
  <conditionalFormatting sqref="C34">
    <cfRule type="cellIs" dxfId="1198" priority="565" stopIfTrue="1" operator="equal">
      <formula>"Towel"</formula>
    </cfRule>
  </conditionalFormatting>
  <conditionalFormatting sqref="B38:C38">
    <cfRule type="cellIs" dxfId="1197" priority="561" stopIfTrue="1" operator="equal">
      <formula>"Towel"</formula>
    </cfRule>
    <cfRule type="cellIs" dxfId="1196" priority="562" stopIfTrue="1" operator="equal">
      <formula>"Napkin Hs"</formula>
    </cfRule>
  </conditionalFormatting>
  <conditionalFormatting sqref="C38">
    <cfRule type="cellIs" dxfId="1195" priority="560" stopIfTrue="1" operator="equal">
      <formula>"Napkin Hs"</formula>
    </cfRule>
  </conditionalFormatting>
  <conditionalFormatting sqref="C38">
    <cfRule type="cellIs" dxfId="1194" priority="555" stopIfTrue="1" operator="equal">
      <formula>"Towel"</formula>
    </cfRule>
    <cfRule type="cellIs" dxfId="1193" priority="556" stopIfTrue="1" operator="equal">
      <formula>"Napkin Hs"</formula>
    </cfRule>
  </conditionalFormatting>
  <conditionalFormatting sqref="C38">
    <cfRule type="cellIs" dxfId="1192" priority="559" stopIfTrue="1" operator="equal">
      <formula>"Towel"</formula>
    </cfRule>
  </conditionalFormatting>
  <conditionalFormatting sqref="B39:C39">
    <cfRule type="cellIs" dxfId="1191" priority="551" stopIfTrue="1" operator="equal">
      <formula>"Towel"</formula>
    </cfRule>
    <cfRule type="cellIs" dxfId="1190" priority="552" stopIfTrue="1" operator="equal">
      <formula>"Napkin Hs"</formula>
    </cfRule>
  </conditionalFormatting>
  <conditionalFormatting sqref="C39">
    <cfRule type="cellIs" dxfId="1189" priority="547" stopIfTrue="1" operator="equal">
      <formula>"Towel"</formula>
    </cfRule>
    <cfRule type="cellIs" dxfId="1188" priority="548" stopIfTrue="1" operator="equal">
      <formula>"Napkin Hs"</formula>
    </cfRule>
  </conditionalFormatting>
  <conditionalFormatting sqref="C39">
    <cfRule type="cellIs" dxfId="1187" priority="550" stopIfTrue="1" operator="equal">
      <formula>"Napkin Hs"</formula>
    </cfRule>
  </conditionalFormatting>
  <conditionalFormatting sqref="C39">
    <cfRule type="cellIs" dxfId="1186" priority="549" stopIfTrue="1" operator="equal">
      <formula>"Towel"</formula>
    </cfRule>
  </conditionalFormatting>
  <conditionalFormatting sqref="B36:C37">
    <cfRule type="cellIs" dxfId="1185" priority="545" stopIfTrue="1" operator="equal">
      <formula>"Towel"</formula>
    </cfRule>
    <cfRule type="cellIs" dxfId="1184" priority="546" stopIfTrue="1" operator="equal">
      <formula>"Napkin Hs"</formula>
    </cfRule>
  </conditionalFormatting>
  <conditionalFormatting sqref="C36:C37">
    <cfRule type="cellIs" dxfId="1183" priority="544" stopIfTrue="1" operator="equal">
      <formula>"Napkin Hs"</formula>
    </cfRule>
  </conditionalFormatting>
  <conditionalFormatting sqref="C36:C37">
    <cfRule type="cellIs" dxfId="1182" priority="541" stopIfTrue="1" operator="equal">
      <formula>"Towel"</formula>
    </cfRule>
    <cfRule type="cellIs" dxfId="1181" priority="542" stopIfTrue="1" operator="equal">
      <formula>"Napkin Hs"</formula>
    </cfRule>
  </conditionalFormatting>
  <conditionalFormatting sqref="C36:C37">
    <cfRule type="cellIs" dxfId="1180" priority="543" stopIfTrue="1" operator="equal">
      <formula>"Towel"</formula>
    </cfRule>
  </conditionalFormatting>
  <conditionalFormatting sqref="B44:C44">
    <cfRule type="cellIs" dxfId="1179" priority="533" stopIfTrue="1" operator="equal">
      <formula>"Towel"</formula>
    </cfRule>
    <cfRule type="cellIs" dxfId="1178" priority="534" stopIfTrue="1" operator="equal">
      <formula>"Napkin Hs"</formula>
    </cfRule>
  </conditionalFormatting>
  <conditionalFormatting sqref="C44">
    <cfRule type="cellIs" dxfId="1177" priority="529" stopIfTrue="1" operator="equal">
      <formula>"Towel"</formula>
    </cfRule>
    <cfRule type="cellIs" dxfId="1176" priority="530" stopIfTrue="1" operator="equal">
      <formula>"Napkin Hs"</formula>
    </cfRule>
  </conditionalFormatting>
  <conditionalFormatting sqref="C44">
    <cfRule type="cellIs" dxfId="1175" priority="532" stopIfTrue="1" operator="equal">
      <formula>"Napkin Hs"</formula>
    </cfRule>
  </conditionalFormatting>
  <conditionalFormatting sqref="C44">
    <cfRule type="cellIs" dxfId="1174" priority="531" stopIfTrue="1" operator="equal">
      <formula>"Towel"</formula>
    </cfRule>
  </conditionalFormatting>
  <conditionalFormatting sqref="B41:C43">
    <cfRule type="cellIs" dxfId="1173" priority="527" stopIfTrue="1" operator="equal">
      <formula>"Towel"</formula>
    </cfRule>
    <cfRule type="cellIs" dxfId="1172" priority="528" stopIfTrue="1" operator="equal">
      <formula>"Napkin Hs"</formula>
    </cfRule>
  </conditionalFormatting>
  <conditionalFormatting sqref="C41:C43">
    <cfRule type="cellIs" dxfId="1171" priority="526" stopIfTrue="1" operator="equal">
      <formula>"Napkin Hs"</formula>
    </cfRule>
  </conditionalFormatting>
  <conditionalFormatting sqref="C41:C43">
    <cfRule type="cellIs" dxfId="1170" priority="523" stopIfTrue="1" operator="equal">
      <formula>"Towel"</formula>
    </cfRule>
    <cfRule type="cellIs" dxfId="1169" priority="524" stopIfTrue="1" operator="equal">
      <formula>"Napkin Hs"</formula>
    </cfRule>
  </conditionalFormatting>
  <conditionalFormatting sqref="C41:C43">
    <cfRule type="cellIs" dxfId="1168" priority="525" stopIfTrue="1" operator="equal">
      <formula>"Towel"</formula>
    </cfRule>
  </conditionalFormatting>
  <conditionalFormatting sqref="B48:C48">
    <cfRule type="cellIs" dxfId="1167" priority="515" stopIfTrue="1" operator="equal">
      <formula>"Towel"</formula>
    </cfRule>
    <cfRule type="cellIs" dxfId="1166" priority="516" stopIfTrue="1" operator="equal">
      <formula>"Napkin Hs"</formula>
    </cfRule>
  </conditionalFormatting>
  <conditionalFormatting sqref="C48">
    <cfRule type="cellIs" dxfId="1165" priority="514" stopIfTrue="1" operator="equal">
      <formula>"Napkin Hs"</formula>
    </cfRule>
  </conditionalFormatting>
  <conditionalFormatting sqref="C48">
    <cfRule type="cellIs" dxfId="1164" priority="511" stopIfTrue="1" operator="equal">
      <formula>"Towel"</formula>
    </cfRule>
    <cfRule type="cellIs" dxfId="1163" priority="512" stopIfTrue="1" operator="equal">
      <formula>"Napkin Hs"</formula>
    </cfRule>
  </conditionalFormatting>
  <conditionalFormatting sqref="C48">
    <cfRule type="cellIs" dxfId="1162" priority="513" stopIfTrue="1" operator="equal">
      <formula>"Towel"</formula>
    </cfRule>
  </conditionalFormatting>
  <conditionalFormatting sqref="B49:C52">
    <cfRule type="cellIs" dxfId="1161" priority="509" stopIfTrue="1" operator="equal">
      <formula>"Towel"</formula>
    </cfRule>
    <cfRule type="cellIs" dxfId="1160" priority="510" stopIfTrue="1" operator="equal">
      <formula>"Napkin Hs"</formula>
    </cfRule>
  </conditionalFormatting>
  <conditionalFormatting sqref="C49:C52">
    <cfRule type="cellIs" dxfId="1159" priority="505" stopIfTrue="1" operator="equal">
      <formula>"Towel"</formula>
    </cfRule>
    <cfRule type="cellIs" dxfId="1158" priority="506" stopIfTrue="1" operator="equal">
      <formula>"Napkin Hs"</formula>
    </cfRule>
  </conditionalFormatting>
  <conditionalFormatting sqref="C49:C52">
    <cfRule type="cellIs" dxfId="1157" priority="508" stopIfTrue="1" operator="equal">
      <formula>"Napkin Hs"</formula>
    </cfRule>
  </conditionalFormatting>
  <conditionalFormatting sqref="C49:C52">
    <cfRule type="cellIs" dxfId="1156" priority="507" stopIfTrue="1" operator="equal">
      <formula>"Towel"</formula>
    </cfRule>
  </conditionalFormatting>
  <conditionalFormatting sqref="B47:C47">
    <cfRule type="cellIs" dxfId="1155" priority="503" stopIfTrue="1" operator="equal">
      <formula>"Towel"</formula>
    </cfRule>
    <cfRule type="cellIs" dxfId="1154" priority="504" stopIfTrue="1" operator="equal">
      <formula>"Napkin Hs"</formula>
    </cfRule>
  </conditionalFormatting>
  <conditionalFormatting sqref="C47">
    <cfRule type="cellIs" dxfId="1153" priority="502" stopIfTrue="1" operator="equal">
      <formula>"Napkin Hs"</formula>
    </cfRule>
  </conditionalFormatting>
  <conditionalFormatting sqref="C47">
    <cfRule type="cellIs" dxfId="1152" priority="499" stopIfTrue="1" operator="equal">
      <formula>"Towel"</formula>
    </cfRule>
    <cfRule type="cellIs" dxfId="1151" priority="500" stopIfTrue="1" operator="equal">
      <formula>"Napkin Hs"</formula>
    </cfRule>
  </conditionalFormatting>
  <conditionalFormatting sqref="C47">
    <cfRule type="cellIs" dxfId="1150" priority="501" stopIfTrue="1" operator="equal">
      <formula>"Towel"</formula>
    </cfRule>
  </conditionalFormatting>
  <conditionalFormatting sqref="B46:C46">
    <cfRule type="cellIs" dxfId="1149" priority="497" stopIfTrue="1" operator="equal">
      <formula>"Towel"</formula>
    </cfRule>
    <cfRule type="cellIs" dxfId="1148" priority="498" stopIfTrue="1" operator="equal">
      <formula>"Napkin Hs"</formula>
    </cfRule>
  </conditionalFormatting>
  <conditionalFormatting sqref="C46">
    <cfRule type="cellIs" dxfId="1147" priority="496" stopIfTrue="1" operator="equal">
      <formula>"Napkin Hs"</formula>
    </cfRule>
  </conditionalFormatting>
  <conditionalFormatting sqref="C46">
    <cfRule type="cellIs" dxfId="1146" priority="493" stopIfTrue="1" operator="equal">
      <formula>"Towel"</formula>
    </cfRule>
    <cfRule type="cellIs" dxfId="1145" priority="494" stopIfTrue="1" operator="equal">
      <formula>"Napkin Hs"</formula>
    </cfRule>
  </conditionalFormatting>
  <conditionalFormatting sqref="C46">
    <cfRule type="cellIs" dxfId="1144" priority="495" stopIfTrue="1" operator="equal">
      <formula>"Towel"</formula>
    </cfRule>
  </conditionalFormatting>
  <conditionalFormatting sqref="B56:C56">
    <cfRule type="cellIs" dxfId="1143" priority="491" stopIfTrue="1" operator="equal">
      <formula>"Towel"</formula>
    </cfRule>
    <cfRule type="cellIs" dxfId="1142" priority="492" stopIfTrue="1" operator="equal">
      <formula>"Napkin Hs"</formula>
    </cfRule>
  </conditionalFormatting>
  <conditionalFormatting sqref="C56">
    <cfRule type="cellIs" dxfId="1141" priority="490" stopIfTrue="1" operator="equal">
      <formula>"Napkin Hs"</formula>
    </cfRule>
  </conditionalFormatting>
  <conditionalFormatting sqref="C56">
    <cfRule type="cellIs" dxfId="1140" priority="487" stopIfTrue="1" operator="equal">
      <formula>"Towel"</formula>
    </cfRule>
    <cfRule type="cellIs" dxfId="1139" priority="488" stopIfTrue="1" operator="equal">
      <formula>"Napkin Hs"</formula>
    </cfRule>
  </conditionalFormatting>
  <conditionalFormatting sqref="C56">
    <cfRule type="cellIs" dxfId="1138" priority="489" stopIfTrue="1" operator="equal">
      <formula>"Towel"</formula>
    </cfRule>
  </conditionalFormatting>
  <conditionalFormatting sqref="B57:C57">
    <cfRule type="cellIs" dxfId="1137" priority="485" stopIfTrue="1" operator="equal">
      <formula>"Towel"</formula>
    </cfRule>
    <cfRule type="cellIs" dxfId="1136" priority="486" stopIfTrue="1" operator="equal">
      <formula>"Napkin Hs"</formula>
    </cfRule>
  </conditionalFormatting>
  <conditionalFormatting sqref="C57">
    <cfRule type="cellIs" dxfId="1135" priority="481" stopIfTrue="1" operator="equal">
      <formula>"Towel"</formula>
    </cfRule>
    <cfRule type="cellIs" dxfId="1134" priority="482" stopIfTrue="1" operator="equal">
      <formula>"Napkin Hs"</formula>
    </cfRule>
  </conditionalFormatting>
  <conditionalFormatting sqref="C57">
    <cfRule type="cellIs" dxfId="1133" priority="484" stopIfTrue="1" operator="equal">
      <formula>"Napkin Hs"</formula>
    </cfRule>
  </conditionalFormatting>
  <conditionalFormatting sqref="C57">
    <cfRule type="cellIs" dxfId="1132" priority="483" stopIfTrue="1" operator="equal">
      <formula>"Towel"</formula>
    </cfRule>
  </conditionalFormatting>
  <conditionalFormatting sqref="B55:C55">
    <cfRule type="cellIs" dxfId="1131" priority="479" stopIfTrue="1" operator="equal">
      <formula>"Towel"</formula>
    </cfRule>
    <cfRule type="cellIs" dxfId="1130" priority="480" stopIfTrue="1" operator="equal">
      <formula>"Napkin Hs"</formula>
    </cfRule>
  </conditionalFormatting>
  <conditionalFormatting sqref="C55">
    <cfRule type="cellIs" dxfId="1129" priority="478" stopIfTrue="1" operator="equal">
      <formula>"Napkin Hs"</formula>
    </cfRule>
  </conditionalFormatting>
  <conditionalFormatting sqref="C55">
    <cfRule type="cellIs" dxfId="1128" priority="475" stopIfTrue="1" operator="equal">
      <formula>"Towel"</formula>
    </cfRule>
    <cfRule type="cellIs" dxfId="1127" priority="476" stopIfTrue="1" operator="equal">
      <formula>"Napkin Hs"</formula>
    </cfRule>
  </conditionalFormatting>
  <conditionalFormatting sqref="C55">
    <cfRule type="cellIs" dxfId="1126" priority="477" stopIfTrue="1" operator="equal">
      <formula>"Towel"</formula>
    </cfRule>
  </conditionalFormatting>
  <conditionalFormatting sqref="B54:C54">
    <cfRule type="cellIs" dxfId="1125" priority="467" stopIfTrue="1" operator="equal">
      <formula>"Towel"</formula>
    </cfRule>
    <cfRule type="cellIs" dxfId="1124" priority="468" stopIfTrue="1" operator="equal">
      <formula>"Napkin Hs"</formula>
    </cfRule>
  </conditionalFormatting>
  <conditionalFormatting sqref="C54">
    <cfRule type="cellIs" dxfId="1123" priority="466" stopIfTrue="1" operator="equal">
      <formula>"Napkin Hs"</formula>
    </cfRule>
  </conditionalFormatting>
  <conditionalFormatting sqref="C54">
    <cfRule type="cellIs" dxfId="1122" priority="463" stopIfTrue="1" operator="equal">
      <formula>"Towel"</formula>
    </cfRule>
    <cfRule type="cellIs" dxfId="1121" priority="464" stopIfTrue="1" operator="equal">
      <formula>"Napkin Hs"</formula>
    </cfRule>
  </conditionalFormatting>
  <conditionalFormatting sqref="C54">
    <cfRule type="cellIs" dxfId="1120" priority="465" stopIfTrue="1" operator="equal">
      <formula>"Towel"</formula>
    </cfRule>
  </conditionalFormatting>
  <conditionalFormatting sqref="B61:C61">
    <cfRule type="cellIs" dxfId="1119" priority="461" stopIfTrue="1" operator="equal">
      <formula>"Towel"</formula>
    </cfRule>
    <cfRule type="cellIs" dxfId="1118" priority="462" stopIfTrue="1" operator="equal">
      <formula>"Napkin Hs"</formula>
    </cfRule>
  </conditionalFormatting>
  <conditionalFormatting sqref="C61">
    <cfRule type="cellIs" dxfId="1117" priority="460" stopIfTrue="1" operator="equal">
      <formula>"Napkin Hs"</formula>
    </cfRule>
  </conditionalFormatting>
  <conditionalFormatting sqref="C61">
    <cfRule type="cellIs" dxfId="1116" priority="457" stopIfTrue="1" operator="equal">
      <formula>"Towel"</formula>
    </cfRule>
    <cfRule type="cellIs" dxfId="1115" priority="458" stopIfTrue="1" operator="equal">
      <formula>"Napkin Hs"</formula>
    </cfRule>
  </conditionalFormatting>
  <conditionalFormatting sqref="C61">
    <cfRule type="cellIs" dxfId="1114" priority="459" stopIfTrue="1" operator="equal">
      <formula>"Towel"</formula>
    </cfRule>
  </conditionalFormatting>
  <conditionalFormatting sqref="B62:C62">
    <cfRule type="cellIs" dxfId="1113" priority="455" stopIfTrue="1" operator="equal">
      <formula>"Towel"</formula>
    </cfRule>
    <cfRule type="cellIs" dxfId="1112" priority="456" stopIfTrue="1" operator="equal">
      <formula>"Napkin Hs"</formula>
    </cfRule>
  </conditionalFormatting>
  <conditionalFormatting sqref="C62">
    <cfRule type="cellIs" dxfId="1111" priority="451" stopIfTrue="1" operator="equal">
      <formula>"Towel"</formula>
    </cfRule>
    <cfRule type="cellIs" dxfId="1110" priority="452" stopIfTrue="1" operator="equal">
      <formula>"Napkin Hs"</formula>
    </cfRule>
  </conditionalFormatting>
  <conditionalFormatting sqref="C62">
    <cfRule type="cellIs" dxfId="1109" priority="454" stopIfTrue="1" operator="equal">
      <formula>"Napkin Hs"</formula>
    </cfRule>
  </conditionalFormatting>
  <conditionalFormatting sqref="C62">
    <cfRule type="cellIs" dxfId="1108" priority="453" stopIfTrue="1" operator="equal">
      <formula>"Towel"</formula>
    </cfRule>
  </conditionalFormatting>
  <conditionalFormatting sqref="B60:C60">
    <cfRule type="cellIs" dxfId="1107" priority="449" stopIfTrue="1" operator="equal">
      <formula>"Towel"</formula>
    </cfRule>
    <cfRule type="cellIs" dxfId="1106" priority="450" stopIfTrue="1" operator="equal">
      <formula>"Napkin Hs"</formula>
    </cfRule>
  </conditionalFormatting>
  <conditionalFormatting sqref="C60">
    <cfRule type="cellIs" dxfId="1105" priority="448" stopIfTrue="1" operator="equal">
      <formula>"Napkin Hs"</formula>
    </cfRule>
  </conditionalFormatting>
  <conditionalFormatting sqref="C60">
    <cfRule type="cellIs" dxfId="1104" priority="445" stopIfTrue="1" operator="equal">
      <formula>"Towel"</formula>
    </cfRule>
    <cfRule type="cellIs" dxfId="1103" priority="446" stopIfTrue="1" operator="equal">
      <formula>"Napkin Hs"</formula>
    </cfRule>
  </conditionalFormatting>
  <conditionalFormatting sqref="C60">
    <cfRule type="cellIs" dxfId="1102" priority="447" stopIfTrue="1" operator="equal">
      <formula>"Towel"</formula>
    </cfRule>
  </conditionalFormatting>
  <conditionalFormatting sqref="B67:C67">
    <cfRule type="cellIs" dxfId="1101" priority="431" stopIfTrue="1" operator="equal">
      <formula>"Towel"</formula>
    </cfRule>
    <cfRule type="cellIs" dxfId="1100" priority="432" stopIfTrue="1" operator="equal">
      <formula>"Napkin Hs"</formula>
    </cfRule>
  </conditionalFormatting>
  <conditionalFormatting sqref="C67">
    <cfRule type="cellIs" dxfId="1099" priority="427" stopIfTrue="1" operator="equal">
      <formula>"Towel"</formula>
    </cfRule>
    <cfRule type="cellIs" dxfId="1098" priority="428" stopIfTrue="1" operator="equal">
      <formula>"Napkin Hs"</formula>
    </cfRule>
  </conditionalFormatting>
  <conditionalFormatting sqref="C67">
    <cfRule type="cellIs" dxfId="1097" priority="430" stopIfTrue="1" operator="equal">
      <formula>"Napkin Hs"</formula>
    </cfRule>
  </conditionalFormatting>
  <conditionalFormatting sqref="C67">
    <cfRule type="cellIs" dxfId="1096" priority="429" stopIfTrue="1" operator="equal">
      <formula>"Towel"</formula>
    </cfRule>
  </conditionalFormatting>
  <conditionalFormatting sqref="B59:C59">
    <cfRule type="cellIs" dxfId="1095" priority="413" stopIfTrue="1" operator="equal">
      <formula>"Towel"</formula>
    </cfRule>
    <cfRule type="cellIs" dxfId="1094" priority="414" stopIfTrue="1" operator="equal">
      <formula>"Napkin Hs"</formula>
    </cfRule>
  </conditionalFormatting>
  <conditionalFormatting sqref="C59">
    <cfRule type="cellIs" dxfId="1093" priority="412" stopIfTrue="1" operator="equal">
      <formula>"Napkin Hs"</formula>
    </cfRule>
  </conditionalFormatting>
  <conditionalFormatting sqref="C59">
    <cfRule type="cellIs" dxfId="1092" priority="409" stopIfTrue="1" operator="equal">
      <formula>"Towel"</formula>
    </cfRule>
    <cfRule type="cellIs" dxfId="1091" priority="410" stopIfTrue="1" operator="equal">
      <formula>"Napkin Hs"</formula>
    </cfRule>
  </conditionalFormatting>
  <conditionalFormatting sqref="C59">
    <cfRule type="cellIs" dxfId="1090" priority="411" stopIfTrue="1" operator="equal">
      <formula>"Towel"</formula>
    </cfRule>
  </conditionalFormatting>
  <conditionalFormatting sqref="B66:C66">
    <cfRule type="cellIs" dxfId="1089" priority="407" stopIfTrue="1" operator="equal">
      <formula>"Towel"</formula>
    </cfRule>
    <cfRule type="cellIs" dxfId="1088" priority="408" stopIfTrue="1" operator="equal">
      <formula>"Napkin Hs"</formula>
    </cfRule>
  </conditionalFormatting>
  <conditionalFormatting sqref="C66">
    <cfRule type="cellIs" dxfId="1087" priority="406" stopIfTrue="1" operator="equal">
      <formula>"Napkin Hs"</formula>
    </cfRule>
  </conditionalFormatting>
  <conditionalFormatting sqref="C66">
    <cfRule type="cellIs" dxfId="1086" priority="403" stopIfTrue="1" operator="equal">
      <formula>"Towel"</formula>
    </cfRule>
    <cfRule type="cellIs" dxfId="1085" priority="404" stopIfTrue="1" operator="equal">
      <formula>"Napkin Hs"</formula>
    </cfRule>
  </conditionalFormatting>
  <conditionalFormatting sqref="C66">
    <cfRule type="cellIs" dxfId="1084" priority="405" stopIfTrue="1" operator="equal">
      <formula>"Towel"</formula>
    </cfRule>
  </conditionalFormatting>
  <conditionalFormatting sqref="B65:C65">
    <cfRule type="cellIs" dxfId="1083" priority="401" stopIfTrue="1" operator="equal">
      <formula>"Towel"</formula>
    </cfRule>
    <cfRule type="cellIs" dxfId="1082" priority="402" stopIfTrue="1" operator="equal">
      <formula>"Napkin Hs"</formula>
    </cfRule>
  </conditionalFormatting>
  <conditionalFormatting sqref="C65">
    <cfRule type="cellIs" dxfId="1081" priority="400" stopIfTrue="1" operator="equal">
      <formula>"Napkin Hs"</formula>
    </cfRule>
  </conditionalFormatting>
  <conditionalFormatting sqref="C65">
    <cfRule type="cellIs" dxfId="1080" priority="397" stopIfTrue="1" operator="equal">
      <formula>"Towel"</formula>
    </cfRule>
    <cfRule type="cellIs" dxfId="1079" priority="398" stopIfTrue="1" operator="equal">
      <formula>"Napkin Hs"</formula>
    </cfRule>
  </conditionalFormatting>
  <conditionalFormatting sqref="C65">
    <cfRule type="cellIs" dxfId="1078" priority="399" stopIfTrue="1" operator="equal">
      <formula>"Towel"</formula>
    </cfRule>
  </conditionalFormatting>
  <conditionalFormatting sqref="B64:C64">
    <cfRule type="cellIs" dxfId="1077" priority="395" stopIfTrue="1" operator="equal">
      <formula>"Towel"</formula>
    </cfRule>
    <cfRule type="cellIs" dxfId="1076" priority="396" stopIfTrue="1" operator="equal">
      <formula>"Napkin Hs"</formula>
    </cfRule>
  </conditionalFormatting>
  <conditionalFormatting sqref="C64">
    <cfRule type="cellIs" dxfId="1075" priority="394" stopIfTrue="1" operator="equal">
      <formula>"Napkin Hs"</formula>
    </cfRule>
  </conditionalFormatting>
  <conditionalFormatting sqref="C64">
    <cfRule type="cellIs" dxfId="1074" priority="391" stopIfTrue="1" operator="equal">
      <formula>"Towel"</formula>
    </cfRule>
    <cfRule type="cellIs" dxfId="1073" priority="392" stopIfTrue="1" operator="equal">
      <formula>"Napkin Hs"</formula>
    </cfRule>
  </conditionalFormatting>
  <conditionalFormatting sqref="C64">
    <cfRule type="cellIs" dxfId="1072" priority="393" stopIfTrue="1" operator="equal">
      <formula>"Towel"</formula>
    </cfRule>
  </conditionalFormatting>
  <conditionalFormatting sqref="B72:C72">
    <cfRule type="cellIs" dxfId="1071" priority="389" stopIfTrue="1" operator="equal">
      <formula>"Towel"</formula>
    </cfRule>
    <cfRule type="cellIs" dxfId="1070" priority="390" stopIfTrue="1" operator="equal">
      <formula>"Napkin Hs"</formula>
    </cfRule>
  </conditionalFormatting>
  <conditionalFormatting sqref="C72">
    <cfRule type="cellIs" dxfId="1069" priority="385" stopIfTrue="1" operator="equal">
      <formula>"Towel"</formula>
    </cfRule>
    <cfRule type="cellIs" dxfId="1068" priority="386" stopIfTrue="1" operator="equal">
      <formula>"Napkin Hs"</formula>
    </cfRule>
  </conditionalFormatting>
  <conditionalFormatting sqref="C72">
    <cfRule type="cellIs" dxfId="1067" priority="388" stopIfTrue="1" operator="equal">
      <formula>"Napkin Hs"</formula>
    </cfRule>
  </conditionalFormatting>
  <conditionalFormatting sqref="C72">
    <cfRule type="cellIs" dxfId="1066" priority="387" stopIfTrue="1" operator="equal">
      <formula>"Towel"</formula>
    </cfRule>
  </conditionalFormatting>
  <conditionalFormatting sqref="B71:C71">
    <cfRule type="cellIs" dxfId="1065" priority="383" stopIfTrue="1" operator="equal">
      <formula>"Towel"</formula>
    </cfRule>
    <cfRule type="cellIs" dxfId="1064" priority="384" stopIfTrue="1" operator="equal">
      <formula>"Napkin Hs"</formula>
    </cfRule>
  </conditionalFormatting>
  <conditionalFormatting sqref="C71">
    <cfRule type="cellIs" dxfId="1063" priority="382" stopIfTrue="1" operator="equal">
      <formula>"Napkin Hs"</formula>
    </cfRule>
  </conditionalFormatting>
  <conditionalFormatting sqref="C71">
    <cfRule type="cellIs" dxfId="1062" priority="379" stopIfTrue="1" operator="equal">
      <formula>"Towel"</formula>
    </cfRule>
    <cfRule type="cellIs" dxfId="1061" priority="380" stopIfTrue="1" operator="equal">
      <formula>"Napkin Hs"</formula>
    </cfRule>
  </conditionalFormatting>
  <conditionalFormatting sqref="C71">
    <cfRule type="cellIs" dxfId="1060" priority="381" stopIfTrue="1" operator="equal">
      <formula>"Towel"</formula>
    </cfRule>
  </conditionalFormatting>
  <conditionalFormatting sqref="B69:C70">
    <cfRule type="cellIs" dxfId="1059" priority="371" stopIfTrue="1" operator="equal">
      <formula>"Towel"</formula>
    </cfRule>
    <cfRule type="cellIs" dxfId="1058" priority="372" stopIfTrue="1" operator="equal">
      <formula>"Napkin Hs"</formula>
    </cfRule>
  </conditionalFormatting>
  <conditionalFormatting sqref="C69:C70">
    <cfRule type="cellIs" dxfId="1057" priority="370" stopIfTrue="1" operator="equal">
      <formula>"Napkin Hs"</formula>
    </cfRule>
  </conditionalFormatting>
  <conditionalFormatting sqref="C69:C70">
    <cfRule type="cellIs" dxfId="1056" priority="367" stopIfTrue="1" operator="equal">
      <formula>"Towel"</formula>
    </cfRule>
    <cfRule type="cellIs" dxfId="1055" priority="368" stopIfTrue="1" operator="equal">
      <formula>"Napkin Hs"</formula>
    </cfRule>
  </conditionalFormatting>
  <conditionalFormatting sqref="C69:C70">
    <cfRule type="cellIs" dxfId="1054" priority="369" stopIfTrue="1" operator="equal">
      <formula>"Towel"</formula>
    </cfRule>
  </conditionalFormatting>
  <conditionalFormatting sqref="B77:C78">
    <cfRule type="cellIs" dxfId="1053" priority="365" stopIfTrue="1" operator="equal">
      <formula>"Towel"</formula>
    </cfRule>
    <cfRule type="cellIs" dxfId="1052" priority="366" stopIfTrue="1" operator="equal">
      <formula>"Napkin Hs"</formula>
    </cfRule>
  </conditionalFormatting>
  <conditionalFormatting sqref="C77:C78">
    <cfRule type="cellIs" dxfId="1051" priority="364" stopIfTrue="1" operator="equal">
      <formula>"Napkin Hs"</formula>
    </cfRule>
  </conditionalFormatting>
  <conditionalFormatting sqref="C77:C78">
    <cfRule type="cellIs" dxfId="1050" priority="361" stopIfTrue="1" operator="equal">
      <formula>"Towel"</formula>
    </cfRule>
    <cfRule type="cellIs" dxfId="1049" priority="362" stopIfTrue="1" operator="equal">
      <formula>"Napkin Hs"</formula>
    </cfRule>
  </conditionalFormatting>
  <conditionalFormatting sqref="C77:C78">
    <cfRule type="cellIs" dxfId="1048" priority="363" stopIfTrue="1" operator="equal">
      <formula>"Towel"</formula>
    </cfRule>
  </conditionalFormatting>
  <conditionalFormatting sqref="B76:C76">
    <cfRule type="cellIs" dxfId="1047" priority="353" stopIfTrue="1" operator="equal">
      <formula>"Towel"</formula>
    </cfRule>
    <cfRule type="cellIs" dxfId="1046" priority="354" stopIfTrue="1" operator="equal">
      <formula>"Napkin Hs"</formula>
    </cfRule>
  </conditionalFormatting>
  <conditionalFormatting sqref="C76">
    <cfRule type="cellIs" dxfId="1045" priority="352" stopIfTrue="1" operator="equal">
      <formula>"Napkin Hs"</formula>
    </cfRule>
  </conditionalFormatting>
  <conditionalFormatting sqref="C76">
    <cfRule type="cellIs" dxfId="1044" priority="349" stopIfTrue="1" operator="equal">
      <formula>"Towel"</formula>
    </cfRule>
    <cfRule type="cellIs" dxfId="1043" priority="350" stopIfTrue="1" operator="equal">
      <formula>"Napkin Hs"</formula>
    </cfRule>
  </conditionalFormatting>
  <conditionalFormatting sqref="C76">
    <cfRule type="cellIs" dxfId="1042" priority="351" stopIfTrue="1" operator="equal">
      <formula>"Towel"</formula>
    </cfRule>
  </conditionalFormatting>
  <conditionalFormatting sqref="B75:C75">
    <cfRule type="cellIs" dxfId="1041" priority="347" stopIfTrue="1" operator="equal">
      <formula>"Towel"</formula>
    </cfRule>
    <cfRule type="cellIs" dxfId="1040" priority="348" stopIfTrue="1" operator="equal">
      <formula>"Napkin Hs"</formula>
    </cfRule>
  </conditionalFormatting>
  <conditionalFormatting sqref="C75">
    <cfRule type="cellIs" dxfId="1039" priority="346" stopIfTrue="1" operator="equal">
      <formula>"Napkin Hs"</formula>
    </cfRule>
  </conditionalFormatting>
  <conditionalFormatting sqref="C75">
    <cfRule type="cellIs" dxfId="1038" priority="343" stopIfTrue="1" operator="equal">
      <formula>"Towel"</formula>
    </cfRule>
    <cfRule type="cellIs" dxfId="1037" priority="344" stopIfTrue="1" operator="equal">
      <formula>"Napkin Hs"</formula>
    </cfRule>
  </conditionalFormatting>
  <conditionalFormatting sqref="C75">
    <cfRule type="cellIs" dxfId="1036" priority="345" stopIfTrue="1" operator="equal">
      <formula>"Towel"</formula>
    </cfRule>
  </conditionalFormatting>
  <conditionalFormatting sqref="B82:C83">
    <cfRule type="cellIs" dxfId="1035" priority="341" stopIfTrue="1" operator="equal">
      <formula>"Towel"</formula>
    </cfRule>
    <cfRule type="cellIs" dxfId="1034" priority="342" stopIfTrue="1" operator="equal">
      <formula>"Napkin Hs"</formula>
    </cfRule>
  </conditionalFormatting>
  <conditionalFormatting sqref="C82:C83">
    <cfRule type="cellIs" dxfId="1033" priority="340" stopIfTrue="1" operator="equal">
      <formula>"Napkin Hs"</formula>
    </cfRule>
  </conditionalFormatting>
  <conditionalFormatting sqref="C82:C83">
    <cfRule type="cellIs" dxfId="1032" priority="337" stopIfTrue="1" operator="equal">
      <formula>"Towel"</formula>
    </cfRule>
    <cfRule type="cellIs" dxfId="1031" priority="338" stopIfTrue="1" operator="equal">
      <formula>"Napkin Hs"</formula>
    </cfRule>
  </conditionalFormatting>
  <conditionalFormatting sqref="C82:C83">
    <cfRule type="cellIs" dxfId="1030" priority="339" stopIfTrue="1" operator="equal">
      <formula>"Towel"</formula>
    </cfRule>
  </conditionalFormatting>
  <conditionalFormatting sqref="B81:C81">
    <cfRule type="cellIs" dxfId="1029" priority="335" stopIfTrue="1" operator="equal">
      <formula>"Towel"</formula>
    </cfRule>
    <cfRule type="cellIs" dxfId="1028" priority="336" stopIfTrue="1" operator="equal">
      <formula>"Napkin Hs"</formula>
    </cfRule>
  </conditionalFormatting>
  <conditionalFormatting sqref="C81">
    <cfRule type="cellIs" dxfId="1027" priority="334" stopIfTrue="1" operator="equal">
      <formula>"Napkin Hs"</formula>
    </cfRule>
  </conditionalFormatting>
  <conditionalFormatting sqref="C81">
    <cfRule type="cellIs" dxfId="1026" priority="331" stopIfTrue="1" operator="equal">
      <formula>"Towel"</formula>
    </cfRule>
    <cfRule type="cellIs" dxfId="1025" priority="332" stopIfTrue="1" operator="equal">
      <formula>"Napkin Hs"</formula>
    </cfRule>
  </conditionalFormatting>
  <conditionalFormatting sqref="C81">
    <cfRule type="cellIs" dxfId="1024" priority="333" stopIfTrue="1" operator="equal">
      <formula>"Towel"</formula>
    </cfRule>
  </conditionalFormatting>
  <conditionalFormatting sqref="B80:C80">
    <cfRule type="cellIs" dxfId="1023" priority="323" stopIfTrue="1" operator="equal">
      <formula>"Towel"</formula>
    </cfRule>
    <cfRule type="cellIs" dxfId="1022" priority="324" stopIfTrue="1" operator="equal">
      <formula>"Napkin Hs"</formula>
    </cfRule>
  </conditionalFormatting>
  <conditionalFormatting sqref="C80">
    <cfRule type="cellIs" dxfId="1021" priority="322" stopIfTrue="1" operator="equal">
      <formula>"Napkin Hs"</formula>
    </cfRule>
  </conditionalFormatting>
  <conditionalFormatting sqref="C80">
    <cfRule type="cellIs" dxfId="1020" priority="319" stopIfTrue="1" operator="equal">
      <formula>"Towel"</formula>
    </cfRule>
    <cfRule type="cellIs" dxfId="1019" priority="320" stopIfTrue="1" operator="equal">
      <formula>"Napkin Hs"</formula>
    </cfRule>
  </conditionalFormatting>
  <conditionalFormatting sqref="C80">
    <cfRule type="cellIs" dxfId="1018" priority="321" stopIfTrue="1" operator="equal">
      <formula>"Towel"</formula>
    </cfRule>
  </conditionalFormatting>
  <conditionalFormatting sqref="B87:C88">
    <cfRule type="cellIs" dxfId="1017" priority="317" stopIfTrue="1" operator="equal">
      <formula>"Towel"</formula>
    </cfRule>
    <cfRule type="cellIs" dxfId="1016" priority="318" stopIfTrue="1" operator="equal">
      <formula>"Napkin Hs"</formula>
    </cfRule>
  </conditionalFormatting>
  <conditionalFormatting sqref="C87:C88">
    <cfRule type="cellIs" dxfId="1015" priority="316" stopIfTrue="1" operator="equal">
      <formula>"Napkin Hs"</formula>
    </cfRule>
  </conditionalFormatting>
  <conditionalFormatting sqref="C87:C88">
    <cfRule type="cellIs" dxfId="1014" priority="313" stopIfTrue="1" operator="equal">
      <formula>"Towel"</formula>
    </cfRule>
    <cfRule type="cellIs" dxfId="1013" priority="314" stopIfTrue="1" operator="equal">
      <formula>"Napkin Hs"</formula>
    </cfRule>
  </conditionalFormatting>
  <conditionalFormatting sqref="C87:C88">
    <cfRule type="cellIs" dxfId="1012" priority="315" stopIfTrue="1" operator="equal">
      <formula>"Towel"</formula>
    </cfRule>
  </conditionalFormatting>
  <conditionalFormatting sqref="B86:C86">
    <cfRule type="cellIs" dxfId="1011" priority="311" stopIfTrue="1" operator="equal">
      <formula>"Towel"</formula>
    </cfRule>
    <cfRule type="cellIs" dxfId="1010" priority="312" stopIfTrue="1" operator="equal">
      <formula>"Napkin Hs"</formula>
    </cfRule>
  </conditionalFormatting>
  <conditionalFormatting sqref="C86">
    <cfRule type="cellIs" dxfId="1009" priority="310" stopIfTrue="1" operator="equal">
      <formula>"Napkin Hs"</formula>
    </cfRule>
  </conditionalFormatting>
  <conditionalFormatting sqref="C86">
    <cfRule type="cellIs" dxfId="1008" priority="307" stopIfTrue="1" operator="equal">
      <formula>"Towel"</formula>
    </cfRule>
    <cfRule type="cellIs" dxfId="1007" priority="308" stopIfTrue="1" operator="equal">
      <formula>"Napkin Hs"</formula>
    </cfRule>
  </conditionalFormatting>
  <conditionalFormatting sqref="C86">
    <cfRule type="cellIs" dxfId="1006" priority="309" stopIfTrue="1" operator="equal">
      <formula>"Towel"</formula>
    </cfRule>
  </conditionalFormatting>
  <conditionalFormatting sqref="B85:C85">
    <cfRule type="cellIs" dxfId="1005" priority="305" stopIfTrue="1" operator="equal">
      <formula>"Towel"</formula>
    </cfRule>
    <cfRule type="cellIs" dxfId="1004" priority="306" stopIfTrue="1" operator="equal">
      <formula>"Napkin Hs"</formula>
    </cfRule>
  </conditionalFormatting>
  <conditionalFormatting sqref="C85">
    <cfRule type="cellIs" dxfId="1003" priority="304" stopIfTrue="1" operator="equal">
      <formula>"Napkin Hs"</formula>
    </cfRule>
  </conditionalFormatting>
  <conditionalFormatting sqref="C85">
    <cfRule type="cellIs" dxfId="1002" priority="301" stopIfTrue="1" operator="equal">
      <formula>"Towel"</formula>
    </cfRule>
    <cfRule type="cellIs" dxfId="1001" priority="302" stopIfTrue="1" operator="equal">
      <formula>"Napkin Hs"</formula>
    </cfRule>
  </conditionalFormatting>
  <conditionalFormatting sqref="C85">
    <cfRule type="cellIs" dxfId="1000" priority="303" stopIfTrue="1" operator="equal">
      <formula>"Towel"</formula>
    </cfRule>
  </conditionalFormatting>
  <conditionalFormatting sqref="B92:C93">
    <cfRule type="cellIs" dxfId="999" priority="299" stopIfTrue="1" operator="equal">
      <formula>"Towel"</formula>
    </cfRule>
    <cfRule type="cellIs" dxfId="998" priority="300" stopIfTrue="1" operator="equal">
      <formula>"Napkin Hs"</formula>
    </cfRule>
  </conditionalFormatting>
  <conditionalFormatting sqref="C92:C93">
    <cfRule type="cellIs" dxfId="997" priority="298" stopIfTrue="1" operator="equal">
      <formula>"Napkin Hs"</formula>
    </cfRule>
  </conditionalFormatting>
  <conditionalFormatting sqref="C92:C93">
    <cfRule type="cellIs" dxfId="996" priority="295" stopIfTrue="1" operator="equal">
      <formula>"Towel"</formula>
    </cfRule>
    <cfRule type="cellIs" dxfId="995" priority="296" stopIfTrue="1" operator="equal">
      <formula>"Napkin Hs"</formula>
    </cfRule>
  </conditionalFormatting>
  <conditionalFormatting sqref="C92:C93">
    <cfRule type="cellIs" dxfId="994" priority="297" stopIfTrue="1" operator="equal">
      <formula>"Towel"</formula>
    </cfRule>
  </conditionalFormatting>
  <conditionalFormatting sqref="B91:C91">
    <cfRule type="cellIs" dxfId="993" priority="293" stopIfTrue="1" operator="equal">
      <formula>"Towel"</formula>
    </cfRule>
    <cfRule type="cellIs" dxfId="992" priority="294" stopIfTrue="1" operator="equal">
      <formula>"Napkin Hs"</formula>
    </cfRule>
  </conditionalFormatting>
  <conditionalFormatting sqref="C91">
    <cfRule type="cellIs" dxfId="991" priority="292" stopIfTrue="1" operator="equal">
      <formula>"Napkin Hs"</formula>
    </cfRule>
  </conditionalFormatting>
  <conditionalFormatting sqref="C91">
    <cfRule type="cellIs" dxfId="990" priority="289" stopIfTrue="1" operator="equal">
      <formula>"Towel"</formula>
    </cfRule>
    <cfRule type="cellIs" dxfId="989" priority="290" stopIfTrue="1" operator="equal">
      <formula>"Napkin Hs"</formula>
    </cfRule>
  </conditionalFormatting>
  <conditionalFormatting sqref="C91">
    <cfRule type="cellIs" dxfId="988" priority="291" stopIfTrue="1" operator="equal">
      <formula>"Towel"</formula>
    </cfRule>
  </conditionalFormatting>
  <conditionalFormatting sqref="B90:C90">
    <cfRule type="cellIs" dxfId="987" priority="287" stopIfTrue="1" operator="equal">
      <formula>"Towel"</formula>
    </cfRule>
    <cfRule type="cellIs" dxfId="986" priority="288" stopIfTrue="1" operator="equal">
      <formula>"Napkin Hs"</formula>
    </cfRule>
  </conditionalFormatting>
  <conditionalFormatting sqref="C90">
    <cfRule type="cellIs" dxfId="985" priority="286" stopIfTrue="1" operator="equal">
      <formula>"Napkin Hs"</formula>
    </cfRule>
  </conditionalFormatting>
  <conditionalFormatting sqref="C90">
    <cfRule type="cellIs" dxfId="984" priority="283" stopIfTrue="1" operator="equal">
      <formula>"Towel"</formula>
    </cfRule>
    <cfRule type="cellIs" dxfId="983" priority="284" stopIfTrue="1" operator="equal">
      <formula>"Napkin Hs"</formula>
    </cfRule>
  </conditionalFormatting>
  <conditionalFormatting sqref="C90">
    <cfRule type="cellIs" dxfId="982" priority="285" stopIfTrue="1" operator="equal">
      <formula>"Towel"</formula>
    </cfRule>
  </conditionalFormatting>
  <conditionalFormatting sqref="B98:C98">
    <cfRule type="cellIs" dxfId="981" priority="281" stopIfTrue="1" operator="equal">
      <formula>"Towel"</formula>
    </cfRule>
    <cfRule type="cellIs" dxfId="980" priority="282" stopIfTrue="1" operator="equal">
      <formula>"Napkin Hs"</formula>
    </cfRule>
  </conditionalFormatting>
  <conditionalFormatting sqref="C98">
    <cfRule type="cellIs" dxfId="979" priority="280" stopIfTrue="1" operator="equal">
      <formula>"Napkin Hs"</formula>
    </cfRule>
  </conditionalFormatting>
  <conditionalFormatting sqref="C98">
    <cfRule type="cellIs" dxfId="978" priority="277" stopIfTrue="1" operator="equal">
      <formula>"Towel"</formula>
    </cfRule>
    <cfRule type="cellIs" dxfId="977" priority="278" stopIfTrue="1" operator="equal">
      <formula>"Napkin Hs"</formula>
    </cfRule>
  </conditionalFormatting>
  <conditionalFormatting sqref="C98">
    <cfRule type="cellIs" dxfId="976" priority="279" stopIfTrue="1" operator="equal">
      <formula>"Towel"</formula>
    </cfRule>
  </conditionalFormatting>
  <conditionalFormatting sqref="B95:C97">
    <cfRule type="cellIs" dxfId="975" priority="269" stopIfTrue="1" operator="equal">
      <formula>"Towel"</formula>
    </cfRule>
    <cfRule type="cellIs" dxfId="974" priority="270" stopIfTrue="1" operator="equal">
      <formula>"Napkin Hs"</formula>
    </cfRule>
  </conditionalFormatting>
  <conditionalFormatting sqref="C95:C97">
    <cfRule type="cellIs" dxfId="973" priority="268" stopIfTrue="1" operator="equal">
      <formula>"Napkin Hs"</formula>
    </cfRule>
  </conditionalFormatting>
  <conditionalFormatting sqref="C95:C97">
    <cfRule type="cellIs" dxfId="972" priority="265" stopIfTrue="1" operator="equal">
      <formula>"Towel"</formula>
    </cfRule>
    <cfRule type="cellIs" dxfId="971" priority="266" stopIfTrue="1" operator="equal">
      <formula>"Napkin Hs"</formula>
    </cfRule>
  </conditionalFormatting>
  <conditionalFormatting sqref="C95:C97">
    <cfRule type="cellIs" dxfId="970" priority="267" stopIfTrue="1" operator="equal">
      <formula>"Towel"</formula>
    </cfRule>
  </conditionalFormatting>
  <conditionalFormatting sqref="B102:C103">
    <cfRule type="cellIs" dxfId="969" priority="263" stopIfTrue="1" operator="equal">
      <formula>"Towel"</formula>
    </cfRule>
    <cfRule type="cellIs" dxfId="968" priority="264" stopIfTrue="1" operator="equal">
      <formula>"Napkin Hs"</formula>
    </cfRule>
  </conditionalFormatting>
  <conditionalFormatting sqref="C102:C103">
    <cfRule type="cellIs" dxfId="967" priority="262" stopIfTrue="1" operator="equal">
      <formula>"Napkin Hs"</formula>
    </cfRule>
  </conditionalFormatting>
  <conditionalFormatting sqref="C102:C103">
    <cfRule type="cellIs" dxfId="966" priority="259" stopIfTrue="1" operator="equal">
      <formula>"Towel"</formula>
    </cfRule>
    <cfRule type="cellIs" dxfId="965" priority="260" stopIfTrue="1" operator="equal">
      <formula>"Napkin Hs"</formula>
    </cfRule>
  </conditionalFormatting>
  <conditionalFormatting sqref="C102:C103">
    <cfRule type="cellIs" dxfId="964" priority="261" stopIfTrue="1" operator="equal">
      <formula>"Towel"</formula>
    </cfRule>
  </conditionalFormatting>
  <conditionalFormatting sqref="B100:C101">
    <cfRule type="cellIs" dxfId="963" priority="251" stopIfTrue="1" operator="equal">
      <formula>"Towel"</formula>
    </cfRule>
    <cfRule type="cellIs" dxfId="962" priority="252" stopIfTrue="1" operator="equal">
      <formula>"Napkin Hs"</formula>
    </cfRule>
  </conditionalFormatting>
  <conditionalFormatting sqref="C100:C101">
    <cfRule type="cellIs" dxfId="961" priority="250" stopIfTrue="1" operator="equal">
      <formula>"Napkin Hs"</formula>
    </cfRule>
  </conditionalFormatting>
  <conditionalFormatting sqref="C100:C101">
    <cfRule type="cellIs" dxfId="960" priority="247" stopIfTrue="1" operator="equal">
      <formula>"Towel"</formula>
    </cfRule>
    <cfRule type="cellIs" dxfId="959" priority="248" stopIfTrue="1" operator="equal">
      <formula>"Napkin Hs"</formula>
    </cfRule>
  </conditionalFormatting>
  <conditionalFormatting sqref="C100:C101">
    <cfRule type="cellIs" dxfId="958" priority="249" stopIfTrue="1" operator="equal">
      <formula>"Towel"</formula>
    </cfRule>
  </conditionalFormatting>
  <conditionalFormatting sqref="B108:C108">
    <cfRule type="cellIs" dxfId="957" priority="245" stopIfTrue="1" operator="equal">
      <formula>"Towel"</formula>
    </cfRule>
    <cfRule type="cellIs" dxfId="956" priority="246" stopIfTrue="1" operator="equal">
      <formula>"Napkin Hs"</formula>
    </cfRule>
  </conditionalFormatting>
  <conditionalFormatting sqref="C108">
    <cfRule type="cellIs" dxfId="955" priority="244" stopIfTrue="1" operator="equal">
      <formula>"Napkin Hs"</formula>
    </cfRule>
  </conditionalFormatting>
  <conditionalFormatting sqref="C108">
    <cfRule type="cellIs" dxfId="954" priority="241" stopIfTrue="1" operator="equal">
      <formula>"Towel"</formula>
    </cfRule>
    <cfRule type="cellIs" dxfId="953" priority="242" stopIfTrue="1" operator="equal">
      <formula>"Napkin Hs"</formula>
    </cfRule>
  </conditionalFormatting>
  <conditionalFormatting sqref="C108">
    <cfRule type="cellIs" dxfId="952" priority="243" stopIfTrue="1" operator="equal">
      <formula>"Towel"</formula>
    </cfRule>
  </conditionalFormatting>
  <conditionalFormatting sqref="B105:C107">
    <cfRule type="cellIs" dxfId="951" priority="239" stopIfTrue="1" operator="equal">
      <formula>"Towel"</formula>
    </cfRule>
    <cfRule type="cellIs" dxfId="950" priority="240" stopIfTrue="1" operator="equal">
      <formula>"Napkin Hs"</formula>
    </cfRule>
  </conditionalFormatting>
  <conditionalFormatting sqref="C105:C107">
    <cfRule type="cellIs" dxfId="949" priority="238" stopIfTrue="1" operator="equal">
      <formula>"Napkin Hs"</formula>
    </cfRule>
  </conditionalFormatting>
  <conditionalFormatting sqref="C105:C107">
    <cfRule type="cellIs" dxfId="948" priority="235" stopIfTrue="1" operator="equal">
      <formula>"Towel"</formula>
    </cfRule>
    <cfRule type="cellIs" dxfId="947" priority="236" stopIfTrue="1" operator="equal">
      <formula>"Napkin Hs"</formula>
    </cfRule>
  </conditionalFormatting>
  <conditionalFormatting sqref="C105:C107">
    <cfRule type="cellIs" dxfId="946" priority="237" stopIfTrue="1" operator="equal">
      <formula>"Towel"</formula>
    </cfRule>
  </conditionalFormatting>
  <conditionalFormatting sqref="B113:C113">
    <cfRule type="cellIs" dxfId="945" priority="233" stopIfTrue="1" operator="equal">
      <formula>"Towel"</formula>
    </cfRule>
    <cfRule type="cellIs" dxfId="944" priority="234" stopIfTrue="1" operator="equal">
      <formula>"Napkin Hs"</formula>
    </cfRule>
  </conditionalFormatting>
  <conditionalFormatting sqref="C113">
    <cfRule type="cellIs" dxfId="943" priority="232" stopIfTrue="1" operator="equal">
      <formula>"Napkin Hs"</formula>
    </cfRule>
  </conditionalFormatting>
  <conditionalFormatting sqref="C113">
    <cfRule type="cellIs" dxfId="942" priority="229" stopIfTrue="1" operator="equal">
      <formula>"Towel"</formula>
    </cfRule>
    <cfRule type="cellIs" dxfId="941" priority="230" stopIfTrue="1" operator="equal">
      <formula>"Napkin Hs"</formula>
    </cfRule>
  </conditionalFormatting>
  <conditionalFormatting sqref="C113">
    <cfRule type="cellIs" dxfId="940" priority="231" stopIfTrue="1" operator="equal">
      <formula>"Towel"</formula>
    </cfRule>
  </conditionalFormatting>
  <conditionalFormatting sqref="B111:C112">
    <cfRule type="cellIs" dxfId="939" priority="227" stopIfTrue="1" operator="equal">
      <formula>"Towel"</formula>
    </cfRule>
    <cfRule type="cellIs" dxfId="938" priority="228" stopIfTrue="1" operator="equal">
      <formula>"Napkin Hs"</formula>
    </cfRule>
  </conditionalFormatting>
  <conditionalFormatting sqref="C111:C112">
    <cfRule type="cellIs" dxfId="937" priority="226" stopIfTrue="1" operator="equal">
      <formula>"Napkin Hs"</formula>
    </cfRule>
  </conditionalFormatting>
  <conditionalFormatting sqref="C111:C112">
    <cfRule type="cellIs" dxfId="936" priority="223" stopIfTrue="1" operator="equal">
      <formula>"Towel"</formula>
    </cfRule>
    <cfRule type="cellIs" dxfId="935" priority="224" stopIfTrue="1" operator="equal">
      <formula>"Napkin Hs"</formula>
    </cfRule>
  </conditionalFormatting>
  <conditionalFormatting sqref="C111:C112">
    <cfRule type="cellIs" dxfId="934" priority="225" stopIfTrue="1" operator="equal">
      <formula>"Towel"</formula>
    </cfRule>
  </conditionalFormatting>
  <conditionalFormatting sqref="B110:C110">
    <cfRule type="cellIs" dxfId="933" priority="221" stopIfTrue="1" operator="equal">
      <formula>"Towel"</formula>
    </cfRule>
    <cfRule type="cellIs" dxfId="932" priority="222" stopIfTrue="1" operator="equal">
      <formula>"Napkin Hs"</formula>
    </cfRule>
  </conditionalFormatting>
  <conditionalFormatting sqref="C110">
    <cfRule type="cellIs" dxfId="931" priority="220" stopIfTrue="1" operator="equal">
      <formula>"Napkin Hs"</formula>
    </cfRule>
  </conditionalFormatting>
  <conditionalFormatting sqref="C110">
    <cfRule type="cellIs" dxfId="930" priority="217" stopIfTrue="1" operator="equal">
      <formula>"Towel"</formula>
    </cfRule>
    <cfRule type="cellIs" dxfId="929" priority="218" stopIfTrue="1" operator="equal">
      <formula>"Napkin Hs"</formula>
    </cfRule>
  </conditionalFormatting>
  <conditionalFormatting sqref="C110">
    <cfRule type="cellIs" dxfId="928" priority="219" stopIfTrue="1" operator="equal">
      <formula>"Towel"</formula>
    </cfRule>
  </conditionalFormatting>
  <conditionalFormatting sqref="B118:C118">
    <cfRule type="cellIs" dxfId="927" priority="215" stopIfTrue="1" operator="equal">
      <formula>"Towel"</formula>
    </cfRule>
    <cfRule type="cellIs" dxfId="926" priority="216" stopIfTrue="1" operator="equal">
      <formula>"Napkin Hs"</formula>
    </cfRule>
  </conditionalFormatting>
  <conditionalFormatting sqref="C118">
    <cfRule type="cellIs" dxfId="925" priority="214" stopIfTrue="1" operator="equal">
      <formula>"Napkin Hs"</formula>
    </cfRule>
  </conditionalFormatting>
  <conditionalFormatting sqref="C118">
    <cfRule type="cellIs" dxfId="924" priority="211" stopIfTrue="1" operator="equal">
      <formula>"Towel"</formula>
    </cfRule>
    <cfRule type="cellIs" dxfId="923" priority="212" stopIfTrue="1" operator="equal">
      <formula>"Napkin Hs"</formula>
    </cfRule>
  </conditionalFormatting>
  <conditionalFormatting sqref="C118">
    <cfRule type="cellIs" dxfId="922" priority="213" stopIfTrue="1" operator="equal">
      <formula>"Towel"</formula>
    </cfRule>
  </conditionalFormatting>
  <conditionalFormatting sqref="B116:C117">
    <cfRule type="cellIs" dxfId="921" priority="209" stopIfTrue="1" operator="equal">
      <formula>"Towel"</formula>
    </cfRule>
    <cfRule type="cellIs" dxfId="920" priority="210" stopIfTrue="1" operator="equal">
      <formula>"Napkin Hs"</formula>
    </cfRule>
  </conditionalFormatting>
  <conditionalFormatting sqref="C116:C117">
    <cfRule type="cellIs" dxfId="919" priority="208" stopIfTrue="1" operator="equal">
      <formula>"Napkin Hs"</formula>
    </cfRule>
  </conditionalFormatting>
  <conditionalFormatting sqref="C116:C117">
    <cfRule type="cellIs" dxfId="918" priority="205" stopIfTrue="1" operator="equal">
      <formula>"Towel"</formula>
    </cfRule>
    <cfRule type="cellIs" dxfId="917" priority="206" stopIfTrue="1" operator="equal">
      <formula>"Napkin Hs"</formula>
    </cfRule>
  </conditionalFormatting>
  <conditionalFormatting sqref="C116:C117">
    <cfRule type="cellIs" dxfId="916" priority="207" stopIfTrue="1" operator="equal">
      <formula>"Towel"</formula>
    </cfRule>
  </conditionalFormatting>
  <conditionalFormatting sqref="B115:C115">
    <cfRule type="cellIs" dxfId="915" priority="203" stopIfTrue="1" operator="equal">
      <formula>"Towel"</formula>
    </cfRule>
    <cfRule type="cellIs" dxfId="914" priority="204" stopIfTrue="1" operator="equal">
      <formula>"Napkin Hs"</formula>
    </cfRule>
  </conditionalFormatting>
  <conditionalFormatting sqref="C115">
    <cfRule type="cellIs" dxfId="913" priority="202" stopIfTrue="1" operator="equal">
      <formula>"Napkin Hs"</formula>
    </cfRule>
  </conditionalFormatting>
  <conditionalFormatting sqref="C115">
    <cfRule type="cellIs" dxfId="912" priority="199" stopIfTrue="1" operator="equal">
      <formula>"Towel"</formula>
    </cfRule>
    <cfRule type="cellIs" dxfId="911" priority="200" stopIfTrue="1" operator="equal">
      <formula>"Napkin Hs"</formula>
    </cfRule>
  </conditionalFormatting>
  <conditionalFormatting sqref="C115">
    <cfRule type="cellIs" dxfId="910" priority="201" stopIfTrue="1" operator="equal">
      <formula>"Towel"</formula>
    </cfRule>
  </conditionalFormatting>
  <conditionalFormatting sqref="B123:C123">
    <cfRule type="cellIs" dxfId="909" priority="197" stopIfTrue="1" operator="equal">
      <formula>"Towel"</formula>
    </cfRule>
    <cfRule type="cellIs" dxfId="908" priority="198" stopIfTrue="1" operator="equal">
      <formula>"Napkin Hs"</formula>
    </cfRule>
  </conditionalFormatting>
  <conditionalFormatting sqref="C123">
    <cfRule type="cellIs" dxfId="907" priority="196" stopIfTrue="1" operator="equal">
      <formula>"Napkin Hs"</formula>
    </cfRule>
  </conditionalFormatting>
  <conditionalFormatting sqref="C123">
    <cfRule type="cellIs" dxfId="906" priority="193" stopIfTrue="1" operator="equal">
      <formula>"Towel"</formula>
    </cfRule>
    <cfRule type="cellIs" dxfId="905" priority="194" stopIfTrue="1" operator="equal">
      <formula>"Napkin Hs"</formula>
    </cfRule>
  </conditionalFormatting>
  <conditionalFormatting sqref="C123">
    <cfRule type="cellIs" dxfId="904" priority="195" stopIfTrue="1" operator="equal">
      <formula>"Towel"</formula>
    </cfRule>
  </conditionalFormatting>
  <conditionalFormatting sqref="B122:C122">
    <cfRule type="cellIs" dxfId="903" priority="191" stopIfTrue="1" operator="equal">
      <formula>"Towel"</formula>
    </cfRule>
    <cfRule type="cellIs" dxfId="902" priority="192" stopIfTrue="1" operator="equal">
      <formula>"Napkin Hs"</formula>
    </cfRule>
  </conditionalFormatting>
  <conditionalFormatting sqref="C122">
    <cfRule type="cellIs" dxfId="901" priority="190" stopIfTrue="1" operator="equal">
      <formula>"Napkin Hs"</formula>
    </cfRule>
  </conditionalFormatting>
  <conditionalFormatting sqref="C122">
    <cfRule type="cellIs" dxfId="900" priority="187" stopIfTrue="1" operator="equal">
      <formula>"Towel"</formula>
    </cfRule>
    <cfRule type="cellIs" dxfId="899" priority="188" stopIfTrue="1" operator="equal">
      <formula>"Napkin Hs"</formula>
    </cfRule>
  </conditionalFormatting>
  <conditionalFormatting sqref="C122">
    <cfRule type="cellIs" dxfId="898" priority="189" stopIfTrue="1" operator="equal">
      <formula>"Towel"</formula>
    </cfRule>
  </conditionalFormatting>
  <conditionalFormatting sqref="B120:C121">
    <cfRule type="cellIs" dxfId="897" priority="185" stopIfTrue="1" operator="equal">
      <formula>"Towel"</formula>
    </cfRule>
    <cfRule type="cellIs" dxfId="896" priority="186" stopIfTrue="1" operator="equal">
      <formula>"Napkin Hs"</formula>
    </cfRule>
  </conditionalFormatting>
  <conditionalFormatting sqref="C120:C121">
    <cfRule type="cellIs" dxfId="895" priority="184" stopIfTrue="1" operator="equal">
      <formula>"Napkin Hs"</formula>
    </cfRule>
  </conditionalFormatting>
  <conditionalFormatting sqref="C120:C121">
    <cfRule type="cellIs" dxfId="894" priority="181" stopIfTrue="1" operator="equal">
      <formula>"Towel"</formula>
    </cfRule>
    <cfRule type="cellIs" dxfId="893" priority="182" stopIfTrue="1" operator="equal">
      <formula>"Napkin Hs"</formula>
    </cfRule>
  </conditionalFormatting>
  <conditionalFormatting sqref="C120:C121">
    <cfRule type="cellIs" dxfId="892" priority="183" stopIfTrue="1" operator="equal">
      <formula>"Towel"</formula>
    </cfRule>
  </conditionalFormatting>
  <conditionalFormatting sqref="B129:C129">
    <cfRule type="cellIs" dxfId="891" priority="179" stopIfTrue="1" operator="equal">
      <formula>"Towel"</formula>
    </cfRule>
    <cfRule type="cellIs" dxfId="890" priority="180" stopIfTrue="1" operator="equal">
      <formula>"Napkin Hs"</formula>
    </cfRule>
  </conditionalFormatting>
  <conditionalFormatting sqref="C129">
    <cfRule type="cellIs" dxfId="889" priority="178" stopIfTrue="1" operator="equal">
      <formula>"Napkin Hs"</formula>
    </cfRule>
  </conditionalFormatting>
  <conditionalFormatting sqref="C129">
    <cfRule type="cellIs" dxfId="888" priority="175" stopIfTrue="1" operator="equal">
      <formula>"Towel"</formula>
    </cfRule>
    <cfRule type="cellIs" dxfId="887" priority="176" stopIfTrue="1" operator="equal">
      <formula>"Napkin Hs"</formula>
    </cfRule>
  </conditionalFormatting>
  <conditionalFormatting sqref="C129">
    <cfRule type="cellIs" dxfId="886" priority="177" stopIfTrue="1" operator="equal">
      <formula>"Towel"</formula>
    </cfRule>
  </conditionalFormatting>
  <conditionalFormatting sqref="B128:C128">
    <cfRule type="cellIs" dxfId="885" priority="173" stopIfTrue="1" operator="equal">
      <formula>"Towel"</formula>
    </cfRule>
    <cfRule type="cellIs" dxfId="884" priority="174" stopIfTrue="1" operator="equal">
      <formula>"Napkin Hs"</formula>
    </cfRule>
  </conditionalFormatting>
  <conditionalFormatting sqref="C128">
    <cfRule type="cellIs" dxfId="883" priority="172" stopIfTrue="1" operator="equal">
      <formula>"Napkin Hs"</formula>
    </cfRule>
  </conditionalFormatting>
  <conditionalFormatting sqref="C128">
    <cfRule type="cellIs" dxfId="882" priority="169" stopIfTrue="1" operator="equal">
      <formula>"Towel"</formula>
    </cfRule>
    <cfRule type="cellIs" dxfId="881" priority="170" stopIfTrue="1" operator="equal">
      <formula>"Napkin Hs"</formula>
    </cfRule>
  </conditionalFormatting>
  <conditionalFormatting sqref="C128">
    <cfRule type="cellIs" dxfId="880" priority="171" stopIfTrue="1" operator="equal">
      <formula>"Towel"</formula>
    </cfRule>
  </conditionalFormatting>
  <conditionalFormatting sqref="B127:C127">
    <cfRule type="cellIs" dxfId="879" priority="167" stopIfTrue="1" operator="equal">
      <formula>"Towel"</formula>
    </cfRule>
    <cfRule type="cellIs" dxfId="878" priority="168" stopIfTrue="1" operator="equal">
      <formula>"Napkin Hs"</formula>
    </cfRule>
  </conditionalFormatting>
  <conditionalFormatting sqref="C127">
    <cfRule type="cellIs" dxfId="877" priority="166" stopIfTrue="1" operator="equal">
      <formula>"Napkin Hs"</formula>
    </cfRule>
  </conditionalFormatting>
  <conditionalFormatting sqref="C127">
    <cfRule type="cellIs" dxfId="876" priority="163" stopIfTrue="1" operator="equal">
      <formula>"Towel"</formula>
    </cfRule>
    <cfRule type="cellIs" dxfId="875" priority="164" stopIfTrue="1" operator="equal">
      <formula>"Napkin Hs"</formula>
    </cfRule>
  </conditionalFormatting>
  <conditionalFormatting sqref="C127">
    <cfRule type="cellIs" dxfId="874" priority="165" stopIfTrue="1" operator="equal">
      <formula>"Towel"</formula>
    </cfRule>
  </conditionalFormatting>
  <conditionalFormatting sqref="B126:C126">
    <cfRule type="cellIs" dxfId="873" priority="161" stopIfTrue="1" operator="equal">
      <formula>"Towel"</formula>
    </cfRule>
    <cfRule type="cellIs" dxfId="872" priority="162" stopIfTrue="1" operator="equal">
      <formula>"Napkin Hs"</formula>
    </cfRule>
  </conditionalFormatting>
  <conditionalFormatting sqref="C126">
    <cfRule type="cellIs" dxfId="871" priority="160" stopIfTrue="1" operator="equal">
      <formula>"Napkin Hs"</formula>
    </cfRule>
  </conditionalFormatting>
  <conditionalFormatting sqref="C126">
    <cfRule type="cellIs" dxfId="870" priority="157" stopIfTrue="1" operator="equal">
      <formula>"Towel"</formula>
    </cfRule>
    <cfRule type="cellIs" dxfId="869" priority="158" stopIfTrue="1" operator="equal">
      <formula>"Napkin Hs"</formula>
    </cfRule>
  </conditionalFormatting>
  <conditionalFormatting sqref="C126">
    <cfRule type="cellIs" dxfId="868" priority="159" stopIfTrue="1" operator="equal">
      <formula>"Towel"</formula>
    </cfRule>
  </conditionalFormatting>
  <conditionalFormatting sqref="B125:C125">
    <cfRule type="cellIs" dxfId="867" priority="155" stopIfTrue="1" operator="equal">
      <formula>"Towel"</formula>
    </cfRule>
    <cfRule type="cellIs" dxfId="866" priority="156" stopIfTrue="1" operator="equal">
      <formula>"Napkin Hs"</formula>
    </cfRule>
  </conditionalFormatting>
  <conditionalFormatting sqref="C125">
    <cfRule type="cellIs" dxfId="865" priority="154" stopIfTrue="1" operator="equal">
      <formula>"Napkin Hs"</formula>
    </cfRule>
  </conditionalFormatting>
  <conditionalFormatting sqref="C125">
    <cfRule type="cellIs" dxfId="864" priority="151" stopIfTrue="1" operator="equal">
      <formula>"Towel"</formula>
    </cfRule>
    <cfRule type="cellIs" dxfId="863" priority="152" stopIfTrue="1" operator="equal">
      <formula>"Napkin Hs"</formula>
    </cfRule>
  </conditionalFormatting>
  <conditionalFormatting sqref="C125">
    <cfRule type="cellIs" dxfId="862" priority="153" stopIfTrue="1" operator="equal">
      <formula>"Towel"</formula>
    </cfRule>
  </conditionalFormatting>
  <conditionalFormatting sqref="B133:C133">
    <cfRule type="cellIs" dxfId="861" priority="149" stopIfTrue="1" operator="equal">
      <formula>"Towel"</formula>
    </cfRule>
    <cfRule type="cellIs" dxfId="860" priority="150" stopIfTrue="1" operator="equal">
      <formula>"Napkin Hs"</formula>
    </cfRule>
  </conditionalFormatting>
  <conditionalFormatting sqref="C133">
    <cfRule type="cellIs" dxfId="859" priority="148" stopIfTrue="1" operator="equal">
      <formula>"Napkin Hs"</formula>
    </cfRule>
  </conditionalFormatting>
  <conditionalFormatting sqref="C133">
    <cfRule type="cellIs" dxfId="858" priority="145" stopIfTrue="1" operator="equal">
      <formula>"Towel"</formula>
    </cfRule>
    <cfRule type="cellIs" dxfId="857" priority="146" stopIfTrue="1" operator="equal">
      <formula>"Napkin Hs"</formula>
    </cfRule>
  </conditionalFormatting>
  <conditionalFormatting sqref="C133">
    <cfRule type="cellIs" dxfId="856" priority="147" stopIfTrue="1" operator="equal">
      <formula>"Towel"</formula>
    </cfRule>
  </conditionalFormatting>
  <conditionalFormatting sqref="B132:C132">
    <cfRule type="cellIs" dxfId="855" priority="143" stopIfTrue="1" operator="equal">
      <formula>"Towel"</formula>
    </cfRule>
    <cfRule type="cellIs" dxfId="854" priority="144" stopIfTrue="1" operator="equal">
      <formula>"Napkin Hs"</formula>
    </cfRule>
  </conditionalFormatting>
  <conditionalFormatting sqref="C132">
    <cfRule type="cellIs" dxfId="853" priority="142" stopIfTrue="1" operator="equal">
      <formula>"Napkin Hs"</formula>
    </cfRule>
  </conditionalFormatting>
  <conditionalFormatting sqref="C132">
    <cfRule type="cellIs" dxfId="852" priority="139" stopIfTrue="1" operator="equal">
      <formula>"Towel"</formula>
    </cfRule>
    <cfRule type="cellIs" dxfId="851" priority="140" stopIfTrue="1" operator="equal">
      <formula>"Napkin Hs"</formula>
    </cfRule>
  </conditionalFormatting>
  <conditionalFormatting sqref="C132">
    <cfRule type="cellIs" dxfId="850" priority="141" stopIfTrue="1" operator="equal">
      <formula>"Towel"</formula>
    </cfRule>
  </conditionalFormatting>
  <conditionalFormatting sqref="B131:C131">
    <cfRule type="cellIs" dxfId="849" priority="137" stopIfTrue="1" operator="equal">
      <formula>"Towel"</formula>
    </cfRule>
    <cfRule type="cellIs" dxfId="848" priority="138" stopIfTrue="1" operator="equal">
      <formula>"Napkin Hs"</formula>
    </cfRule>
  </conditionalFormatting>
  <conditionalFormatting sqref="C131">
    <cfRule type="cellIs" dxfId="847" priority="136" stopIfTrue="1" operator="equal">
      <formula>"Napkin Hs"</formula>
    </cfRule>
  </conditionalFormatting>
  <conditionalFormatting sqref="C131">
    <cfRule type="cellIs" dxfId="846" priority="133" stopIfTrue="1" operator="equal">
      <formula>"Towel"</formula>
    </cfRule>
    <cfRule type="cellIs" dxfId="845" priority="134" stopIfTrue="1" operator="equal">
      <formula>"Napkin Hs"</formula>
    </cfRule>
  </conditionalFormatting>
  <conditionalFormatting sqref="C131">
    <cfRule type="cellIs" dxfId="844" priority="135" stopIfTrue="1" operator="equal">
      <formula>"Towel"</formula>
    </cfRule>
  </conditionalFormatting>
  <conditionalFormatting sqref="B130:C130">
    <cfRule type="cellIs" dxfId="843" priority="131" stopIfTrue="1" operator="equal">
      <formula>"Towel"</formula>
    </cfRule>
    <cfRule type="cellIs" dxfId="842" priority="132" stopIfTrue="1" operator="equal">
      <formula>"Napkin Hs"</formula>
    </cfRule>
  </conditionalFormatting>
  <conditionalFormatting sqref="C130">
    <cfRule type="cellIs" dxfId="841" priority="130" stopIfTrue="1" operator="equal">
      <formula>"Napkin Hs"</formula>
    </cfRule>
  </conditionalFormatting>
  <conditionalFormatting sqref="C130">
    <cfRule type="cellIs" dxfId="840" priority="127" stopIfTrue="1" operator="equal">
      <formula>"Towel"</formula>
    </cfRule>
    <cfRule type="cellIs" dxfId="839" priority="128" stopIfTrue="1" operator="equal">
      <formula>"Napkin Hs"</formula>
    </cfRule>
  </conditionalFormatting>
  <conditionalFormatting sqref="C130">
    <cfRule type="cellIs" dxfId="838" priority="129" stopIfTrue="1" operator="equal">
      <formula>"Towel"</formula>
    </cfRule>
  </conditionalFormatting>
  <conditionalFormatting sqref="B138:C138">
    <cfRule type="cellIs" dxfId="837" priority="125" stopIfTrue="1" operator="equal">
      <formula>"Towel"</formula>
    </cfRule>
    <cfRule type="cellIs" dxfId="836" priority="126" stopIfTrue="1" operator="equal">
      <formula>"Napkin Hs"</formula>
    </cfRule>
  </conditionalFormatting>
  <conditionalFormatting sqref="C138">
    <cfRule type="cellIs" dxfId="835" priority="124" stopIfTrue="1" operator="equal">
      <formula>"Napkin Hs"</formula>
    </cfRule>
  </conditionalFormatting>
  <conditionalFormatting sqref="C138">
    <cfRule type="cellIs" dxfId="834" priority="121" stopIfTrue="1" operator="equal">
      <formula>"Towel"</formula>
    </cfRule>
    <cfRule type="cellIs" dxfId="833" priority="122" stopIfTrue="1" operator="equal">
      <formula>"Napkin Hs"</formula>
    </cfRule>
  </conditionalFormatting>
  <conditionalFormatting sqref="C138">
    <cfRule type="cellIs" dxfId="832" priority="123" stopIfTrue="1" operator="equal">
      <formula>"Towel"</formula>
    </cfRule>
  </conditionalFormatting>
  <conditionalFormatting sqref="B137:C137">
    <cfRule type="cellIs" dxfId="831" priority="119" stopIfTrue="1" operator="equal">
      <formula>"Towel"</formula>
    </cfRule>
    <cfRule type="cellIs" dxfId="830" priority="120" stopIfTrue="1" operator="equal">
      <formula>"Napkin Hs"</formula>
    </cfRule>
  </conditionalFormatting>
  <conditionalFormatting sqref="C137">
    <cfRule type="cellIs" dxfId="829" priority="118" stopIfTrue="1" operator="equal">
      <formula>"Napkin Hs"</formula>
    </cfRule>
  </conditionalFormatting>
  <conditionalFormatting sqref="C137">
    <cfRule type="cellIs" dxfId="828" priority="115" stopIfTrue="1" operator="equal">
      <formula>"Towel"</formula>
    </cfRule>
    <cfRule type="cellIs" dxfId="827" priority="116" stopIfTrue="1" operator="equal">
      <formula>"Napkin Hs"</formula>
    </cfRule>
  </conditionalFormatting>
  <conditionalFormatting sqref="C137">
    <cfRule type="cellIs" dxfId="826" priority="117" stopIfTrue="1" operator="equal">
      <formula>"Towel"</formula>
    </cfRule>
  </conditionalFormatting>
  <conditionalFormatting sqref="B135:C136">
    <cfRule type="cellIs" dxfId="825" priority="95" stopIfTrue="1" operator="equal">
      <formula>"Towel"</formula>
    </cfRule>
    <cfRule type="cellIs" dxfId="824" priority="96" stopIfTrue="1" operator="equal">
      <formula>"Napkin Hs"</formula>
    </cfRule>
  </conditionalFormatting>
  <conditionalFormatting sqref="C135:C136">
    <cfRule type="cellIs" dxfId="823" priority="94" stopIfTrue="1" operator="equal">
      <formula>"Napkin Hs"</formula>
    </cfRule>
  </conditionalFormatting>
  <conditionalFormatting sqref="C135:C136">
    <cfRule type="cellIs" dxfId="822" priority="91" stopIfTrue="1" operator="equal">
      <formula>"Towel"</formula>
    </cfRule>
    <cfRule type="cellIs" dxfId="821" priority="92" stopIfTrue="1" operator="equal">
      <formula>"Napkin Hs"</formula>
    </cfRule>
  </conditionalFormatting>
  <conditionalFormatting sqref="C135:C136">
    <cfRule type="cellIs" dxfId="820" priority="93" stopIfTrue="1" operator="equal">
      <formula>"Towel"</formula>
    </cfRule>
  </conditionalFormatting>
  <conditionalFormatting sqref="B144:C144">
    <cfRule type="cellIs" dxfId="819" priority="89" stopIfTrue="1" operator="equal">
      <formula>"Towel"</formula>
    </cfRule>
    <cfRule type="cellIs" dxfId="818" priority="90" stopIfTrue="1" operator="equal">
      <formula>"Napkin Hs"</formula>
    </cfRule>
  </conditionalFormatting>
  <conditionalFormatting sqref="C144">
    <cfRule type="cellIs" dxfId="817" priority="88" stopIfTrue="1" operator="equal">
      <formula>"Napkin Hs"</formula>
    </cfRule>
  </conditionalFormatting>
  <conditionalFormatting sqref="C144">
    <cfRule type="cellIs" dxfId="816" priority="85" stopIfTrue="1" operator="equal">
      <formula>"Towel"</formula>
    </cfRule>
    <cfRule type="cellIs" dxfId="815" priority="86" stopIfTrue="1" operator="equal">
      <formula>"Napkin Hs"</formula>
    </cfRule>
  </conditionalFormatting>
  <conditionalFormatting sqref="C144">
    <cfRule type="cellIs" dxfId="814" priority="87" stopIfTrue="1" operator="equal">
      <formula>"Towel"</formula>
    </cfRule>
  </conditionalFormatting>
  <conditionalFormatting sqref="B143:C143">
    <cfRule type="cellIs" dxfId="813" priority="83" stopIfTrue="1" operator="equal">
      <formula>"Towel"</formula>
    </cfRule>
    <cfRule type="cellIs" dxfId="812" priority="84" stopIfTrue="1" operator="equal">
      <formula>"Napkin Hs"</formula>
    </cfRule>
  </conditionalFormatting>
  <conditionalFormatting sqref="C143">
    <cfRule type="cellIs" dxfId="811" priority="82" stopIfTrue="1" operator="equal">
      <formula>"Napkin Hs"</formula>
    </cfRule>
  </conditionalFormatting>
  <conditionalFormatting sqref="C143">
    <cfRule type="cellIs" dxfId="810" priority="79" stopIfTrue="1" operator="equal">
      <formula>"Towel"</formula>
    </cfRule>
    <cfRule type="cellIs" dxfId="809" priority="80" stopIfTrue="1" operator="equal">
      <formula>"Napkin Hs"</formula>
    </cfRule>
  </conditionalFormatting>
  <conditionalFormatting sqref="C143">
    <cfRule type="cellIs" dxfId="808" priority="81" stopIfTrue="1" operator="equal">
      <formula>"Towel"</formula>
    </cfRule>
  </conditionalFormatting>
  <conditionalFormatting sqref="B140:C142">
    <cfRule type="cellIs" dxfId="807" priority="65" stopIfTrue="1" operator="equal">
      <formula>"Towel"</formula>
    </cfRule>
    <cfRule type="cellIs" dxfId="806" priority="66" stopIfTrue="1" operator="equal">
      <formula>"Napkin Hs"</formula>
    </cfRule>
  </conditionalFormatting>
  <conditionalFormatting sqref="C140:C142">
    <cfRule type="cellIs" dxfId="805" priority="64" stopIfTrue="1" operator="equal">
      <formula>"Napkin Hs"</formula>
    </cfRule>
  </conditionalFormatting>
  <conditionalFormatting sqref="C140:C142">
    <cfRule type="cellIs" dxfId="804" priority="61" stopIfTrue="1" operator="equal">
      <formula>"Towel"</formula>
    </cfRule>
    <cfRule type="cellIs" dxfId="803" priority="62" stopIfTrue="1" operator="equal">
      <formula>"Napkin Hs"</formula>
    </cfRule>
  </conditionalFormatting>
  <conditionalFormatting sqref="C140:C142">
    <cfRule type="cellIs" dxfId="802" priority="63" stopIfTrue="1" operator="equal">
      <formula>"Towel"</formula>
    </cfRule>
  </conditionalFormatting>
  <conditionalFormatting sqref="B148:C148">
    <cfRule type="cellIs" dxfId="801" priority="59" stopIfTrue="1" operator="equal">
      <formula>"Towel"</formula>
    </cfRule>
    <cfRule type="cellIs" dxfId="800" priority="60" stopIfTrue="1" operator="equal">
      <formula>"Napkin Hs"</formula>
    </cfRule>
  </conditionalFormatting>
  <conditionalFormatting sqref="C148">
    <cfRule type="cellIs" dxfId="799" priority="58" stopIfTrue="1" operator="equal">
      <formula>"Napkin Hs"</formula>
    </cfRule>
  </conditionalFormatting>
  <conditionalFormatting sqref="C148">
    <cfRule type="cellIs" dxfId="798" priority="55" stopIfTrue="1" operator="equal">
      <formula>"Towel"</formula>
    </cfRule>
    <cfRule type="cellIs" dxfId="797" priority="56" stopIfTrue="1" operator="equal">
      <formula>"Napkin Hs"</formula>
    </cfRule>
  </conditionalFormatting>
  <conditionalFormatting sqref="C148">
    <cfRule type="cellIs" dxfId="796" priority="57" stopIfTrue="1" operator="equal">
      <formula>"Towel"</formula>
    </cfRule>
  </conditionalFormatting>
  <conditionalFormatting sqref="B146:C147">
    <cfRule type="cellIs" dxfId="795" priority="53" stopIfTrue="1" operator="equal">
      <formula>"Towel"</formula>
    </cfRule>
    <cfRule type="cellIs" dxfId="794" priority="54" stopIfTrue="1" operator="equal">
      <formula>"Napkin Hs"</formula>
    </cfRule>
  </conditionalFormatting>
  <conditionalFormatting sqref="C146:C147">
    <cfRule type="cellIs" dxfId="793" priority="52" stopIfTrue="1" operator="equal">
      <formula>"Napkin Hs"</formula>
    </cfRule>
  </conditionalFormatting>
  <conditionalFormatting sqref="C146:C147">
    <cfRule type="cellIs" dxfId="792" priority="49" stopIfTrue="1" operator="equal">
      <formula>"Towel"</formula>
    </cfRule>
    <cfRule type="cellIs" dxfId="791" priority="50" stopIfTrue="1" operator="equal">
      <formula>"Napkin Hs"</formula>
    </cfRule>
  </conditionalFormatting>
  <conditionalFormatting sqref="C146:C147">
    <cfRule type="cellIs" dxfId="790" priority="51" stopIfTrue="1" operator="equal">
      <formula>"Towel"</formula>
    </cfRule>
  </conditionalFormatting>
  <conditionalFormatting sqref="B145:C145">
    <cfRule type="cellIs" dxfId="789" priority="47" stopIfTrue="1" operator="equal">
      <formula>"Towel"</formula>
    </cfRule>
    <cfRule type="cellIs" dxfId="788" priority="48" stopIfTrue="1" operator="equal">
      <formula>"Napkin Hs"</formula>
    </cfRule>
  </conditionalFormatting>
  <conditionalFormatting sqref="C145">
    <cfRule type="cellIs" dxfId="787" priority="46" stopIfTrue="1" operator="equal">
      <formula>"Napkin Hs"</formula>
    </cfRule>
  </conditionalFormatting>
  <conditionalFormatting sqref="C145">
    <cfRule type="cellIs" dxfId="786" priority="43" stopIfTrue="1" operator="equal">
      <formula>"Towel"</formula>
    </cfRule>
    <cfRule type="cellIs" dxfId="785" priority="44" stopIfTrue="1" operator="equal">
      <formula>"Napkin Hs"</formula>
    </cfRule>
  </conditionalFormatting>
  <conditionalFormatting sqref="C145">
    <cfRule type="cellIs" dxfId="784" priority="45" stopIfTrue="1" operator="equal">
      <formula>"Towel"</formula>
    </cfRule>
  </conditionalFormatting>
  <conditionalFormatting sqref="B153:C154">
    <cfRule type="cellIs" dxfId="783" priority="41" stopIfTrue="1" operator="equal">
      <formula>"Towel"</formula>
    </cfRule>
    <cfRule type="cellIs" dxfId="782" priority="42" stopIfTrue="1" operator="equal">
      <formula>"Napkin Hs"</formula>
    </cfRule>
  </conditionalFormatting>
  <conditionalFormatting sqref="C153:C154">
    <cfRule type="cellIs" dxfId="781" priority="40" stopIfTrue="1" operator="equal">
      <formula>"Napkin Hs"</formula>
    </cfRule>
  </conditionalFormatting>
  <conditionalFormatting sqref="C153:C154">
    <cfRule type="cellIs" dxfId="780" priority="37" stopIfTrue="1" operator="equal">
      <formula>"Towel"</formula>
    </cfRule>
    <cfRule type="cellIs" dxfId="779" priority="38" stopIfTrue="1" operator="equal">
      <formula>"Napkin Hs"</formula>
    </cfRule>
  </conditionalFormatting>
  <conditionalFormatting sqref="C153:C154">
    <cfRule type="cellIs" dxfId="778" priority="39" stopIfTrue="1" operator="equal">
      <formula>"Towel"</formula>
    </cfRule>
  </conditionalFormatting>
  <conditionalFormatting sqref="B151:C152">
    <cfRule type="cellIs" dxfId="777" priority="35" stopIfTrue="1" operator="equal">
      <formula>"Towel"</formula>
    </cfRule>
    <cfRule type="cellIs" dxfId="776" priority="36" stopIfTrue="1" operator="equal">
      <formula>"Napkin Hs"</formula>
    </cfRule>
  </conditionalFormatting>
  <conditionalFormatting sqref="C151:C152">
    <cfRule type="cellIs" dxfId="775" priority="34" stopIfTrue="1" operator="equal">
      <formula>"Napkin Hs"</formula>
    </cfRule>
  </conditionalFormatting>
  <conditionalFormatting sqref="C151:C152">
    <cfRule type="cellIs" dxfId="774" priority="31" stopIfTrue="1" operator="equal">
      <formula>"Towel"</formula>
    </cfRule>
    <cfRule type="cellIs" dxfId="773" priority="32" stopIfTrue="1" operator="equal">
      <formula>"Napkin Hs"</formula>
    </cfRule>
  </conditionalFormatting>
  <conditionalFormatting sqref="C151:C152">
    <cfRule type="cellIs" dxfId="772" priority="33" stopIfTrue="1" operator="equal">
      <formula>"Towel"</formula>
    </cfRule>
  </conditionalFormatting>
  <conditionalFormatting sqref="B150:C150">
    <cfRule type="cellIs" dxfId="771" priority="23" stopIfTrue="1" operator="equal">
      <formula>"Towel"</formula>
    </cfRule>
    <cfRule type="cellIs" dxfId="770" priority="24" stopIfTrue="1" operator="equal">
      <formula>"Napkin Hs"</formula>
    </cfRule>
  </conditionalFormatting>
  <conditionalFormatting sqref="C150">
    <cfRule type="cellIs" dxfId="769" priority="22" stopIfTrue="1" operator="equal">
      <formula>"Napkin Hs"</formula>
    </cfRule>
  </conditionalFormatting>
  <conditionalFormatting sqref="C150">
    <cfRule type="cellIs" dxfId="768" priority="19" stopIfTrue="1" operator="equal">
      <formula>"Towel"</formula>
    </cfRule>
    <cfRule type="cellIs" dxfId="767" priority="20" stopIfTrue="1" operator="equal">
      <formula>"Napkin Hs"</formula>
    </cfRule>
  </conditionalFormatting>
  <conditionalFormatting sqref="C150">
    <cfRule type="cellIs" dxfId="766" priority="21" stopIfTrue="1" operator="equal">
      <formula>"Towel"</formula>
    </cfRule>
  </conditionalFormatting>
  <conditionalFormatting sqref="B158:C158">
    <cfRule type="cellIs" dxfId="765" priority="17" stopIfTrue="1" operator="equal">
      <formula>"Towel"</formula>
    </cfRule>
    <cfRule type="cellIs" dxfId="764" priority="18" stopIfTrue="1" operator="equal">
      <formula>"Napkin Hs"</formula>
    </cfRule>
  </conditionalFormatting>
  <conditionalFormatting sqref="C158">
    <cfRule type="cellIs" dxfId="763" priority="16" stopIfTrue="1" operator="equal">
      <formula>"Napkin Hs"</formula>
    </cfRule>
  </conditionalFormatting>
  <conditionalFormatting sqref="C158">
    <cfRule type="cellIs" dxfId="762" priority="13" stopIfTrue="1" operator="equal">
      <formula>"Towel"</formula>
    </cfRule>
    <cfRule type="cellIs" dxfId="761" priority="14" stopIfTrue="1" operator="equal">
      <formula>"Napkin Hs"</formula>
    </cfRule>
  </conditionalFormatting>
  <conditionalFormatting sqref="C158">
    <cfRule type="cellIs" dxfId="760" priority="15" stopIfTrue="1" operator="equal">
      <formula>"Towel"</formula>
    </cfRule>
  </conditionalFormatting>
  <conditionalFormatting sqref="B156:C157">
    <cfRule type="cellIs" dxfId="759" priority="11" stopIfTrue="1" operator="equal">
      <formula>"Towel"</formula>
    </cfRule>
    <cfRule type="cellIs" dxfId="758" priority="12" stopIfTrue="1" operator="equal">
      <formula>"Napkin Hs"</formula>
    </cfRule>
  </conditionalFormatting>
  <conditionalFormatting sqref="C156:C157">
    <cfRule type="cellIs" dxfId="757" priority="10" stopIfTrue="1" operator="equal">
      <formula>"Napkin Hs"</formula>
    </cfRule>
  </conditionalFormatting>
  <conditionalFormatting sqref="C156:C157">
    <cfRule type="cellIs" dxfId="756" priority="7" stopIfTrue="1" operator="equal">
      <formula>"Towel"</formula>
    </cfRule>
    <cfRule type="cellIs" dxfId="755" priority="8" stopIfTrue="1" operator="equal">
      <formula>"Napkin Hs"</formula>
    </cfRule>
  </conditionalFormatting>
  <conditionalFormatting sqref="C156:C157">
    <cfRule type="cellIs" dxfId="754" priority="9" stopIfTrue="1" operator="equal">
      <formula>"Towel"</formula>
    </cfRule>
  </conditionalFormatting>
  <conditionalFormatting sqref="B159:C159">
    <cfRule type="cellIs" dxfId="753" priority="5" stopIfTrue="1" operator="equal">
      <formula>"Towel"</formula>
    </cfRule>
    <cfRule type="cellIs" dxfId="752" priority="6" stopIfTrue="1" operator="equal">
      <formula>"Napkin Hs"</formula>
    </cfRule>
  </conditionalFormatting>
  <conditionalFormatting sqref="C159">
    <cfRule type="cellIs" dxfId="751" priority="4" stopIfTrue="1" operator="equal">
      <formula>"Napkin Hs"</formula>
    </cfRule>
  </conditionalFormatting>
  <conditionalFormatting sqref="C159">
    <cfRule type="cellIs" dxfId="750" priority="1" stopIfTrue="1" operator="equal">
      <formula>"Towel"</formula>
    </cfRule>
    <cfRule type="cellIs" dxfId="749" priority="2" stopIfTrue="1" operator="equal">
      <formula>"Napkin Hs"</formula>
    </cfRule>
  </conditionalFormatting>
  <conditionalFormatting sqref="C159">
    <cfRule type="cellIs" dxfId="748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6"/>
  <sheetViews>
    <sheetView zoomScale="90" zoomScaleNormal="90" workbookViewId="0">
      <pane xSplit="6" ySplit="6" topLeftCell="O174" activePane="bottomRight" state="frozen"/>
      <selection pane="topRight" activeCell="F1" sqref="F1"/>
      <selection pane="bottomLeft" activeCell="A7" sqref="A7"/>
      <selection pane="bottomRight" activeCell="O185" sqref="O185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3" customWidth="1"/>
    <col min="7" max="9" width="10.28515625" style="28" customWidth="1"/>
    <col min="10" max="11" width="10.28515625" style="82" customWidth="1"/>
    <col min="12" max="13" width="12.7109375" style="54" customWidth="1"/>
    <col min="14" max="15" width="10.28515625" style="28" customWidth="1"/>
    <col min="16" max="16" width="16.85546875" style="28" bestFit="1" customWidth="1"/>
    <col min="17" max="17" width="12.7109375" style="331" customWidth="1"/>
    <col min="18" max="19" width="10.28515625" style="28" customWidth="1"/>
    <col min="20" max="20" width="10.7109375" style="28" customWidth="1"/>
    <col min="21" max="21" width="10.2851562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2" style="28" customWidth="1"/>
    <col min="30" max="30" width="11.42578125" style="28" bestFit="1" customWidth="1"/>
    <col min="31" max="31" width="41.42578125" style="28" customWidth="1"/>
    <col min="32" max="38" width="10.28515625" style="28" customWidth="1"/>
    <col min="39" max="39" width="11.7109375" style="28" customWidth="1"/>
    <col min="40" max="41" width="10.28515625" style="28" customWidth="1"/>
    <col min="42" max="43" width="12.42578125" style="28" customWidth="1"/>
    <col min="44" max="44" width="29.7109375" style="28" bestFit="1" customWidth="1"/>
    <col min="45" max="16384" width="10.28515625" style="28"/>
  </cols>
  <sheetData>
    <row r="1" spans="1:58" s="21" customFormat="1" ht="15.75">
      <c r="A1" s="20" t="s">
        <v>395</v>
      </c>
      <c r="G1" s="22"/>
      <c r="H1" s="22"/>
      <c r="I1" s="22"/>
      <c r="J1" s="79"/>
      <c r="K1" s="79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8" s="21" customFormat="1">
      <c r="A2" s="89"/>
      <c r="G2" s="22"/>
      <c r="H2" s="22"/>
      <c r="I2" s="22"/>
      <c r="J2" s="79"/>
      <c r="K2" s="79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8" ht="24" customHeight="1">
      <c r="A3" s="650" t="s">
        <v>8</v>
      </c>
      <c r="B3" s="650" t="s">
        <v>9</v>
      </c>
      <c r="C3" s="650" t="s">
        <v>182</v>
      </c>
      <c r="D3" s="650" t="s">
        <v>91</v>
      </c>
      <c r="E3" s="650" t="s">
        <v>92</v>
      </c>
      <c r="F3" s="650" t="s">
        <v>93</v>
      </c>
      <c r="G3" s="663" t="s">
        <v>94</v>
      </c>
      <c r="H3" s="664"/>
      <c r="I3" s="664"/>
      <c r="J3" s="664"/>
      <c r="K3" s="665"/>
      <c r="L3" s="669" t="s">
        <v>95</v>
      </c>
      <c r="M3" s="670"/>
      <c r="N3" s="671"/>
      <c r="O3" s="675" t="s">
        <v>96</v>
      </c>
      <c r="P3" s="662" t="s">
        <v>108</v>
      </c>
      <c r="Q3" s="675" t="s">
        <v>97</v>
      </c>
      <c r="R3" s="648" t="s">
        <v>98</v>
      </c>
      <c r="S3" s="648" t="s">
        <v>99</v>
      </c>
      <c r="T3" s="650" t="s">
        <v>154</v>
      </c>
      <c r="U3" s="650" t="s">
        <v>153</v>
      </c>
      <c r="V3" s="650" t="s">
        <v>155</v>
      </c>
      <c r="W3" s="648" t="s">
        <v>144</v>
      </c>
      <c r="X3" s="655" t="s">
        <v>101</v>
      </c>
      <c r="Y3" s="655" t="s">
        <v>294</v>
      </c>
      <c r="Z3" s="648" t="s">
        <v>102</v>
      </c>
      <c r="AA3" s="650" t="s">
        <v>156</v>
      </c>
      <c r="AB3" s="650" t="s">
        <v>167</v>
      </c>
      <c r="AC3" s="650" t="s">
        <v>165</v>
      </c>
      <c r="AD3" s="650" t="s">
        <v>126</v>
      </c>
      <c r="AE3" s="650" t="s">
        <v>127</v>
      </c>
      <c r="AF3" s="690" t="s">
        <v>128</v>
      </c>
      <c r="AG3" s="690"/>
      <c r="AH3" s="690"/>
      <c r="AI3" s="690"/>
      <c r="AJ3" s="690"/>
      <c r="AK3" s="690"/>
      <c r="AL3" s="690"/>
      <c r="AM3" s="687" t="s">
        <v>129</v>
      </c>
      <c r="AN3" s="695" t="s">
        <v>103</v>
      </c>
      <c r="AO3" s="695"/>
      <c r="AP3" s="695"/>
      <c r="AQ3" s="695"/>
      <c r="AR3" s="695"/>
      <c r="AS3" s="696" t="s">
        <v>104</v>
      </c>
      <c r="AT3" s="683" t="s">
        <v>290</v>
      </c>
      <c r="AU3" s="684"/>
      <c r="AV3" s="691" t="s">
        <v>130</v>
      </c>
      <c r="AW3" s="692"/>
      <c r="AX3" s="693" t="s">
        <v>130</v>
      </c>
      <c r="AY3" s="694"/>
      <c r="AZ3" s="677" t="s">
        <v>306</v>
      </c>
      <c r="BA3" s="682" t="s">
        <v>105</v>
      </c>
      <c r="BB3" s="646" t="s">
        <v>106</v>
      </c>
      <c r="BC3" s="646" t="s">
        <v>107</v>
      </c>
      <c r="BD3" s="640" t="s">
        <v>396</v>
      </c>
      <c r="BE3" s="643" t="s">
        <v>397</v>
      </c>
      <c r="BF3" s="646" t="s">
        <v>398</v>
      </c>
    </row>
    <row r="4" spans="1:58" ht="12" customHeight="1">
      <c r="A4" s="651"/>
      <c r="B4" s="651"/>
      <c r="C4" s="651"/>
      <c r="D4" s="651"/>
      <c r="E4" s="651"/>
      <c r="F4" s="651"/>
      <c r="G4" s="666"/>
      <c r="H4" s="667"/>
      <c r="I4" s="667"/>
      <c r="J4" s="667"/>
      <c r="K4" s="668"/>
      <c r="L4" s="672"/>
      <c r="M4" s="673"/>
      <c r="N4" s="674"/>
      <c r="O4" s="676"/>
      <c r="P4" s="658"/>
      <c r="Q4" s="676"/>
      <c r="R4" s="649"/>
      <c r="S4" s="649"/>
      <c r="T4" s="651"/>
      <c r="U4" s="651"/>
      <c r="V4" s="651"/>
      <c r="W4" s="649"/>
      <c r="X4" s="656"/>
      <c r="Y4" s="656"/>
      <c r="Z4" s="649"/>
      <c r="AA4" s="651"/>
      <c r="AB4" s="651"/>
      <c r="AC4" s="651"/>
      <c r="AD4" s="651"/>
      <c r="AE4" s="651"/>
      <c r="AF4" s="652" t="s">
        <v>131</v>
      </c>
      <c r="AG4" s="653"/>
      <c r="AH4" s="654"/>
      <c r="AI4" s="658" t="s">
        <v>221</v>
      </c>
      <c r="AJ4" s="658" t="s">
        <v>15</v>
      </c>
      <c r="AK4" s="658" t="s">
        <v>132</v>
      </c>
      <c r="AL4" s="658" t="s">
        <v>18</v>
      </c>
      <c r="AM4" s="688"/>
      <c r="AN4" s="661" t="s">
        <v>109</v>
      </c>
      <c r="AO4" s="661" t="s">
        <v>15</v>
      </c>
      <c r="AP4" s="661" t="s">
        <v>110</v>
      </c>
      <c r="AQ4" s="661" t="s">
        <v>18</v>
      </c>
      <c r="AR4" s="682" t="s">
        <v>111</v>
      </c>
      <c r="AS4" s="696"/>
      <c r="AT4" s="685"/>
      <c r="AU4" s="686"/>
      <c r="AV4" s="513" t="s">
        <v>6</v>
      </c>
      <c r="AW4" s="513" t="s">
        <v>133</v>
      </c>
      <c r="AX4" s="514" t="s">
        <v>6</v>
      </c>
      <c r="AY4" s="515" t="s">
        <v>133</v>
      </c>
      <c r="AZ4" s="678"/>
      <c r="BA4" s="682"/>
      <c r="BB4" s="646"/>
      <c r="BC4" s="646"/>
      <c r="BD4" s="641"/>
      <c r="BE4" s="644"/>
      <c r="BF4" s="646"/>
    </row>
    <row r="5" spans="1:58" s="31" customFormat="1" ht="48">
      <c r="A5" s="651"/>
      <c r="B5" s="651"/>
      <c r="C5" s="660"/>
      <c r="D5" s="651"/>
      <c r="E5" s="651"/>
      <c r="F5" s="651"/>
      <c r="G5" s="531" t="s">
        <v>112</v>
      </c>
      <c r="H5" s="530" t="s">
        <v>113</v>
      </c>
      <c r="I5" s="29" t="s">
        <v>114</v>
      </c>
      <c r="J5" s="80" t="s">
        <v>115</v>
      </c>
      <c r="K5" s="80" t="s">
        <v>100</v>
      </c>
      <c r="L5" s="30" t="s">
        <v>116</v>
      </c>
      <c r="M5" s="30" t="s">
        <v>117</v>
      </c>
      <c r="N5" s="530" t="s">
        <v>118</v>
      </c>
      <c r="O5" s="676"/>
      <c r="P5" s="659"/>
      <c r="Q5" s="676"/>
      <c r="R5" s="649"/>
      <c r="S5" s="649"/>
      <c r="T5" s="651"/>
      <c r="U5" s="651"/>
      <c r="V5" s="651"/>
      <c r="W5" s="649"/>
      <c r="X5" s="656"/>
      <c r="Y5" s="657"/>
      <c r="Z5" s="649"/>
      <c r="AA5" s="651"/>
      <c r="AB5" s="660"/>
      <c r="AC5" s="651"/>
      <c r="AD5" s="660"/>
      <c r="AE5" s="651"/>
      <c r="AF5" s="443" t="s">
        <v>295</v>
      </c>
      <c r="AG5" s="529" t="s">
        <v>296</v>
      </c>
      <c r="AH5" s="529" t="s">
        <v>297</v>
      </c>
      <c r="AI5" s="659"/>
      <c r="AJ5" s="659"/>
      <c r="AK5" s="659"/>
      <c r="AL5" s="659"/>
      <c r="AM5" s="689"/>
      <c r="AN5" s="662"/>
      <c r="AO5" s="662"/>
      <c r="AP5" s="662"/>
      <c r="AQ5" s="662"/>
      <c r="AR5" s="648"/>
      <c r="AS5" s="697"/>
      <c r="AT5" s="532" t="s">
        <v>291</v>
      </c>
      <c r="AU5" s="532" t="s">
        <v>292</v>
      </c>
      <c r="AV5" s="516" t="s">
        <v>293</v>
      </c>
      <c r="AW5" s="516" t="s">
        <v>293</v>
      </c>
      <c r="AX5" s="514" t="s">
        <v>17</v>
      </c>
      <c r="AY5" s="514" t="s">
        <v>17</v>
      </c>
      <c r="AZ5" s="679"/>
      <c r="BA5" s="648"/>
      <c r="BB5" s="650"/>
      <c r="BC5" s="650"/>
      <c r="BD5" s="642"/>
      <c r="BE5" s="645"/>
      <c r="BF5" s="647"/>
    </row>
    <row r="6" spans="1:58" ht="12.75">
      <c r="A6" s="39">
        <f>+Report1!A9</f>
        <v>46113</v>
      </c>
      <c r="B6" s="40" t="s">
        <v>7</v>
      </c>
      <c r="C6" s="414">
        <f>(M6*E6*O6*Q6)/100000000</f>
        <v>40.731196799999992</v>
      </c>
      <c r="D6" s="40" t="s">
        <v>302</v>
      </c>
      <c r="E6" s="41">
        <v>11.5</v>
      </c>
      <c r="F6" s="41">
        <v>1</v>
      </c>
      <c r="G6" s="499">
        <v>1230</v>
      </c>
      <c r="H6" s="43">
        <v>0.23</v>
      </c>
      <c r="I6" s="44">
        <v>0.88</v>
      </c>
      <c r="J6" s="81">
        <f>E6*G6*(1-H6)*1440/1000000*2.74</f>
        <v>42.974094239999999</v>
      </c>
      <c r="K6" s="81">
        <f>(IF(G6&lt;L6,L6,G6)*(1-IF(H6&lt;N6,H6,N6))*E6*O6*Q6)/100000000</f>
        <v>41.719376160000003</v>
      </c>
      <c r="L6" s="34">
        <v>1216.6666666666667</v>
      </c>
      <c r="M6" s="34">
        <v>924.66666666666663</v>
      </c>
      <c r="N6" s="45">
        <f>1-(M6/L6)</f>
        <v>0.2400000000000001</v>
      </c>
      <c r="O6" s="46">
        <f>+'Trim Rwd'!H4</f>
        <v>266</v>
      </c>
      <c r="P6" s="47">
        <f>O6*(Q6-R6-S6)</f>
        <v>361228</v>
      </c>
      <c r="Q6" s="46">
        <v>1440</v>
      </c>
      <c r="R6" s="500">
        <v>0</v>
      </c>
      <c r="S6" s="500">
        <v>82</v>
      </c>
      <c r="T6" s="36">
        <f>E6*M6*O6*Q6/100000000</f>
        <v>40.731196799999992</v>
      </c>
      <c r="U6" s="36">
        <f>E6*M6*O6*(Q6-R6-S6)/100000000</f>
        <v>38.411781426666657</v>
      </c>
      <c r="V6" s="36">
        <f>E6*G6*(1-N6)*O6/100*(R6+S6)/1000000</f>
        <v>2.3448336239999996</v>
      </c>
      <c r="W6" s="36">
        <f>+'1'!C34/1000</f>
        <v>34.951000000000001</v>
      </c>
      <c r="X6" s="501">
        <f>SUM(W6:W10)/SUM(K6:K10)</f>
        <v>0.83776420495737336</v>
      </c>
      <c r="Y6" s="210">
        <v>0</v>
      </c>
      <c r="Z6" s="36">
        <f>+'1'!D25/1000</f>
        <v>0</v>
      </c>
      <c r="AA6" s="48">
        <f>SUM(U6:U10)-SUM(W6:W10)-SUM(Z6:Z10)-SUM(Y6:Y10)</f>
        <v>3.4607814266666566</v>
      </c>
      <c r="AB6" s="48">
        <f>(SUM(K6:K10)-SUM(W6:W10)-SUM(Y6:Y10)-SUM(Z6:Z10)-SUM(AC6:AC10)-SUM(V6:V10))-AA6</f>
        <v>-2.5418250666664477E-2</v>
      </c>
      <c r="AC6" s="36">
        <f>K6-T6</f>
        <v>0.98817936000001083</v>
      </c>
      <c r="AD6" s="36">
        <f>+AM6+BA6</f>
        <v>16</v>
      </c>
      <c r="AE6" s="229" t="s">
        <v>415</v>
      </c>
      <c r="AF6" s="36">
        <v>16</v>
      </c>
      <c r="AG6" s="36"/>
      <c r="AH6" s="36"/>
      <c r="AI6" s="502"/>
      <c r="AJ6" s="36"/>
      <c r="AK6" s="36"/>
      <c r="AL6" s="36"/>
      <c r="AM6" s="36">
        <f t="shared" ref="AM6:AM9" si="0">SUM(AF6:AL6)+AT6+AV6+AX6</f>
        <v>16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>
        <f>+AR6+AS6+AU6+AW6+AY6+AZ6</f>
        <v>0</v>
      </c>
      <c r="BB6" s="32">
        <v>6</v>
      </c>
      <c r="BC6" s="50"/>
      <c r="BD6" s="50"/>
      <c r="BE6" s="32"/>
      <c r="BF6" s="50"/>
    </row>
    <row r="7" spans="1:58" ht="12.95" customHeight="1">
      <c r="A7" s="39"/>
      <c r="B7" s="40"/>
      <c r="C7" s="414"/>
      <c r="D7" s="40"/>
      <c r="E7" s="41"/>
      <c r="F7" s="41"/>
      <c r="G7" s="499"/>
      <c r="H7" s="43"/>
      <c r="I7" s="44"/>
      <c r="J7" s="81"/>
      <c r="K7" s="81"/>
      <c r="L7" s="34"/>
      <c r="M7" s="34"/>
      <c r="N7" s="45"/>
      <c r="O7" s="46"/>
      <c r="P7" s="47"/>
      <c r="Q7" s="46"/>
      <c r="R7" s="500"/>
      <c r="S7" s="500"/>
      <c r="T7" s="36"/>
      <c r="U7" s="36"/>
      <c r="V7" s="36"/>
      <c r="W7" s="36"/>
      <c r="X7" s="37"/>
      <c r="Y7" s="210"/>
      <c r="Z7" s="36"/>
      <c r="AA7" s="36"/>
      <c r="AB7" s="36"/>
      <c r="AC7" s="36"/>
      <c r="AD7" s="36">
        <f>+AM7+BA7</f>
        <v>13</v>
      </c>
      <c r="AE7" s="229" t="s">
        <v>416</v>
      </c>
      <c r="AF7" s="36"/>
      <c r="AG7" s="36">
        <v>13</v>
      </c>
      <c r="AH7" s="36"/>
      <c r="AI7" s="502"/>
      <c r="AJ7" s="36"/>
      <c r="AK7" s="36"/>
      <c r="AL7" s="36"/>
      <c r="AM7" s="36">
        <f t="shared" si="0"/>
        <v>13</v>
      </c>
      <c r="AN7" s="82"/>
      <c r="AO7" s="36"/>
      <c r="AP7" s="36"/>
      <c r="AQ7" s="36"/>
      <c r="AR7" s="36">
        <f t="shared" ref="AR7:AR9" si="1">SUM(AN7:AQ7)</f>
        <v>0</v>
      </c>
      <c r="AS7" s="36"/>
      <c r="AT7" s="36"/>
      <c r="AU7" s="36"/>
      <c r="AV7" s="36"/>
      <c r="AW7" s="36"/>
      <c r="AX7" s="36"/>
      <c r="AY7" s="36"/>
      <c r="AZ7" s="36"/>
      <c r="BA7" s="36">
        <f>+AR7+AS7+AU7+AW7+AY7+AZ7</f>
        <v>0</v>
      </c>
      <c r="BB7" s="49"/>
      <c r="BC7" s="50">
        <v>6</v>
      </c>
      <c r="BD7" s="50"/>
      <c r="BE7" s="49"/>
      <c r="BF7" s="50"/>
    </row>
    <row r="8" spans="1:58" ht="12.95" customHeight="1">
      <c r="A8" s="39"/>
      <c r="B8" s="40"/>
      <c r="C8" s="414"/>
      <c r="D8" s="40"/>
      <c r="E8" s="41"/>
      <c r="F8" s="41"/>
      <c r="G8" s="42"/>
      <c r="H8" s="43"/>
      <c r="I8" s="44"/>
      <c r="J8" s="81"/>
      <c r="K8" s="81"/>
      <c r="L8" s="34"/>
      <c r="M8" s="34"/>
      <c r="N8" s="45"/>
      <c r="O8" s="46"/>
      <c r="P8" s="47"/>
      <c r="Q8" s="46"/>
      <c r="R8" s="500"/>
      <c r="S8" s="500"/>
      <c r="T8" s="36"/>
      <c r="U8" s="36"/>
      <c r="V8" s="36"/>
      <c r="W8" s="36"/>
      <c r="X8" s="37"/>
      <c r="Y8" s="210"/>
      <c r="Z8" s="36"/>
      <c r="AA8" s="36"/>
      <c r="AB8" s="36"/>
      <c r="AC8" s="36"/>
      <c r="AD8" s="36">
        <f>+AM8+BA8</f>
        <v>53</v>
      </c>
      <c r="AE8" s="229" t="s">
        <v>388</v>
      </c>
      <c r="AF8" s="32"/>
      <c r="AG8" s="32"/>
      <c r="AH8" s="32">
        <v>53</v>
      </c>
      <c r="AJ8" s="36"/>
      <c r="AK8" s="36"/>
      <c r="AL8" s="36"/>
      <c r="AM8" s="36">
        <f t="shared" si="0"/>
        <v>53</v>
      </c>
      <c r="AN8" s="36"/>
      <c r="AO8" s="36"/>
      <c r="AP8" s="36"/>
      <c r="AQ8" s="36"/>
      <c r="AR8" s="36">
        <f t="shared" si="1"/>
        <v>0</v>
      </c>
      <c r="AS8" s="36"/>
      <c r="AT8" s="36"/>
      <c r="AU8" s="36"/>
      <c r="AV8" s="36"/>
      <c r="AW8" s="36"/>
      <c r="AX8" s="36"/>
      <c r="AY8" s="36"/>
      <c r="AZ8" s="36"/>
      <c r="BA8" s="36">
        <f>+AR8+AS8+AU8+AW8+AY8+AZ8</f>
        <v>0</v>
      </c>
      <c r="BB8" s="32"/>
      <c r="BC8" s="503"/>
      <c r="BD8" s="503"/>
      <c r="BE8" s="32"/>
      <c r="BF8" s="503"/>
    </row>
    <row r="9" spans="1:58" ht="12.95" customHeight="1">
      <c r="A9" s="39"/>
      <c r="B9" s="40"/>
      <c r="C9" s="414"/>
      <c r="D9" s="40"/>
      <c r="E9" s="41"/>
      <c r="F9" s="41"/>
      <c r="G9" s="42"/>
      <c r="H9" s="43"/>
      <c r="I9" s="44"/>
      <c r="J9" s="81"/>
      <c r="K9" s="81"/>
      <c r="L9" s="34"/>
      <c r="M9" s="34"/>
      <c r="N9" s="45"/>
      <c r="O9" s="46"/>
      <c r="P9" s="47"/>
      <c r="Q9" s="33"/>
      <c r="R9" s="500"/>
      <c r="S9" s="500"/>
      <c r="T9" s="36"/>
      <c r="U9" s="36"/>
      <c r="V9" s="36"/>
      <c r="W9" s="36"/>
      <c r="X9" s="37"/>
      <c r="Y9" s="210"/>
      <c r="Z9" s="36"/>
      <c r="AA9" s="36"/>
      <c r="AB9" s="36"/>
      <c r="AC9" s="36"/>
      <c r="AD9" s="36">
        <f>+AM9+BA9</f>
        <v>0</v>
      </c>
      <c r="AE9" s="232" t="s">
        <v>378</v>
      </c>
      <c r="AF9" s="36"/>
      <c r="AG9" s="36"/>
      <c r="AH9" s="36"/>
      <c r="AI9" s="502"/>
      <c r="AJ9" s="36"/>
      <c r="AK9" s="36"/>
      <c r="AL9" s="36"/>
      <c r="AM9" s="36">
        <f t="shared" si="0"/>
        <v>0</v>
      </c>
      <c r="AN9" s="36"/>
      <c r="AO9" s="36"/>
      <c r="AP9" s="36"/>
      <c r="AQ9" s="36"/>
      <c r="AR9" s="36">
        <f t="shared" si="1"/>
        <v>0</v>
      </c>
      <c r="AS9" s="36"/>
      <c r="AT9" s="36"/>
      <c r="AU9" s="36"/>
      <c r="AV9" s="36"/>
      <c r="AW9" s="36"/>
      <c r="AX9" s="36"/>
      <c r="AY9" s="36"/>
      <c r="AZ9" s="36"/>
      <c r="BA9" s="36">
        <f>+AR9+AS9+AU9+AW9+AY9+AZ9</f>
        <v>0</v>
      </c>
      <c r="BB9" s="49"/>
      <c r="BC9" s="50"/>
      <c r="BD9" s="50"/>
      <c r="BE9" s="49"/>
      <c r="BF9" s="50"/>
    </row>
    <row r="10" spans="1:58" ht="12.95" customHeight="1">
      <c r="A10" s="39"/>
      <c r="B10" s="40"/>
      <c r="C10" s="414"/>
      <c r="D10" s="40"/>
      <c r="E10" s="41"/>
      <c r="F10" s="41"/>
      <c r="G10" s="42"/>
      <c r="H10" s="43"/>
      <c r="I10" s="44"/>
      <c r="J10" s="81"/>
      <c r="K10" s="81"/>
      <c r="L10" s="34"/>
      <c r="M10" s="34"/>
      <c r="N10" s="45"/>
      <c r="O10" s="46"/>
      <c r="P10" s="47"/>
      <c r="Q10" s="33"/>
      <c r="R10" s="500"/>
      <c r="S10" s="500"/>
      <c r="T10" s="36"/>
      <c r="U10" s="36"/>
      <c r="V10" s="36"/>
      <c r="W10" s="36"/>
      <c r="X10" s="37"/>
      <c r="Y10" s="210"/>
      <c r="Z10" s="36"/>
      <c r="AA10" s="36"/>
      <c r="AB10" s="36"/>
      <c r="AC10" s="36"/>
      <c r="AD10" s="36"/>
      <c r="AE10" s="232"/>
      <c r="AF10" s="36"/>
      <c r="AG10" s="36"/>
      <c r="AH10" s="36"/>
      <c r="AI10" s="502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49"/>
      <c r="BC10" s="50"/>
      <c r="BD10" s="50"/>
      <c r="BE10" s="32"/>
      <c r="BF10" s="50"/>
    </row>
    <row r="11" spans="1:58" ht="12.75" customHeight="1">
      <c r="A11" s="39">
        <v>46114</v>
      </c>
      <c r="B11" s="40" t="s">
        <v>7</v>
      </c>
      <c r="C11" s="414">
        <f>(M11*E11*O11*Q11)/100000000</f>
        <v>41.177566079999998</v>
      </c>
      <c r="D11" s="40" t="s">
        <v>302</v>
      </c>
      <c r="E11" s="41">
        <v>11.5</v>
      </c>
      <c r="F11" s="41">
        <v>1</v>
      </c>
      <c r="G11" s="499">
        <v>1230</v>
      </c>
      <c r="H11" s="43">
        <v>0.23</v>
      </c>
      <c r="I11" s="44">
        <v>0.88</v>
      </c>
      <c r="J11" s="81">
        <f>E11*G11*(1-H11)*1440/1000000*2.74</f>
        <v>42.974094239999999</v>
      </c>
      <c r="K11" s="81">
        <f>(IF(G11&lt;L11,L11,G11)*(1-IF(H11&lt;N11,H11,N11))*E11*O11*Q11)/100000000</f>
        <v>41.719376160000003</v>
      </c>
      <c r="L11" s="34">
        <v>1230</v>
      </c>
      <c r="M11" s="34">
        <v>934.8</v>
      </c>
      <c r="N11" s="45">
        <f>1-(M11/L11)</f>
        <v>0.24</v>
      </c>
      <c r="O11" s="46">
        <f>+'Trim Rwd'!H6</f>
        <v>266</v>
      </c>
      <c r="P11" s="47">
        <f>O11*(Q11-R11-S11)</f>
        <v>367080</v>
      </c>
      <c r="Q11" s="46">
        <v>1440</v>
      </c>
      <c r="R11" s="500">
        <v>0</v>
      </c>
      <c r="S11" s="500">
        <v>60</v>
      </c>
      <c r="T11" s="36">
        <f>E11*M11*O11*Q11/100000000</f>
        <v>41.177566079999998</v>
      </c>
      <c r="U11" s="36">
        <f>E11*M11*O11*(Q11-R11-S11)/100000000</f>
        <v>39.461834159999995</v>
      </c>
      <c r="V11" s="36">
        <f>E11*G11*(1-N11)*O11/100*(R11+S11)/1000000</f>
        <v>1.7157319200000001</v>
      </c>
      <c r="W11" s="36">
        <f>+'2'!K7/1000</f>
        <v>37.249000000000002</v>
      </c>
      <c r="X11" s="501">
        <f>SUM(W11:W15)/SUM(K11:K15)</f>
        <v>0.89284652428992595</v>
      </c>
      <c r="Y11" s="210">
        <v>0</v>
      </c>
      <c r="Z11" s="36">
        <f>+'2'!D25/1000</f>
        <v>0.7</v>
      </c>
      <c r="AA11" s="48">
        <f>SUM(U11:U15)-SUM(W11:W15)-SUM(Z11:Z15)-SUM(Y11:Y15)</f>
        <v>1.5128341599999928</v>
      </c>
      <c r="AB11" s="48">
        <f>(SUM(K11:K15)-SUM(W11:W15)-SUM(Y11:Y15)-SUM(Z11:Z15)-SUM(AC11:AC15)-SUM(V11:V15))-AA11</f>
        <v>2.886579864025407E-15</v>
      </c>
      <c r="AC11" s="36">
        <f>K11-T11</f>
        <v>0.54181008000000475</v>
      </c>
      <c r="AD11" s="36">
        <f>+AM11+BA11</f>
        <v>4</v>
      </c>
      <c r="AE11" s="229" t="s">
        <v>400</v>
      </c>
      <c r="AF11" s="36">
        <v>4</v>
      </c>
      <c r="AG11" s="36"/>
      <c r="AH11" s="36"/>
      <c r="AI11" s="502"/>
      <c r="AJ11" s="36"/>
      <c r="AK11" s="36"/>
      <c r="AL11" s="36"/>
      <c r="AM11" s="36">
        <f t="shared" ref="AM11:AM14" si="2">SUM(AF11:AL11)+AT11+AV11+AX11</f>
        <v>4</v>
      </c>
      <c r="AN11" s="36"/>
      <c r="AO11" s="36"/>
      <c r="AP11" s="36"/>
      <c r="AQ11" s="36"/>
      <c r="AR11" s="36">
        <f>SUM(AN11:AQ11)</f>
        <v>0</v>
      </c>
      <c r="AS11" s="36"/>
      <c r="AT11" s="36"/>
      <c r="AU11" s="36"/>
      <c r="AV11" s="36"/>
      <c r="AW11" s="36"/>
      <c r="AX11" s="36"/>
      <c r="AY11" s="36"/>
      <c r="AZ11" s="36"/>
      <c r="BA11" s="36">
        <f>+AR11+AS11+AU11+AW11+AY11+AZ11</f>
        <v>0</v>
      </c>
      <c r="BB11" s="32">
        <v>2</v>
      </c>
      <c r="BC11" s="50"/>
      <c r="BD11" s="50"/>
      <c r="BE11" s="32"/>
      <c r="BF11" s="50"/>
    </row>
    <row r="12" spans="1:58" ht="12.95" customHeight="1">
      <c r="A12" s="39"/>
      <c r="B12" s="40"/>
      <c r="C12" s="414"/>
      <c r="D12" s="40"/>
      <c r="E12" s="41"/>
      <c r="F12" s="41"/>
      <c r="G12" s="499"/>
      <c r="H12" s="43"/>
      <c r="I12" s="44"/>
      <c r="J12" s="81"/>
      <c r="K12" s="81"/>
      <c r="L12" s="34"/>
      <c r="M12" s="34"/>
      <c r="N12" s="45"/>
      <c r="O12" s="46"/>
      <c r="P12" s="47"/>
      <c r="Q12" s="46"/>
      <c r="R12" s="500"/>
      <c r="S12" s="500"/>
      <c r="T12" s="36"/>
      <c r="U12" s="36"/>
      <c r="V12" s="36"/>
      <c r="W12" s="36"/>
      <c r="X12" s="37"/>
      <c r="Y12" s="210"/>
      <c r="Z12" s="36"/>
      <c r="AA12" s="36"/>
      <c r="AB12" s="36"/>
      <c r="AC12" s="36"/>
      <c r="AD12" s="36">
        <f>+AM12+BA12</f>
        <v>19</v>
      </c>
      <c r="AE12" s="229" t="s">
        <v>430</v>
      </c>
      <c r="AF12" s="36"/>
      <c r="AG12" s="36">
        <v>19</v>
      </c>
      <c r="AH12" s="36"/>
      <c r="AI12" s="502"/>
      <c r="AJ12" s="36"/>
      <c r="AK12" s="36"/>
      <c r="AL12" s="36"/>
      <c r="AM12" s="36">
        <f t="shared" si="2"/>
        <v>19</v>
      </c>
      <c r="AN12" s="82"/>
      <c r="AO12" s="36"/>
      <c r="AP12" s="36"/>
      <c r="AQ12" s="36"/>
      <c r="AR12" s="36">
        <f t="shared" ref="AR12:AR14" si="3"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>
        <f>+AR12+AS12+AU12+AW12+AY12+AZ12</f>
        <v>0</v>
      </c>
      <c r="BB12" s="49"/>
      <c r="BC12" s="50">
        <v>9</v>
      </c>
      <c r="BD12" s="50"/>
      <c r="BE12" s="49"/>
      <c r="BF12" s="50"/>
    </row>
    <row r="13" spans="1:58" ht="12.95" customHeight="1">
      <c r="A13" s="39"/>
      <c r="B13" s="40"/>
      <c r="C13" s="414"/>
      <c r="D13" s="40"/>
      <c r="E13" s="41"/>
      <c r="F13" s="41"/>
      <c r="G13" s="42"/>
      <c r="H13" s="43"/>
      <c r="I13" s="44"/>
      <c r="J13" s="81"/>
      <c r="K13" s="81"/>
      <c r="L13" s="34"/>
      <c r="M13" s="34"/>
      <c r="N13" s="45"/>
      <c r="O13" s="46"/>
      <c r="P13" s="47"/>
      <c r="Q13" s="46"/>
      <c r="R13" s="500"/>
      <c r="S13" s="500"/>
      <c r="T13" s="36"/>
      <c r="U13" s="36"/>
      <c r="V13" s="36"/>
      <c r="W13" s="36"/>
      <c r="X13" s="37"/>
      <c r="Y13" s="210"/>
      <c r="Z13" s="36"/>
      <c r="AA13" s="36"/>
      <c r="AB13" s="36"/>
      <c r="AC13" s="36"/>
      <c r="AD13" s="36">
        <f>+AM13+BA13</f>
        <v>37</v>
      </c>
      <c r="AE13" s="229" t="s">
        <v>431</v>
      </c>
      <c r="AF13" s="32"/>
      <c r="AG13" s="32"/>
      <c r="AH13" s="32">
        <v>37</v>
      </c>
      <c r="AJ13" s="36"/>
      <c r="AK13" s="36"/>
      <c r="AL13" s="36"/>
      <c r="AM13" s="36">
        <f t="shared" si="2"/>
        <v>37</v>
      </c>
      <c r="AN13" s="36"/>
      <c r="AO13" s="36"/>
      <c r="AP13" s="36"/>
      <c r="AQ13" s="36"/>
      <c r="AR13" s="36">
        <f t="shared" si="3"/>
        <v>0</v>
      </c>
      <c r="AS13" s="36"/>
      <c r="AT13" s="36"/>
      <c r="AU13" s="36"/>
      <c r="AV13" s="36"/>
      <c r="AW13" s="36"/>
      <c r="AX13" s="36"/>
      <c r="AY13" s="36"/>
      <c r="AZ13" s="36"/>
      <c r="BA13" s="36">
        <f>+AR13+AS13+AU13+AW13+AY13+AZ13</f>
        <v>0</v>
      </c>
      <c r="BB13" s="32"/>
      <c r="BC13" s="503"/>
      <c r="BD13" s="503"/>
      <c r="BE13" s="32"/>
      <c r="BF13" s="503"/>
    </row>
    <row r="14" spans="1:58" ht="12.95" customHeight="1">
      <c r="A14" s="39"/>
      <c r="B14" s="40"/>
      <c r="C14" s="414"/>
      <c r="D14" s="40"/>
      <c r="E14" s="41"/>
      <c r="F14" s="41"/>
      <c r="G14" s="42"/>
      <c r="H14" s="43"/>
      <c r="I14" s="44"/>
      <c r="J14" s="81"/>
      <c r="K14" s="81"/>
      <c r="L14" s="34"/>
      <c r="M14" s="34"/>
      <c r="N14" s="45"/>
      <c r="O14" s="46"/>
      <c r="P14" s="47"/>
      <c r="Q14" s="33"/>
      <c r="R14" s="500"/>
      <c r="S14" s="500"/>
      <c r="T14" s="36"/>
      <c r="U14" s="36"/>
      <c r="V14" s="36"/>
      <c r="W14" s="36"/>
      <c r="X14" s="37"/>
      <c r="Y14" s="210"/>
      <c r="Z14" s="36"/>
      <c r="AA14" s="36"/>
      <c r="AB14" s="36"/>
      <c r="AC14" s="36"/>
      <c r="AD14" s="36">
        <f>+AM14+BA14</f>
        <v>0</v>
      </c>
      <c r="AE14" s="232" t="s">
        <v>378</v>
      </c>
      <c r="AF14" s="36"/>
      <c r="AG14" s="36"/>
      <c r="AH14" s="36"/>
      <c r="AI14" s="502"/>
      <c r="AJ14" s="36"/>
      <c r="AK14" s="36"/>
      <c r="AL14" s="36"/>
      <c r="AM14" s="36">
        <f t="shared" si="2"/>
        <v>0</v>
      </c>
      <c r="AN14" s="36"/>
      <c r="AO14" s="36"/>
      <c r="AP14" s="36"/>
      <c r="AQ14" s="36"/>
      <c r="AR14" s="36">
        <f t="shared" si="3"/>
        <v>0</v>
      </c>
      <c r="AS14" s="36"/>
      <c r="AT14" s="36"/>
      <c r="AU14" s="36"/>
      <c r="AV14" s="36"/>
      <c r="AW14" s="36"/>
      <c r="AX14" s="36"/>
      <c r="AY14" s="36"/>
      <c r="AZ14" s="36"/>
      <c r="BA14" s="36">
        <f>+AR14+AS14+AU14+AW14+AY14+AZ14</f>
        <v>0</v>
      </c>
      <c r="BB14" s="49"/>
      <c r="BC14" s="50"/>
      <c r="BD14" s="50"/>
      <c r="BE14" s="49"/>
      <c r="BF14" s="50"/>
    </row>
    <row r="15" spans="1:58" ht="12.95" customHeight="1">
      <c r="A15" s="39"/>
      <c r="B15" s="40"/>
      <c r="C15" s="414"/>
      <c r="D15" s="40"/>
      <c r="E15" s="41"/>
      <c r="F15" s="41"/>
      <c r="G15" s="42"/>
      <c r="H15" s="43"/>
      <c r="I15" s="44"/>
      <c r="J15" s="81"/>
      <c r="K15" s="81"/>
      <c r="L15" s="34"/>
      <c r="M15" s="34"/>
      <c r="N15" s="45"/>
      <c r="O15" s="46"/>
      <c r="P15" s="47"/>
      <c r="Q15" s="33"/>
      <c r="R15" s="500"/>
      <c r="S15" s="500"/>
      <c r="T15" s="36"/>
      <c r="U15" s="36"/>
      <c r="V15" s="36"/>
      <c r="W15" s="36"/>
      <c r="X15" s="37"/>
      <c r="Y15" s="210"/>
      <c r="Z15" s="36"/>
      <c r="AA15" s="36"/>
      <c r="AB15" s="36"/>
      <c r="AC15" s="36"/>
      <c r="AD15" s="36"/>
      <c r="AE15" s="232"/>
      <c r="AF15" s="36"/>
      <c r="AG15" s="36"/>
      <c r="AH15" s="36"/>
      <c r="AI15" s="502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49"/>
      <c r="BC15" s="50"/>
      <c r="BD15" s="50"/>
      <c r="BE15" s="49"/>
      <c r="BF15" s="50"/>
    </row>
    <row r="16" spans="1:58" ht="12.75" customHeight="1">
      <c r="A16" s="39">
        <v>46115</v>
      </c>
      <c r="B16" s="40" t="s">
        <v>7</v>
      </c>
      <c r="C16" s="414">
        <f>(M16*E16*O16*Q16)/100000000</f>
        <v>41.177566079999998</v>
      </c>
      <c r="D16" s="40" t="s">
        <v>302</v>
      </c>
      <c r="E16" s="41">
        <v>11.5</v>
      </c>
      <c r="F16" s="41">
        <v>1</v>
      </c>
      <c r="G16" s="499">
        <v>1230</v>
      </c>
      <c r="H16" s="43">
        <v>0.23</v>
      </c>
      <c r="I16" s="44">
        <v>0.88</v>
      </c>
      <c r="J16" s="81">
        <f>E16*G16*(1-H16)*1440/1000000*2.74</f>
        <v>42.974094239999999</v>
      </c>
      <c r="K16" s="81">
        <f>(IF(G16&lt;L16,L16,G16)*(1-IF(H16&lt;N16,H16,N16))*E16*O16*Q16)/100000000</f>
        <v>41.719376160000003</v>
      </c>
      <c r="L16" s="34">
        <v>1230</v>
      </c>
      <c r="M16" s="34">
        <v>934.8</v>
      </c>
      <c r="N16" s="45">
        <f>1-(M16/L16)</f>
        <v>0.24</v>
      </c>
      <c r="O16" s="46">
        <f>+'Trim Rwd'!H8</f>
        <v>266</v>
      </c>
      <c r="P16" s="47">
        <f>O16*(Q16-R16-S16)</f>
        <v>366016</v>
      </c>
      <c r="Q16" s="46">
        <v>1440</v>
      </c>
      <c r="R16" s="500">
        <v>0</v>
      </c>
      <c r="S16" s="500">
        <v>64</v>
      </c>
      <c r="T16" s="36">
        <f>E16*M16*O16*Q16/100000000</f>
        <v>41.177566079999998</v>
      </c>
      <c r="U16" s="36">
        <f>E16*M16*O16*(Q16-R16-S16)/100000000</f>
        <v>39.347452032</v>
      </c>
      <c r="V16" s="36">
        <f>E16*G16*(1-N16)*O16/100*(R16+S16)/1000000</f>
        <v>1.8301140480000002</v>
      </c>
      <c r="W16" s="36">
        <f>+'3'!K7/1000</f>
        <v>37.430999999999997</v>
      </c>
      <c r="X16" s="501">
        <f>SUM(W16:W20)/SUM(K16:K20)</f>
        <v>0.89720900562957973</v>
      </c>
      <c r="Y16" s="210">
        <v>0</v>
      </c>
      <c r="Z16" s="36">
        <f>+'1'!D35/1000</f>
        <v>0</v>
      </c>
      <c r="AA16" s="48">
        <f>SUM(U16:U20)-SUM(W16:W20)-SUM(Z16:Z20)-SUM(Y16:Y20)</f>
        <v>1.9164520320000022</v>
      </c>
      <c r="AB16" s="48">
        <f>(SUM(K16:K20)-SUM(W16:W20)-SUM(Y16:Y20)-SUM(Z16:Z20)-SUM(AC16:AC20)-SUM(V16:V20))-AA16</f>
        <v>0</v>
      </c>
      <c r="AC16" s="36">
        <f>K16-T16</f>
        <v>0.54181008000000475</v>
      </c>
      <c r="AD16" s="36">
        <f>+AM16+BA16</f>
        <v>6</v>
      </c>
      <c r="AE16" s="229" t="s">
        <v>400</v>
      </c>
      <c r="AF16" s="36">
        <v>6</v>
      </c>
      <c r="AG16" s="36"/>
      <c r="AH16" s="36"/>
      <c r="AI16" s="502"/>
      <c r="AJ16" s="36"/>
      <c r="AK16" s="36"/>
      <c r="AL16" s="36"/>
      <c r="AM16" s="36">
        <f t="shared" ref="AM16:AM19" si="4">SUM(AF16:AL16)+AT16+AV16+AX16</f>
        <v>6</v>
      </c>
      <c r="AN16" s="36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>
        <f>+AR16+AS16+AU16+AW16+AY16+AZ16</f>
        <v>0</v>
      </c>
      <c r="BB16" s="32">
        <v>2</v>
      </c>
      <c r="BC16" s="50"/>
      <c r="BD16" s="50"/>
      <c r="BE16" s="32"/>
      <c r="BF16" s="50"/>
    </row>
    <row r="17" spans="1:58" ht="12.95" customHeight="1">
      <c r="A17" s="39"/>
      <c r="B17" s="40"/>
      <c r="C17" s="414"/>
      <c r="D17" s="40"/>
      <c r="E17" s="41"/>
      <c r="F17" s="41"/>
      <c r="G17" s="499"/>
      <c r="H17" s="43"/>
      <c r="I17" s="44"/>
      <c r="J17" s="81"/>
      <c r="K17" s="81"/>
      <c r="L17" s="34"/>
      <c r="M17" s="34"/>
      <c r="N17" s="45"/>
      <c r="O17" s="46"/>
      <c r="P17" s="47"/>
      <c r="Q17" s="46"/>
      <c r="R17" s="500"/>
      <c r="S17" s="500"/>
      <c r="T17" s="36"/>
      <c r="U17" s="36"/>
      <c r="V17" s="36"/>
      <c r="W17" s="36"/>
      <c r="X17" s="37"/>
      <c r="Y17" s="210"/>
      <c r="Z17" s="36"/>
      <c r="AA17" s="36"/>
      <c r="AB17" s="36"/>
      <c r="AC17" s="36"/>
      <c r="AD17" s="36">
        <f>+AM17+BA17</f>
        <v>8</v>
      </c>
      <c r="AE17" s="229" t="s">
        <v>416</v>
      </c>
      <c r="AF17" s="36"/>
      <c r="AG17" s="36">
        <v>8</v>
      </c>
      <c r="AH17" s="36"/>
      <c r="AI17" s="502"/>
      <c r="AJ17" s="36"/>
      <c r="AK17" s="36"/>
      <c r="AL17" s="36"/>
      <c r="AM17" s="36">
        <f t="shared" si="4"/>
        <v>8</v>
      </c>
      <c r="AN17" s="82"/>
      <c r="AO17" s="36"/>
      <c r="AP17" s="36"/>
      <c r="AQ17" s="36"/>
      <c r="AR17" s="36">
        <f t="shared" ref="AR17:AR19" si="5"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>
        <f>+AR17+AS17+AU17+AW17+AY17+AZ17</f>
        <v>0</v>
      </c>
      <c r="BB17" s="49"/>
      <c r="BC17" s="50">
        <v>6</v>
      </c>
      <c r="BD17" s="50"/>
      <c r="BE17" s="49"/>
      <c r="BF17" s="50"/>
    </row>
    <row r="18" spans="1:58" ht="12.95" customHeight="1">
      <c r="A18" s="39"/>
      <c r="B18" s="40"/>
      <c r="C18" s="414"/>
      <c r="D18" s="40"/>
      <c r="E18" s="41"/>
      <c r="F18" s="41"/>
      <c r="G18" s="42"/>
      <c r="H18" s="43"/>
      <c r="I18" s="44"/>
      <c r="J18" s="81"/>
      <c r="K18" s="81"/>
      <c r="L18" s="34"/>
      <c r="M18" s="34"/>
      <c r="N18" s="45"/>
      <c r="O18" s="46"/>
      <c r="P18" s="47"/>
      <c r="Q18" s="46"/>
      <c r="R18" s="500"/>
      <c r="S18" s="500"/>
      <c r="T18" s="36"/>
      <c r="U18" s="36"/>
      <c r="V18" s="36"/>
      <c r="W18" s="36"/>
      <c r="X18" s="37"/>
      <c r="Y18" s="210"/>
      <c r="Z18" s="36"/>
      <c r="AA18" s="36"/>
      <c r="AB18" s="36"/>
      <c r="AC18" s="36"/>
      <c r="AD18" s="36">
        <f>+AM18+BA18</f>
        <v>50</v>
      </c>
      <c r="AE18" s="229" t="s">
        <v>429</v>
      </c>
      <c r="AF18" s="32"/>
      <c r="AG18" s="32"/>
      <c r="AH18" s="32">
        <v>50</v>
      </c>
      <c r="AJ18" s="36"/>
      <c r="AK18" s="36"/>
      <c r="AL18" s="36"/>
      <c r="AM18" s="36">
        <f t="shared" si="4"/>
        <v>50</v>
      </c>
      <c r="AN18" s="36"/>
      <c r="AO18" s="36"/>
      <c r="AP18" s="36"/>
      <c r="AQ18" s="36"/>
      <c r="AR18" s="36">
        <f t="shared" si="5"/>
        <v>0</v>
      </c>
      <c r="AS18" s="36"/>
      <c r="AT18" s="36"/>
      <c r="AU18" s="36"/>
      <c r="AV18" s="36"/>
      <c r="AW18" s="36"/>
      <c r="AX18" s="36"/>
      <c r="AY18" s="36"/>
      <c r="AZ18" s="36"/>
      <c r="BA18" s="36">
        <f>+AR18+AS18+AU18+AW18+AY18+AZ18</f>
        <v>0</v>
      </c>
      <c r="BB18" s="32"/>
      <c r="BC18" s="503"/>
      <c r="BD18" s="503"/>
      <c r="BE18" s="32"/>
      <c r="BF18" s="503"/>
    </row>
    <row r="19" spans="1:58" ht="12.95" customHeight="1">
      <c r="A19" s="39"/>
      <c r="B19" s="40"/>
      <c r="C19" s="414"/>
      <c r="D19" s="40"/>
      <c r="E19" s="41"/>
      <c r="F19" s="41"/>
      <c r="G19" s="42"/>
      <c r="H19" s="43"/>
      <c r="I19" s="44"/>
      <c r="J19" s="81"/>
      <c r="K19" s="81"/>
      <c r="L19" s="34"/>
      <c r="M19" s="34"/>
      <c r="N19" s="45"/>
      <c r="O19" s="46"/>
      <c r="P19" s="47"/>
      <c r="Q19" s="33"/>
      <c r="R19" s="500"/>
      <c r="S19" s="500"/>
      <c r="T19" s="36"/>
      <c r="U19" s="36"/>
      <c r="V19" s="36"/>
      <c r="W19" s="36"/>
      <c r="X19" s="37"/>
      <c r="Y19" s="210"/>
      <c r="Z19" s="36"/>
      <c r="AA19" s="36"/>
      <c r="AB19" s="36"/>
      <c r="AC19" s="36"/>
      <c r="AD19" s="36">
        <f>+AM19+BA19</f>
        <v>0</v>
      </c>
      <c r="AE19" s="232" t="s">
        <v>378</v>
      </c>
      <c r="AF19" s="36"/>
      <c r="AG19" s="36"/>
      <c r="AH19" s="36"/>
      <c r="AI19" s="502"/>
      <c r="AJ19" s="36"/>
      <c r="AK19" s="36"/>
      <c r="AL19" s="36"/>
      <c r="AM19" s="36">
        <f t="shared" si="4"/>
        <v>0</v>
      </c>
      <c r="AN19" s="36"/>
      <c r="AO19" s="36"/>
      <c r="AP19" s="36"/>
      <c r="AQ19" s="36"/>
      <c r="AR19" s="36">
        <f t="shared" si="5"/>
        <v>0</v>
      </c>
      <c r="AS19" s="36"/>
      <c r="AT19" s="36"/>
      <c r="AU19" s="36"/>
      <c r="AV19" s="36"/>
      <c r="AW19" s="36"/>
      <c r="AX19" s="36"/>
      <c r="AY19" s="36"/>
      <c r="AZ19" s="36"/>
      <c r="BA19" s="36">
        <f>+AR19+AS19+AU19+AW19+AY19+AZ19</f>
        <v>0</v>
      </c>
      <c r="BB19" s="49"/>
      <c r="BC19" s="50"/>
      <c r="BD19" s="50"/>
      <c r="BE19" s="49"/>
      <c r="BF19" s="50"/>
    </row>
    <row r="20" spans="1:58" ht="12.95" customHeight="1">
      <c r="A20" s="39"/>
      <c r="B20" s="40"/>
      <c r="C20" s="414"/>
      <c r="D20" s="40"/>
      <c r="E20" s="41"/>
      <c r="F20" s="41"/>
      <c r="G20" s="499"/>
      <c r="H20" s="43"/>
      <c r="I20" s="44"/>
      <c r="J20" s="81"/>
      <c r="K20" s="81"/>
      <c r="L20" s="34"/>
      <c r="M20" s="34"/>
      <c r="N20" s="45"/>
      <c r="O20" s="46"/>
      <c r="P20" s="47"/>
      <c r="Q20" s="46"/>
      <c r="R20" s="500"/>
      <c r="S20" s="500"/>
      <c r="T20" s="36"/>
      <c r="U20" s="36"/>
      <c r="V20" s="36"/>
      <c r="W20" s="36"/>
      <c r="X20" s="37"/>
      <c r="Y20" s="210"/>
      <c r="Z20" s="36"/>
      <c r="AA20" s="36"/>
      <c r="AB20" s="36"/>
      <c r="AC20" s="36"/>
      <c r="AD20" s="36"/>
      <c r="AE20" s="229"/>
      <c r="AF20" s="32"/>
      <c r="AG20" s="32"/>
      <c r="AH20" s="32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2"/>
      <c r="BC20" s="503"/>
      <c r="BD20" s="503"/>
      <c r="BE20" s="32"/>
      <c r="BF20" s="503"/>
    </row>
    <row r="21" spans="1:58" ht="12.75" customHeight="1">
      <c r="A21" s="39">
        <v>46116</v>
      </c>
      <c r="B21" s="40" t="s">
        <v>7</v>
      </c>
      <c r="C21" s="414">
        <f>(M21*E21*O21*Q21)/100000000</f>
        <v>13.725855359999997</v>
      </c>
      <c r="D21" s="40" t="s">
        <v>302</v>
      </c>
      <c r="E21" s="41">
        <v>11.5</v>
      </c>
      <c r="F21" s="41">
        <v>1</v>
      </c>
      <c r="G21" s="499">
        <v>1230</v>
      </c>
      <c r="H21" s="43">
        <v>0.23</v>
      </c>
      <c r="I21" s="44">
        <v>0.88</v>
      </c>
      <c r="J21" s="81">
        <f>E21*G21*(1-H21)*1440/1000000*2.74</f>
        <v>42.974094239999999</v>
      </c>
      <c r="K21" s="81">
        <f>(IF(G21&lt;L21,L21,G21)*(1-IF(H21&lt;N21,H21,N21))*E21*O21*Q21)/100000000</f>
        <v>13.90645872</v>
      </c>
      <c r="L21" s="34">
        <v>1230</v>
      </c>
      <c r="M21" s="34">
        <v>934.8</v>
      </c>
      <c r="N21" s="45">
        <f>1-(M21/L21)</f>
        <v>0.24</v>
      </c>
      <c r="O21" s="46">
        <f>+'Trim Rwd'!H10</f>
        <v>266</v>
      </c>
      <c r="P21" s="47">
        <f>O21*(Q21-R21-S21)</f>
        <v>122360</v>
      </c>
      <c r="Q21" s="46">
        <v>480</v>
      </c>
      <c r="R21" s="500">
        <v>0</v>
      </c>
      <c r="S21" s="500">
        <v>20</v>
      </c>
      <c r="T21" s="36">
        <f>E21*M21*O21*Q21/100000000</f>
        <v>13.725855359999997</v>
      </c>
      <c r="U21" s="36">
        <f>E21*M21*O21*(Q21-R21-S21)/100000000</f>
        <v>13.153944719999998</v>
      </c>
      <c r="V21" s="36">
        <f>E21*G21*(1-N21)*O21/100*(R21+S21)/1000000</f>
        <v>0.57191064000000003</v>
      </c>
      <c r="W21" s="36">
        <f>+'4'!K7/1000</f>
        <v>14.036</v>
      </c>
      <c r="X21" s="501">
        <f>SUM(W21:W25)/SUM(K21:K25)</f>
        <v>0.91752820960639481</v>
      </c>
      <c r="Y21" s="210">
        <v>0</v>
      </c>
      <c r="Z21" s="36">
        <f>+'1'!D40/1000</f>
        <v>0</v>
      </c>
      <c r="AA21" s="48">
        <f>SUM(U21:U25)-SUM(W21:W25)-SUM(Z21:Z25)-SUM(Y21:Y25)</f>
        <v>8.1616512000003638E-2</v>
      </c>
      <c r="AB21" s="48">
        <f>(SUM(K21:K25)-SUM(W21:W25)-SUM(Y21:Y25)-SUM(Z21:Z25)-SUM(AC21:AC25)-SUM(V21:V25))-AA21</f>
        <v>-3.6215059999999966E-2</v>
      </c>
      <c r="AC21" s="36">
        <f>K21-T21</f>
        <v>0.18060336000000277</v>
      </c>
      <c r="AD21" s="36">
        <f>+AM21+BA21</f>
        <v>8</v>
      </c>
      <c r="AE21" s="229" t="s">
        <v>453</v>
      </c>
      <c r="AF21" s="36">
        <v>8</v>
      </c>
      <c r="AG21" s="36"/>
      <c r="AH21" s="36"/>
      <c r="AI21" s="502"/>
      <c r="AJ21" s="36"/>
      <c r="AK21" s="36"/>
      <c r="AL21" s="36"/>
      <c r="AM21" s="36">
        <f t="shared" ref="AM21:AM24" si="6">SUM(AF21:AL21)+AT21+AV21+AX21</f>
        <v>8</v>
      </c>
      <c r="AN21" s="36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>
        <f>+AR21+AS21+AU21+AW21+AY21+AZ21</f>
        <v>0</v>
      </c>
      <c r="BB21" s="32">
        <v>4</v>
      </c>
      <c r="BC21" s="50"/>
      <c r="BD21" s="50"/>
      <c r="BE21" s="32"/>
      <c r="BF21" s="50"/>
    </row>
    <row r="22" spans="1:58" ht="12.95" customHeight="1">
      <c r="A22" s="39"/>
      <c r="B22" s="40" t="s">
        <v>7</v>
      </c>
      <c r="C22" s="414">
        <f t="shared" ref="C22:C23" si="7">(M22*E22*O22*Q22)/100000000</f>
        <v>5.9204375999999987</v>
      </c>
      <c r="D22" s="40" t="s">
        <v>302</v>
      </c>
      <c r="E22" s="41">
        <v>14</v>
      </c>
      <c r="F22" s="41">
        <v>1</v>
      </c>
      <c r="G22" s="499">
        <v>1230</v>
      </c>
      <c r="H22" s="43">
        <v>0.23</v>
      </c>
      <c r="I22" s="44">
        <v>0.88</v>
      </c>
      <c r="J22" s="81">
        <f t="shared" ref="J22:J23" si="8">E22*G22*(1-H22)*1440/1000000*2.74</f>
        <v>52.316288640000003</v>
      </c>
      <c r="K22" s="81">
        <f t="shared" ref="K22:K23" si="9">(IF(G22&lt;L22,L22,G22)*(1-IF(H22&lt;N22,H22,N22))*E22*O22*Q22)/100000000</f>
        <v>6.5998663500000001</v>
      </c>
      <c r="L22" s="34">
        <v>1180</v>
      </c>
      <c r="M22" s="34">
        <v>849.59999999999991</v>
      </c>
      <c r="N22" s="45">
        <f t="shared" ref="N22:N23" si="10">1-(M22/L22)</f>
        <v>0.28000000000000003</v>
      </c>
      <c r="O22" s="46">
        <f>+'Trim Rwd'!H11</f>
        <v>275</v>
      </c>
      <c r="P22" s="47">
        <f t="shared" ref="P22:P23" si="11">O22*(Q22-R22-S22)</f>
        <v>46200</v>
      </c>
      <c r="Q22" s="46">
        <v>181</v>
      </c>
      <c r="R22" s="500">
        <v>0</v>
      </c>
      <c r="S22" s="500">
        <v>13</v>
      </c>
      <c r="T22" s="36">
        <f t="shared" ref="T22:T23" si="12">E22*M22*O22*Q22/100000000</f>
        <v>5.9204375999999987</v>
      </c>
      <c r="U22" s="36">
        <f t="shared" ref="U22:U23" si="13">E22*M22*O22*(Q22-R22-S22)/100000000</f>
        <v>5.4952127999999991</v>
      </c>
      <c r="V22" s="36">
        <f t="shared" ref="V22:V23" si="14">E22*G22*(1-N22)*O22/100*(R22+S22)/1000000</f>
        <v>0.44324279999999999</v>
      </c>
      <c r="W22" s="36">
        <f>+'4'!K8/1000</f>
        <v>5.6929999999999996</v>
      </c>
      <c r="X22" s="37"/>
      <c r="Y22" s="210"/>
      <c r="Z22" s="36"/>
      <c r="AA22" s="36"/>
      <c r="AB22" s="36"/>
      <c r="AC22" s="36">
        <f>K22-T22</f>
        <v>0.67942875000000136</v>
      </c>
      <c r="AD22" s="36">
        <f>+AM22+BA22</f>
        <v>0</v>
      </c>
      <c r="AE22" s="229" t="s">
        <v>412</v>
      </c>
      <c r="AF22" s="36"/>
      <c r="AG22" s="36">
        <v>0</v>
      </c>
      <c r="AH22" s="36"/>
      <c r="AI22" s="502"/>
      <c r="AJ22" s="36"/>
      <c r="AK22" s="36"/>
      <c r="AL22" s="36"/>
      <c r="AM22" s="36">
        <f t="shared" si="6"/>
        <v>0</v>
      </c>
      <c r="AN22" s="82"/>
      <c r="AO22" s="36"/>
      <c r="AP22" s="36"/>
      <c r="AQ22" s="36"/>
      <c r="AR22" s="36">
        <f t="shared" ref="AR22:AR24" si="15">SUM(AN22:AQ22)</f>
        <v>0</v>
      </c>
      <c r="AS22" s="36"/>
      <c r="AT22" s="36"/>
      <c r="AU22" s="36"/>
      <c r="AV22" s="36"/>
      <c r="AW22" s="36"/>
      <c r="AX22" s="36"/>
      <c r="AY22" s="36"/>
      <c r="AZ22" s="36"/>
      <c r="BA22" s="36">
        <f>+AR22+AS22+AU22+AW22+AY22+AZ22</f>
        <v>0</v>
      </c>
      <c r="BB22" s="49"/>
      <c r="BC22" s="50">
        <v>0</v>
      </c>
      <c r="BD22" s="50"/>
      <c r="BE22" s="49"/>
      <c r="BF22" s="50"/>
    </row>
    <row r="23" spans="1:58" ht="12.95" customHeight="1">
      <c r="A23" s="39"/>
      <c r="B23" s="40" t="s">
        <v>7</v>
      </c>
      <c r="C23" s="414">
        <f t="shared" si="7"/>
        <v>24.503381122000008</v>
      </c>
      <c r="D23" s="40" t="s">
        <v>302</v>
      </c>
      <c r="E23" s="41">
        <v>13</v>
      </c>
      <c r="F23" s="41">
        <v>1</v>
      </c>
      <c r="G23" s="499">
        <v>1230</v>
      </c>
      <c r="H23" s="43">
        <v>0.23</v>
      </c>
      <c r="I23" s="44">
        <v>0.88</v>
      </c>
      <c r="J23" s="81">
        <f t="shared" si="8"/>
        <v>48.579410880000005</v>
      </c>
      <c r="K23" s="81">
        <f t="shared" si="9"/>
        <v>25.236137734500009</v>
      </c>
      <c r="L23" s="34">
        <v>1210</v>
      </c>
      <c r="M23" s="34">
        <v>919.6</v>
      </c>
      <c r="N23" s="45">
        <f t="shared" si="10"/>
        <v>0.24</v>
      </c>
      <c r="O23" s="46">
        <f>+'Trim Rwd'!H12</f>
        <v>263.11538461538464</v>
      </c>
      <c r="P23" s="47">
        <f t="shared" si="11"/>
        <v>195757.84615384619</v>
      </c>
      <c r="Q23" s="46">
        <v>779</v>
      </c>
      <c r="R23" s="500">
        <v>0</v>
      </c>
      <c r="S23" s="500">
        <v>35</v>
      </c>
      <c r="T23" s="36">
        <f t="shared" si="12"/>
        <v>24.503381122000008</v>
      </c>
      <c r="U23" s="36">
        <f t="shared" si="13"/>
        <v>23.402458992000007</v>
      </c>
      <c r="V23" s="36">
        <f t="shared" si="14"/>
        <v>1.1191191900000002</v>
      </c>
      <c r="W23" s="36">
        <f>+'4'!K9/1000</f>
        <v>22.241</v>
      </c>
      <c r="X23" s="37"/>
      <c r="Y23" s="210"/>
      <c r="Z23" s="36"/>
      <c r="AA23" s="36"/>
      <c r="AB23" s="36"/>
      <c r="AC23" s="36">
        <f>K23-T23</f>
        <v>0.73275661250000113</v>
      </c>
      <c r="AD23" s="36">
        <f>+AM23+BA23</f>
        <v>60</v>
      </c>
      <c r="AE23" s="229" t="s">
        <v>431</v>
      </c>
      <c r="AF23" s="32"/>
      <c r="AG23" s="32"/>
      <c r="AH23" s="32">
        <v>60</v>
      </c>
      <c r="AJ23" s="36"/>
      <c r="AK23" s="36"/>
      <c r="AL23" s="36"/>
      <c r="AM23" s="36">
        <f t="shared" si="6"/>
        <v>60</v>
      </c>
      <c r="AN23" s="36"/>
      <c r="AO23" s="36"/>
      <c r="AP23" s="36"/>
      <c r="AQ23" s="36"/>
      <c r="AR23" s="36">
        <f t="shared" si="15"/>
        <v>0</v>
      </c>
      <c r="AS23" s="36"/>
      <c r="AT23" s="36"/>
      <c r="AU23" s="36"/>
      <c r="AV23" s="36"/>
      <c r="AW23" s="36"/>
      <c r="AX23" s="36"/>
      <c r="AY23" s="36"/>
      <c r="AZ23" s="36"/>
      <c r="BA23" s="36">
        <f>+AR23+AS23+AU23+AW23+AY23+AZ23</f>
        <v>0</v>
      </c>
      <c r="BB23" s="32"/>
      <c r="BC23" s="503"/>
      <c r="BD23" s="503"/>
      <c r="BE23" s="32"/>
      <c r="BF23" s="503"/>
    </row>
    <row r="24" spans="1:58" ht="12.95" customHeight="1">
      <c r="A24" s="39"/>
      <c r="B24" s="40"/>
      <c r="C24" s="414"/>
      <c r="D24" s="40"/>
      <c r="E24" s="41"/>
      <c r="F24" s="41"/>
      <c r="G24" s="42"/>
      <c r="H24" s="43"/>
      <c r="I24" s="44"/>
      <c r="J24" s="81"/>
      <c r="K24" s="81"/>
      <c r="L24" s="34"/>
      <c r="M24" s="34"/>
      <c r="N24" s="45"/>
      <c r="O24" s="46"/>
      <c r="P24" s="47"/>
      <c r="Q24" s="33"/>
      <c r="R24" s="500"/>
      <c r="S24" s="500"/>
      <c r="T24" s="36"/>
      <c r="U24" s="36"/>
      <c r="V24" s="36"/>
      <c r="W24" s="36"/>
      <c r="X24" s="37"/>
      <c r="Y24" s="210"/>
      <c r="Z24" s="36"/>
      <c r="AA24" s="36"/>
      <c r="AB24" s="36"/>
      <c r="AC24" s="36"/>
      <c r="AD24" s="36">
        <f>+AM24+BA24</f>
        <v>0</v>
      </c>
      <c r="AE24" s="232" t="s">
        <v>378</v>
      </c>
      <c r="AF24" s="36"/>
      <c r="AG24" s="36"/>
      <c r="AH24" s="36"/>
      <c r="AI24" s="502"/>
      <c r="AJ24" s="36"/>
      <c r="AK24" s="36"/>
      <c r="AL24" s="36"/>
      <c r="AM24" s="36">
        <f t="shared" si="6"/>
        <v>0</v>
      </c>
      <c r="AN24" s="36"/>
      <c r="AO24" s="36"/>
      <c r="AP24" s="36"/>
      <c r="AQ24" s="36"/>
      <c r="AR24" s="36">
        <f t="shared" si="15"/>
        <v>0</v>
      </c>
      <c r="AS24" s="36"/>
      <c r="AT24" s="36"/>
      <c r="AU24" s="36"/>
      <c r="AV24" s="36"/>
      <c r="AW24" s="36"/>
      <c r="AX24" s="36"/>
      <c r="AY24" s="36"/>
      <c r="AZ24" s="36"/>
      <c r="BA24" s="36">
        <f>+AR24+AS24+AU24+AW24+AY24+AZ24</f>
        <v>0</v>
      </c>
      <c r="BB24" s="49"/>
      <c r="BC24" s="50"/>
      <c r="BD24" s="50"/>
      <c r="BE24" s="49"/>
      <c r="BF24" s="50"/>
    </row>
    <row r="25" spans="1:58" ht="12.95" customHeight="1">
      <c r="A25" s="39"/>
      <c r="B25" s="40"/>
      <c r="C25" s="414"/>
      <c r="D25" s="40"/>
      <c r="E25" s="41"/>
      <c r="F25" s="41"/>
      <c r="G25" s="42"/>
      <c r="H25" s="43"/>
      <c r="I25" s="44"/>
      <c r="J25" s="81"/>
      <c r="K25" s="81"/>
      <c r="L25" s="34"/>
      <c r="M25" s="34"/>
      <c r="N25" s="45"/>
      <c r="O25" s="46"/>
      <c r="P25" s="47"/>
      <c r="Q25" s="46"/>
      <c r="R25" s="500"/>
      <c r="S25" s="500"/>
      <c r="T25" s="36"/>
      <c r="U25" s="36"/>
      <c r="V25" s="36"/>
      <c r="W25" s="36"/>
      <c r="X25" s="37"/>
      <c r="Y25" s="210"/>
      <c r="Z25" s="36"/>
      <c r="AA25" s="36"/>
      <c r="AB25" s="36"/>
      <c r="AC25" s="36"/>
      <c r="AD25" s="36"/>
      <c r="AE25" s="229"/>
      <c r="AF25" s="32"/>
      <c r="AG25" s="32"/>
      <c r="AH25" s="32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2"/>
      <c r="BC25" s="503"/>
      <c r="BD25" s="50"/>
      <c r="BE25" s="50"/>
      <c r="BF25" s="50"/>
    </row>
    <row r="26" spans="1:58" ht="12.75" customHeight="1">
      <c r="A26" s="39">
        <v>46117</v>
      </c>
      <c r="B26" s="40" t="s">
        <v>7</v>
      </c>
      <c r="C26" s="414">
        <f>(M26*E26*O26*Q26)/100000000</f>
        <v>41.177566079999998</v>
      </c>
      <c r="D26" s="40" t="s">
        <v>302</v>
      </c>
      <c r="E26" s="41">
        <v>11.5</v>
      </c>
      <c r="F26" s="41">
        <v>1</v>
      </c>
      <c r="G26" s="499">
        <v>1230</v>
      </c>
      <c r="H26" s="43">
        <v>0.23</v>
      </c>
      <c r="I26" s="44">
        <v>0.88</v>
      </c>
      <c r="J26" s="81">
        <f>E26*G26*(1-H26)*1440/1000000*2.74</f>
        <v>42.974094239999999</v>
      </c>
      <c r="K26" s="81">
        <f>(IF(G26&lt;L26,L26,G26)*(1-IF(H26&lt;N26,H26,N26))*E26*O26*Q26)/100000000</f>
        <v>41.719376160000003</v>
      </c>
      <c r="L26" s="34">
        <v>1230</v>
      </c>
      <c r="M26" s="34">
        <v>934.8</v>
      </c>
      <c r="N26" s="45">
        <f>1-(M26/L26)</f>
        <v>0.24</v>
      </c>
      <c r="O26" s="46">
        <f>+'Trim Rwd'!H15</f>
        <v>266</v>
      </c>
      <c r="P26" s="47">
        <f>O26*(Q26-R26-S26)</f>
        <v>363888</v>
      </c>
      <c r="Q26" s="46">
        <v>1440</v>
      </c>
      <c r="R26" s="500">
        <v>0</v>
      </c>
      <c r="S26" s="500">
        <v>72</v>
      </c>
      <c r="T26" s="36">
        <f>E26*M26*O26*Q26/100000000</f>
        <v>41.177566079999998</v>
      </c>
      <c r="U26" s="36">
        <f>E26*M26*O26*(Q26-R26-S26)/100000000</f>
        <v>39.118687775999994</v>
      </c>
      <c r="V26" s="36">
        <f>E26*G26*(1-N26)*O26/100*(R26+S26)/1000000</f>
        <v>2.0588783040000003</v>
      </c>
      <c r="W26" s="36">
        <f>+'5'!K7/1000</f>
        <v>39.289000000000001</v>
      </c>
      <c r="X26" s="501">
        <f>SUM(W26:W30)/SUM(K26:K30)</f>
        <v>0.94174466677835378</v>
      </c>
      <c r="Y26" s="210">
        <v>0</v>
      </c>
      <c r="Z26" s="36">
        <f>+'1'!D45/1000</f>
        <v>0</v>
      </c>
      <c r="AA26" s="48">
        <f>SUM(U26:U30)-SUM(W26:W30)-SUM(Z26:Z30)-SUM(Y26:Y30)</f>
        <v>-0.17031222400000701</v>
      </c>
      <c r="AB26" s="48">
        <f>(SUM(K26:K30)-SUM(W26:W30)-SUM(Y26:Y30)-SUM(Z26:Z30)-SUM(AC26:AC30)-SUM(V26:V30))-AA26</f>
        <v>3.5527136788005009E-15</v>
      </c>
      <c r="AC26" s="36">
        <f>K26-T26</f>
        <v>0.54181008000000475</v>
      </c>
      <c r="AD26" s="36">
        <f>+AM26+BA26</f>
        <v>0</v>
      </c>
      <c r="AE26" s="229" t="s">
        <v>415</v>
      </c>
      <c r="AF26" s="36">
        <v>0</v>
      </c>
      <c r="AG26" s="36"/>
      <c r="AH26" s="36"/>
      <c r="AI26" s="502"/>
      <c r="AJ26" s="36"/>
      <c r="AK26" s="36"/>
      <c r="AL26" s="36"/>
      <c r="AM26" s="36">
        <f t="shared" ref="AM26" si="16">SUM(AF26:AL26)+AT26+AV26+AX26</f>
        <v>0</v>
      </c>
      <c r="AN26" s="36"/>
      <c r="AO26" s="36"/>
      <c r="AP26" s="36"/>
      <c r="AQ26" s="36"/>
      <c r="AR26" s="36">
        <f>SUM(AN26:AQ26)</f>
        <v>0</v>
      </c>
      <c r="AS26" s="36"/>
      <c r="AT26" s="36"/>
      <c r="AU26" s="36"/>
      <c r="AV26" s="36"/>
      <c r="AW26" s="36"/>
      <c r="AX26" s="36"/>
      <c r="AY26" s="36"/>
      <c r="AZ26" s="36"/>
      <c r="BA26" s="36">
        <f>+AR26+AS26+AU26+AW26+AY26+AZ26</f>
        <v>0</v>
      </c>
      <c r="BB26" s="32">
        <v>6</v>
      </c>
      <c r="BC26" s="50"/>
      <c r="BD26" s="50"/>
      <c r="BE26" s="32"/>
      <c r="BF26" s="50"/>
    </row>
    <row r="27" spans="1:58" ht="12.95" customHeight="1">
      <c r="A27" s="39"/>
      <c r="B27" s="40"/>
      <c r="C27" s="414"/>
      <c r="D27" s="40"/>
      <c r="E27" s="41"/>
      <c r="F27" s="41"/>
      <c r="G27" s="499"/>
      <c r="H27" s="43"/>
      <c r="I27" s="44"/>
      <c r="J27" s="81"/>
      <c r="K27" s="81"/>
      <c r="L27" s="34"/>
      <c r="M27" s="34"/>
      <c r="N27" s="45"/>
      <c r="O27" s="46"/>
      <c r="P27" s="47"/>
      <c r="Q27" s="46"/>
      <c r="R27" s="500"/>
      <c r="S27" s="500"/>
      <c r="T27" s="36"/>
      <c r="U27" s="36"/>
      <c r="V27" s="36"/>
      <c r="W27" s="36"/>
      <c r="X27" s="37"/>
      <c r="Y27" s="210"/>
      <c r="Z27" s="36"/>
      <c r="AA27" s="36"/>
      <c r="AB27" s="36"/>
      <c r="AC27" s="36"/>
      <c r="AD27" s="36">
        <f>+AM27+BA27</f>
        <v>0</v>
      </c>
      <c r="AE27" s="229" t="s">
        <v>412</v>
      </c>
      <c r="AF27" s="36"/>
      <c r="AG27" s="36">
        <v>0</v>
      </c>
      <c r="AH27" s="36"/>
      <c r="AI27" s="502"/>
      <c r="AJ27" s="36"/>
      <c r="AK27" s="36"/>
      <c r="AL27" s="36"/>
      <c r="AM27" s="36">
        <f t="shared" ref="AM27:AM29" si="17">SUM(AF27:AL27)+AT27+AV27+AX27</f>
        <v>0</v>
      </c>
      <c r="AN27" s="82"/>
      <c r="AO27" s="36"/>
      <c r="AP27" s="36"/>
      <c r="AQ27" s="36"/>
      <c r="AR27" s="36">
        <f t="shared" ref="AR27:AR29" si="18">SUM(AN27:AQ27)</f>
        <v>0</v>
      </c>
      <c r="AS27" s="36"/>
      <c r="AT27" s="36"/>
      <c r="AU27" s="36"/>
      <c r="AV27" s="36"/>
      <c r="AW27" s="36"/>
      <c r="AX27" s="36"/>
      <c r="AY27" s="36"/>
      <c r="AZ27" s="36"/>
      <c r="BA27" s="36">
        <f>+AR27+AS27+AU27+AW27+AY27+AZ27</f>
        <v>0</v>
      </c>
      <c r="BB27" s="49"/>
      <c r="BC27" s="50">
        <v>0</v>
      </c>
      <c r="BD27" s="50"/>
      <c r="BE27" s="49"/>
      <c r="BF27" s="50"/>
    </row>
    <row r="28" spans="1:58" ht="12.95" customHeight="1">
      <c r="A28" s="39"/>
      <c r="B28" s="40"/>
      <c r="C28" s="414"/>
      <c r="D28" s="40"/>
      <c r="E28" s="41"/>
      <c r="F28" s="41"/>
      <c r="G28" s="42"/>
      <c r="H28" s="43"/>
      <c r="I28" s="44"/>
      <c r="J28" s="81"/>
      <c r="K28" s="81"/>
      <c r="L28" s="34"/>
      <c r="M28" s="34"/>
      <c r="N28" s="45"/>
      <c r="O28" s="46"/>
      <c r="P28" s="47"/>
      <c r="Q28" s="46"/>
      <c r="R28" s="500"/>
      <c r="S28" s="500"/>
      <c r="T28" s="36"/>
      <c r="U28" s="36"/>
      <c r="V28" s="36"/>
      <c r="W28" s="36"/>
      <c r="X28" s="37"/>
      <c r="Y28" s="210"/>
      <c r="Z28" s="36"/>
      <c r="AA28" s="36"/>
      <c r="AB28" s="36"/>
      <c r="AC28" s="36"/>
      <c r="AD28" s="36">
        <f>+AM28+BA28</f>
        <v>72</v>
      </c>
      <c r="AE28" s="229" t="s">
        <v>431</v>
      </c>
      <c r="AF28" s="32"/>
      <c r="AG28" s="32"/>
      <c r="AH28" s="32">
        <v>72</v>
      </c>
      <c r="AJ28" s="36"/>
      <c r="AK28" s="36"/>
      <c r="AL28" s="36"/>
      <c r="AM28" s="36">
        <f t="shared" si="17"/>
        <v>72</v>
      </c>
      <c r="AN28" s="36"/>
      <c r="AO28" s="36"/>
      <c r="AP28" s="36"/>
      <c r="AQ28" s="36"/>
      <c r="AR28" s="36">
        <f t="shared" si="18"/>
        <v>0</v>
      </c>
      <c r="AS28" s="36"/>
      <c r="AT28" s="36"/>
      <c r="AU28" s="36"/>
      <c r="AV28" s="36"/>
      <c r="AW28" s="36"/>
      <c r="AX28" s="36"/>
      <c r="AY28" s="36"/>
      <c r="AZ28" s="36"/>
      <c r="BA28" s="36">
        <f>+AR28+AS28+AU28+AW28+AY28+AZ28</f>
        <v>0</v>
      </c>
      <c r="BB28" s="32"/>
      <c r="BC28" s="503"/>
      <c r="BD28" s="503"/>
      <c r="BE28" s="32"/>
      <c r="BF28" s="503"/>
    </row>
    <row r="29" spans="1:58" ht="12.95" customHeight="1">
      <c r="A29" s="39"/>
      <c r="B29" s="40"/>
      <c r="C29" s="414"/>
      <c r="D29" s="40"/>
      <c r="E29" s="41"/>
      <c r="F29" s="41"/>
      <c r="G29" s="42"/>
      <c r="H29" s="43"/>
      <c r="I29" s="44"/>
      <c r="J29" s="81"/>
      <c r="K29" s="81"/>
      <c r="L29" s="34"/>
      <c r="M29" s="34"/>
      <c r="N29" s="45"/>
      <c r="O29" s="46"/>
      <c r="P29" s="47"/>
      <c r="Q29" s="33"/>
      <c r="R29" s="500"/>
      <c r="S29" s="500"/>
      <c r="T29" s="36"/>
      <c r="U29" s="36"/>
      <c r="V29" s="36"/>
      <c r="W29" s="36"/>
      <c r="X29" s="37"/>
      <c r="Y29" s="210"/>
      <c r="Z29" s="36"/>
      <c r="AA29" s="36"/>
      <c r="AB29" s="36"/>
      <c r="AC29" s="36"/>
      <c r="AD29" s="36">
        <f>+AM29+BA29</f>
        <v>0</v>
      </c>
      <c r="AE29" s="232" t="s">
        <v>378</v>
      </c>
      <c r="AF29" s="36"/>
      <c r="AG29" s="36"/>
      <c r="AH29" s="36"/>
      <c r="AI29" s="502"/>
      <c r="AJ29" s="36"/>
      <c r="AK29" s="36"/>
      <c r="AL29" s="36"/>
      <c r="AM29" s="36">
        <f t="shared" si="17"/>
        <v>0</v>
      </c>
      <c r="AN29" s="36"/>
      <c r="AO29" s="36"/>
      <c r="AP29" s="36"/>
      <c r="AQ29" s="36"/>
      <c r="AR29" s="36">
        <f t="shared" si="18"/>
        <v>0</v>
      </c>
      <c r="AS29" s="36"/>
      <c r="AT29" s="36"/>
      <c r="AU29" s="36"/>
      <c r="AV29" s="36"/>
      <c r="AW29" s="36"/>
      <c r="AX29" s="36"/>
      <c r="AY29" s="36"/>
      <c r="AZ29" s="36"/>
      <c r="BA29" s="36">
        <f>+AR29+AS29+AU29+AW29+AY29+AZ29</f>
        <v>0</v>
      </c>
      <c r="BB29" s="49"/>
      <c r="BC29" s="50"/>
      <c r="BD29" s="50"/>
      <c r="BE29" s="49"/>
      <c r="BF29" s="50"/>
    </row>
    <row r="30" spans="1:58" ht="12.95" customHeight="1">
      <c r="A30" s="39"/>
      <c r="B30" s="40"/>
      <c r="C30" s="414"/>
      <c r="D30" s="40"/>
      <c r="E30" s="41"/>
      <c r="F30" s="41"/>
      <c r="G30" s="42"/>
      <c r="H30" s="43"/>
      <c r="I30" s="44"/>
      <c r="J30" s="81"/>
      <c r="K30" s="81"/>
      <c r="L30" s="34"/>
      <c r="M30" s="34"/>
      <c r="N30" s="45"/>
      <c r="O30" s="46"/>
      <c r="P30" s="47"/>
      <c r="Q30" s="46"/>
      <c r="R30" s="500"/>
      <c r="S30" s="500"/>
      <c r="T30" s="36"/>
      <c r="U30" s="36"/>
      <c r="V30" s="36"/>
      <c r="W30" s="36"/>
      <c r="X30" s="37"/>
      <c r="Y30" s="210"/>
      <c r="Z30" s="36"/>
      <c r="AA30" s="36"/>
      <c r="AB30" s="36"/>
      <c r="AC30" s="36"/>
      <c r="AD30" s="36"/>
      <c r="AE30" s="229"/>
      <c r="AF30" s="32"/>
      <c r="AG30" s="32"/>
      <c r="AH30" s="32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2"/>
      <c r="BC30" s="503"/>
      <c r="BD30" s="50"/>
      <c r="BE30" s="49"/>
      <c r="BF30" s="50"/>
    </row>
    <row r="31" spans="1:58" ht="12.75" customHeight="1">
      <c r="A31" s="39">
        <v>46118</v>
      </c>
      <c r="B31" s="40" t="s">
        <v>7</v>
      </c>
      <c r="C31" s="414">
        <f>(M31*E31*O31*Q31)/100000000</f>
        <v>4.7754538439999994</v>
      </c>
      <c r="D31" s="40" t="s">
        <v>302</v>
      </c>
      <c r="E31" s="41">
        <v>11.5</v>
      </c>
      <c r="F31" s="41">
        <v>1</v>
      </c>
      <c r="G31" s="499">
        <v>1230</v>
      </c>
      <c r="H31" s="43">
        <v>0.23</v>
      </c>
      <c r="I31" s="44">
        <v>0.88</v>
      </c>
      <c r="J31" s="81">
        <f>E31*G31*(1-H31)*1440/1000000*2.74</f>
        <v>42.974094239999999</v>
      </c>
      <c r="K31" s="81">
        <f>(IF(G31&lt;L31,L31,G31)*(1-IF(H31&lt;N31,H31,N31))*E31*O31*Q31)/100000000</f>
        <v>4.8382887630000004</v>
      </c>
      <c r="L31" s="34">
        <v>1230</v>
      </c>
      <c r="M31" s="34">
        <v>934.8</v>
      </c>
      <c r="N31" s="45">
        <f>1-(M31/L31)</f>
        <v>0.24</v>
      </c>
      <c r="O31" s="46">
        <f>+'Trim Rwd'!H17</f>
        <v>266</v>
      </c>
      <c r="P31" s="47">
        <f>O31*(Q31-R31-S31)</f>
        <v>42294</v>
      </c>
      <c r="Q31" s="46">
        <v>167</v>
      </c>
      <c r="R31" s="500">
        <v>0</v>
      </c>
      <c r="S31" s="500">
        <v>8</v>
      </c>
      <c r="T31" s="36">
        <f>E31*M31*O31*Q31/100000000</f>
        <v>4.7754538439999994</v>
      </c>
      <c r="U31" s="36">
        <f>E31*M31*O31*(Q31-R31-S31)/100000000</f>
        <v>4.5466895879999996</v>
      </c>
      <c r="V31" s="36">
        <f>E31*G31*(1-N31)*O31/100*(R31+S31)/1000000</f>
        <v>0.22876425600000003</v>
      </c>
      <c r="W31" s="36">
        <f>+'6'!K7/1000</f>
        <v>5.6580000000000004</v>
      </c>
      <c r="X31" s="501">
        <f>SUM(W31:W35)/SUM(K31:K35)</f>
        <v>0.83363160760019694</v>
      </c>
      <c r="Y31" s="210">
        <v>0</v>
      </c>
      <c r="Z31" s="36">
        <f>+'1'!D50/1000</f>
        <v>0</v>
      </c>
      <c r="AA31" s="48">
        <f>SUM(U31:U35)-SUM(W31:W35)-SUM(Z31:Z35)-SUM(Y31:Y35)</f>
        <v>3.1459555480000034</v>
      </c>
      <c r="AB31" s="48">
        <f>(SUM(K31:K35)-SUM(W31:W35)-SUM(Y31:Y35)-SUM(Z31:Z35)-SUM(AC31:AC35)-SUM(V31:V35))-AA31</f>
        <v>-0.10483200000000092</v>
      </c>
      <c r="AC31" s="36">
        <f>K31-T31</f>
        <v>6.2834919000001044E-2</v>
      </c>
      <c r="AD31" s="36">
        <f>+AM31+BA31</f>
        <v>9</v>
      </c>
      <c r="AE31" s="229" t="s">
        <v>453</v>
      </c>
      <c r="AF31" s="36">
        <v>9</v>
      </c>
      <c r="AG31" s="36"/>
      <c r="AH31" s="36"/>
      <c r="AI31" s="502"/>
      <c r="AJ31" s="36"/>
      <c r="AK31" s="36"/>
      <c r="AL31" s="36"/>
      <c r="AM31" s="36">
        <f t="shared" ref="AM31:AM34" si="19">SUM(AF31:AL31)+AT31+AV31+AX31</f>
        <v>9</v>
      </c>
      <c r="AN31" s="36"/>
      <c r="AO31" s="36"/>
      <c r="AP31" s="36"/>
      <c r="AQ31" s="36"/>
      <c r="AR31" s="36">
        <f>SUM(AN31:AQ31)</f>
        <v>0</v>
      </c>
      <c r="AS31" s="36"/>
      <c r="AT31" s="36"/>
      <c r="AU31" s="36"/>
      <c r="AV31" s="36"/>
      <c r="AW31" s="36"/>
      <c r="AX31" s="36"/>
      <c r="AY31" s="36"/>
      <c r="AZ31" s="36"/>
      <c r="BA31" s="36">
        <f>+AR31+AS31+AU31+AW31+AY31+AZ31</f>
        <v>0</v>
      </c>
      <c r="BB31" s="32">
        <v>4</v>
      </c>
      <c r="BC31" s="50"/>
      <c r="BD31" s="50"/>
      <c r="BE31" s="32"/>
      <c r="BF31" s="50"/>
    </row>
    <row r="32" spans="1:58" ht="12.95" customHeight="1">
      <c r="A32" s="39"/>
      <c r="B32" s="40" t="s">
        <v>7</v>
      </c>
      <c r="C32" s="414">
        <f t="shared" ref="C32:C33" si="20">(M32*E32*O32*Q32)/100000000</f>
        <v>6.027440831999999</v>
      </c>
      <c r="D32" s="40" t="s">
        <v>302</v>
      </c>
      <c r="E32" s="41">
        <v>12</v>
      </c>
      <c r="F32" s="41">
        <v>1</v>
      </c>
      <c r="G32" s="499">
        <v>1230</v>
      </c>
      <c r="H32" s="43">
        <f>+N32</f>
        <v>0.24</v>
      </c>
      <c r="I32" s="44">
        <v>0.88</v>
      </c>
      <c r="J32" s="81">
        <f t="shared" ref="J32:J33" si="21">E32*G32*(1-H32)*1440/1000000*2.74</f>
        <v>44.260162560000005</v>
      </c>
      <c r="K32" s="81">
        <f t="shared" ref="K32:K33" si="22">(IF(G32&lt;L32,L32,G32)*(1-IF(H32&lt;N32,H32,N32))*E32*O32*Q32)/100000000</f>
        <v>6.027440831999999</v>
      </c>
      <c r="L32" s="34">
        <v>1230</v>
      </c>
      <c r="M32" s="34">
        <v>934.8</v>
      </c>
      <c r="N32" s="45">
        <f t="shared" ref="N32:N33" si="23">1-(M32/L32)</f>
        <v>0.24</v>
      </c>
      <c r="O32" s="46">
        <f>+'Trim Rwd'!H18</f>
        <v>266</v>
      </c>
      <c r="P32" s="47">
        <f t="shared" ref="P32:P33" si="24">O32*(Q32-R32-S32)</f>
        <v>49210</v>
      </c>
      <c r="Q32" s="46">
        <v>202</v>
      </c>
      <c r="R32" s="500">
        <v>0</v>
      </c>
      <c r="S32" s="500">
        <v>17</v>
      </c>
      <c r="T32" s="36">
        <f t="shared" ref="T32:T33" si="25">E32*M32*O32*Q32/100000000</f>
        <v>6.027440831999999</v>
      </c>
      <c r="U32" s="36">
        <f t="shared" ref="U32:U33" si="26">E32*M32*O32*(Q32-R32-S32)/100000000</f>
        <v>5.5201809599999985</v>
      </c>
      <c r="V32" s="36">
        <f t="shared" ref="V32:V33" si="27">E32*G32*(1-N32)*O32/100*(R32+S32)/1000000</f>
        <v>0.507259872</v>
      </c>
      <c r="W32" s="36">
        <f>+'6'!K10/1000</f>
        <v>7.6449999999999996</v>
      </c>
      <c r="X32" s="37"/>
      <c r="Y32" s="210"/>
      <c r="Z32" s="36"/>
      <c r="AA32" s="36"/>
      <c r="AB32" s="36"/>
      <c r="AC32" s="36">
        <f>K32-T32</f>
        <v>0</v>
      </c>
      <c r="AD32" s="36">
        <f>+AM32+BA32</f>
        <v>9</v>
      </c>
      <c r="AE32" s="229" t="s">
        <v>465</v>
      </c>
      <c r="AF32" s="36"/>
      <c r="AG32" s="36">
        <v>9</v>
      </c>
      <c r="AH32" s="36"/>
      <c r="AI32" s="502"/>
      <c r="AJ32" s="36"/>
      <c r="AK32" s="36"/>
      <c r="AL32" s="36"/>
      <c r="AM32" s="36">
        <f t="shared" si="19"/>
        <v>9</v>
      </c>
      <c r="AN32" s="82"/>
      <c r="AO32" s="36"/>
      <c r="AP32" s="36"/>
      <c r="AQ32" s="36"/>
      <c r="AR32" s="36">
        <f t="shared" ref="AR32:AR34" si="28">SUM(AN32:AQ32)</f>
        <v>0</v>
      </c>
      <c r="AS32" s="36"/>
      <c r="AT32" s="36"/>
      <c r="AU32" s="36"/>
      <c r="AV32" s="36"/>
      <c r="AW32" s="36"/>
      <c r="AX32" s="36"/>
      <c r="AY32" s="36"/>
      <c r="AZ32" s="36"/>
      <c r="BA32" s="36">
        <f>+AR32+AS32+AU32+AW32+AY32+AZ32</f>
        <v>0</v>
      </c>
      <c r="BB32" s="49"/>
      <c r="BC32" s="50">
        <v>3</v>
      </c>
      <c r="BD32" s="50"/>
      <c r="BE32" s="49"/>
      <c r="BF32" s="50"/>
    </row>
    <row r="33" spans="1:58" ht="12.95" customHeight="1">
      <c r="A33" s="39"/>
      <c r="B33" s="40" t="s">
        <v>7</v>
      </c>
      <c r="C33" s="414">
        <f t="shared" si="20"/>
        <v>33.624045000000002</v>
      </c>
      <c r="D33" s="40" t="s">
        <v>302</v>
      </c>
      <c r="E33" s="41">
        <v>14</v>
      </c>
      <c r="F33" s="41">
        <v>1</v>
      </c>
      <c r="G33" s="499">
        <v>1230</v>
      </c>
      <c r="H33" s="43">
        <f>+N33</f>
        <v>0.25</v>
      </c>
      <c r="I33" s="44">
        <v>0.88</v>
      </c>
      <c r="J33" s="81">
        <f t="shared" si="21"/>
        <v>50.957424000000003</v>
      </c>
      <c r="K33" s="81">
        <f t="shared" si="22"/>
        <v>35.963109000000003</v>
      </c>
      <c r="L33" s="34">
        <v>1150</v>
      </c>
      <c r="M33" s="34">
        <v>862.5</v>
      </c>
      <c r="N33" s="45">
        <f t="shared" si="23"/>
        <v>0.25</v>
      </c>
      <c r="O33" s="46">
        <f>+'Trim Rwd'!H19</f>
        <v>260</v>
      </c>
      <c r="P33" s="47">
        <f t="shared" si="24"/>
        <v>265980</v>
      </c>
      <c r="Q33" s="46">
        <v>1071</v>
      </c>
      <c r="R33" s="500">
        <v>0</v>
      </c>
      <c r="S33" s="500">
        <f>73-S31-S32</f>
        <v>48</v>
      </c>
      <c r="T33" s="36">
        <f t="shared" si="25"/>
        <v>33.624045000000002</v>
      </c>
      <c r="U33" s="36">
        <f t="shared" si="26"/>
        <v>32.117085000000003</v>
      </c>
      <c r="V33" s="36">
        <f t="shared" si="27"/>
        <v>1.6117919999999999</v>
      </c>
      <c r="W33" s="36">
        <f>+'6'!K8/1000</f>
        <v>25.734999999999999</v>
      </c>
      <c r="X33" s="37"/>
      <c r="Y33" s="210"/>
      <c r="Z33" s="36"/>
      <c r="AA33" s="36"/>
      <c r="AB33" s="36"/>
      <c r="AC33" s="36">
        <f>K33-T33</f>
        <v>2.3390640000000005</v>
      </c>
      <c r="AD33" s="36">
        <f>+AM33+BA33</f>
        <v>55</v>
      </c>
      <c r="AE33" s="229" t="s">
        <v>467</v>
      </c>
      <c r="AF33" s="32"/>
      <c r="AG33" s="32"/>
      <c r="AH33" s="32">
        <v>55</v>
      </c>
      <c r="AJ33" s="36"/>
      <c r="AK33" s="36"/>
      <c r="AL33" s="36"/>
      <c r="AM33" s="36">
        <f t="shared" si="19"/>
        <v>55</v>
      </c>
      <c r="AN33" s="36"/>
      <c r="AO33" s="36"/>
      <c r="AP33" s="36"/>
      <c r="AQ33" s="36"/>
      <c r="AR33" s="36">
        <f t="shared" si="28"/>
        <v>0</v>
      </c>
      <c r="AS33" s="36"/>
      <c r="AT33" s="36"/>
      <c r="AU33" s="36"/>
      <c r="AV33" s="36"/>
      <c r="AW33" s="36"/>
      <c r="AX33" s="36"/>
      <c r="AY33" s="36"/>
      <c r="AZ33" s="36"/>
      <c r="BA33" s="36">
        <f>+AR33+AS33+AU33+AW33+AY33+AZ33</f>
        <v>0</v>
      </c>
      <c r="BB33" s="32"/>
      <c r="BC33" s="503"/>
      <c r="BD33" s="503"/>
      <c r="BE33" s="32"/>
      <c r="BF33" s="503"/>
    </row>
    <row r="34" spans="1:58" ht="12.95" customHeight="1">
      <c r="A34" s="39"/>
      <c r="B34" s="40"/>
      <c r="C34" s="414"/>
      <c r="D34" s="40"/>
      <c r="E34" s="41"/>
      <c r="F34" s="41"/>
      <c r="G34" s="42"/>
      <c r="H34" s="43"/>
      <c r="I34" s="44"/>
      <c r="J34" s="81"/>
      <c r="K34" s="81"/>
      <c r="L34" s="34"/>
      <c r="M34" s="34"/>
      <c r="N34" s="45"/>
      <c r="O34" s="46"/>
      <c r="P34" s="47"/>
      <c r="Q34" s="33"/>
      <c r="R34" s="500"/>
      <c r="S34" s="500"/>
      <c r="T34" s="36"/>
      <c r="U34" s="36"/>
      <c r="V34" s="36"/>
      <c r="W34" s="36"/>
      <c r="X34" s="37"/>
      <c r="Y34" s="210"/>
      <c r="Z34" s="36"/>
      <c r="AA34" s="36"/>
      <c r="AB34" s="36"/>
      <c r="AC34" s="36"/>
      <c r="AD34" s="36">
        <f>+AM34+BA34</f>
        <v>0</v>
      </c>
      <c r="AE34" s="232" t="s">
        <v>378</v>
      </c>
      <c r="AF34" s="36"/>
      <c r="AG34" s="36"/>
      <c r="AH34" s="36"/>
      <c r="AI34" s="502"/>
      <c r="AJ34" s="36"/>
      <c r="AK34" s="36"/>
      <c r="AL34" s="36"/>
      <c r="AM34" s="36">
        <f t="shared" si="19"/>
        <v>0</v>
      </c>
      <c r="AN34" s="36"/>
      <c r="AO34" s="36"/>
      <c r="AP34" s="36"/>
      <c r="AQ34" s="36"/>
      <c r="AR34" s="36">
        <f t="shared" si="28"/>
        <v>0</v>
      </c>
      <c r="AS34" s="36"/>
      <c r="AT34" s="36"/>
      <c r="AU34" s="36"/>
      <c r="AV34" s="36"/>
      <c r="AW34" s="36"/>
      <c r="AX34" s="36"/>
      <c r="AY34" s="36"/>
      <c r="AZ34" s="36"/>
      <c r="BA34" s="36">
        <f>+AR34+AS34+AU34+AW34+AY34+AZ34</f>
        <v>0</v>
      </c>
      <c r="BB34" s="49"/>
      <c r="BC34" s="50"/>
      <c r="BD34" s="50"/>
      <c r="BE34" s="49"/>
      <c r="BF34" s="50"/>
    </row>
    <row r="35" spans="1:58" ht="12.95" customHeight="1">
      <c r="A35" s="39"/>
      <c r="B35" s="40"/>
      <c r="C35" s="414"/>
      <c r="D35" s="40"/>
      <c r="E35" s="41"/>
      <c r="F35" s="41"/>
      <c r="G35" s="42"/>
      <c r="H35" s="43"/>
      <c r="I35" s="44"/>
      <c r="J35" s="81"/>
      <c r="K35" s="81"/>
      <c r="L35" s="34"/>
      <c r="M35" s="34"/>
      <c r="N35" s="45"/>
      <c r="O35" s="46"/>
      <c r="P35" s="47"/>
      <c r="Q35" s="46"/>
      <c r="R35" s="500"/>
      <c r="S35" s="500"/>
      <c r="T35" s="36"/>
      <c r="U35" s="36"/>
      <c r="V35" s="36"/>
      <c r="W35" s="36"/>
      <c r="X35" s="37"/>
      <c r="Y35" s="210"/>
      <c r="Z35" s="36"/>
      <c r="AA35" s="36"/>
      <c r="AB35" s="36"/>
      <c r="AC35" s="36"/>
      <c r="AD35" s="36"/>
      <c r="AE35" s="229"/>
      <c r="AF35" s="32"/>
      <c r="AG35" s="32"/>
      <c r="AH35" s="32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2"/>
      <c r="BC35" s="503"/>
      <c r="BD35" s="50"/>
      <c r="BE35" s="49"/>
      <c r="BF35" s="50"/>
    </row>
    <row r="36" spans="1:58" ht="12.75" customHeight="1">
      <c r="A36" s="39">
        <v>46119</v>
      </c>
      <c r="B36" s="40" t="s">
        <v>7</v>
      </c>
      <c r="C36" s="414">
        <f t="shared" ref="C36:C37" si="29">(M36*E36*O36*Q36)/100000000</f>
        <v>38.207715</v>
      </c>
      <c r="D36" s="40" t="s">
        <v>302</v>
      </c>
      <c r="E36" s="41">
        <v>14</v>
      </c>
      <c r="F36" s="41">
        <v>1</v>
      </c>
      <c r="G36" s="499">
        <v>1230</v>
      </c>
      <c r="H36" s="43">
        <f>+N36</f>
        <v>0.25</v>
      </c>
      <c r="I36" s="44">
        <v>0.88</v>
      </c>
      <c r="J36" s="81">
        <f t="shared" ref="J36:J37" si="30">E36*G36*(1-H36)*1440/1000000*2.74</f>
        <v>50.957424000000003</v>
      </c>
      <c r="K36" s="81">
        <f t="shared" ref="K36:K37" si="31">(IF(G36&lt;L36,L36,G36)*(1-IF(H36&lt;N36,H36,N36))*E36*O36*Q36)/100000000</f>
        <v>40.865642999999999</v>
      </c>
      <c r="L36" s="34">
        <v>1150</v>
      </c>
      <c r="M36" s="34">
        <v>862.5</v>
      </c>
      <c r="N36" s="45">
        <f t="shared" ref="N36:N37" si="32">1-(M36/L36)</f>
        <v>0.25</v>
      </c>
      <c r="O36" s="46">
        <f>+'Trim Rwd'!H21</f>
        <v>260</v>
      </c>
      <c r="P36" s="47">
        <f t="shared" ref="P36:P37" si="33">O36*(Q36-R36-S36)</f>
        <v>301080</v>
      </c>
      <c r="Q36" s="46">
        <v>1217</v>
      </c>
      <c r="R36" s="500">
        <v>0</v>
      </c>
      <c r="S36" s="500">
        <v>59</v>
      </c>
      <c r="T36" s="36">
        <f t="shared" ref="T36:T37" si="34">E36*M36*O36*Q36/100000000</f>
        <v>38.207715</v>
      </c>
      <c r="U36" s="36">
        <f t="shared" ref="U36:U37" si="35">E36*M36*O36*(Q36-R36-S36)/100000000</f>
        <v>36.355409999999999</v>
      </c>
      <c r="V36" s="36">
        <f t="shared" ref="V36:V37" si="36">E36*G36*(1-N36)*O36/100*(R36+S36)/1000000</f>
        <v>1.9811609999999999</v>
      </c>
      <c r="W36" s="36">
        <f>+'7'!K8/1000</f>
        <v>34.863</v>
      </c>
      <c r="X36" s="501">
        <f>SUM(W36:W40)/SUM(K36:K40)</f>
        <v>0.80586375766861051</v>
      </c>
      <c r="Y36" s="210">
        <v>0</v>
      </c>
      <c r="Z36" s="36">
        <f>+'7'!D16/1000</f>
        <v>0.39700000000000002</v>
      </c>
      <c r="AA36" s="48">
        <f>SUM(U36:U40)-SUM(W36:W40)-SUM(Z36:Z40)-SUM(Y36:Y40)</f>
        <v>3.4863100000000014</v>
      </c>
      <c r="AB36" s="48">
        <f>(SUM(K36:K40)-SUM(W36:W40)-SUM(Y36:Y40)-SUM(Z36:Z40)-SUM(AC36:AC40)-SUM(V36:V40))-AA36</f>
        <v>0.30657900000000149</v>
      </c>
      <c r="AC36" s="36">
        <f>K36-T36</f>
        <v>2.6579279999999983</v>
      </c>
      <c r="AD36" s="36">
        <f>+AM36+BA36</f>
        <v>16</v>
      </c>
      <c r="AE36" s="229" t="s">
        <v>415</v>
      </c>
      <c r="AF36" s="36">
        <v>16</v>
      </c>
      <c r="AG36" s="36"/>
      <c r="AH36" s="36"/>
      <c r="AI36" s="502"/>
      <c r="AJ36" s="36"/>
      <c r="AK36" s="36"/>
      <c r="AL36" s="36"/>
      <c r="AM36" s="36">
        <f t="shared" ref="AM36:AM39" si="37">SUM(AF36:AL36)+AT36+AV36+AX36</f>
        <v>16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>
        <f>+AR36+AS36+AU36+AW36+AY36+AZ36</f>
        <v>0</v>
      </c>
      <c r="BB36" s="32">
        <v>6</v>
      </c>
      <c r="BC36" s="50"/>
      <c r="BD36" s="50"/>
      <c r="BE36" s="32"/>
      <c r="BF36" s="50"/>
    </row>
    <row r="37" spans="1:58" ht="12.95" customHeight="1">
      <c r="A37" s="39"/>
      <c r="B37" s="40" t="s">
        <v>7</v>
      </c>
      <c r="C37" s="414">
        <f t="shared" si="29"/>
        <v>8.0949000000000009</v>
      </c>
      <c r="D37" s="40" t="s">
        <v>302</v>
      </c>
      <c r="E37" s="41">
        <v>16</v>
      </c>
      <c r="F37" s="41">
        <v>1</v>
      </c>
      <c r="G37" s="499">
        <v>1165</v>
      </c>
      <c r="H37" s="43">
        <f>+N37</f>
        <v>0.25</v>
      </c>
      <c r="I37" s="44">
        <v>0.88</v>
      </c>
      <c r="J37" s="81">
        <f t="shared" si="30"/>
        <v>55.159488000000003</v>
      </c>
      <c r="K37" s="81">
        <f t="shared" si="31"/>
        <v>8.5732350000000004</v>
      </c>
      <c r="L37" s="34">
        <v>1100</v>
      </c>
      <c r="M37" s="34">
        <v>825</v>
      </c>
      <c r="N37" s="45">
        <f t="shared" si="32"/>
        <v>0.25</v>
      </c>
      <c r="O37" s="46">
        <f>+'Trim Rwd'!H22</f>
        <v>275</v>
      </c>
      <c r="P37" s="47">
        <f t="shared" si="33"/>
        <v>55825</v>
      </c>
      <c r="Q37" s="46">
        <v>223</v>
      </c>
      <c r="R37" s="500">
        <v>0</v>
      </c>
      <c r="S37" s="500">
        <v>20</v>
      </c>
      <c r="T37" s="36">
        <f t="shared" si="34"/>
        <v>8.0949000000000009</v>
      </c>
      <c r="U37" s="36">
        <f t="shared" si="35"/>
        <v>7.3689</v>
      </c>
      <c r="V37" s="36">
        <f t="shared" si="36"/>
        <v>0.76890000000000003</v>
      </c>
      <c r="W37" s="36">
        <f>+'7'!K11/1000</f>
        <v>4.9779999999999998</v>
      </c>
      <c r="X37" s="37"/>
      <c r="Y37" s="210"/>
      <c r="Z37" s="36"/>
      <c r="AA37" s="36"/>
      <c r="AB37" s="36"/>
      <c r="AC37" s="36"/>
      <c r="AD37" s="36">
        <f>+AM37+BA37</f>
        <v>4</v>
      </c>
      <c r="AE37" s="229" t="s">
        <v>480</v>
      </c>
      <c r="AF37" s="36"/>
      <c r="AG37" s="36">
        <v>4</v>
      </c>
      <c r="AH37" s="36"/>
      <c r="AI37" s="502"/>
      <c r="AJ37" s="36"/>
      <c r="AK37" s="36"/>
      <c r="AL37" s="36"/>
      <c r="AM37" s="36">
        <f t="shared" si="37"/>
        <v>4</v>
      </c>
      <c r="AN37" s="82"/>
      <c r="AO37" s="36"/>
      <c r="AP37" s="36"/>
      <c r="AQ37" s="36"/>
      <c r="AR37" s="36">
        <f t="shared" ref="AR37:AR39" si="38">SUM(AN37:AQ37)</f>
        <v>0</v>
      </c>
      <c r="AS37" s="36"/>
      <c r="AT37" s="36"/>
      <c r="AU37" s="36"/>
      <c r="AV37" s="36"/>
      <c r="AW37" s="36"/>
      <c r="AX37" s="36"/>
      <c r="AY37" s="36"/>
      <c r="AZ37" s="36"/>
      <c r="BA37" s="36">
        <f>+AR37+AS37+AU37+AW37+AY37+AZ37</f>
        <v>0</v>
      </c>
      <c r="BB37" s="49"/>
      <c r="BC37" s="50">
        <v>2</v>
      </c>
      <c r="BD37" s="50"/>
      <c r="BE37" s="49"/>
      <c r="BF37" s="50"/>
    </row>
    <row r="38" spans="1:58" ht="12.95" customHeight="1">
      <c r="A38" s="39"/>
      <c r="B38" s="40"/>
      <c r="C38" s="414"/>
      <c r="D38" s="40"/>
      <c r="E38" s="41"/>
      <c r="F38" s="41"/>
      <c r="G38" s="42"/>
      <c r="H38" s="43"/>
      <c r="I38" s="44"/>
      <c r="J38" s="81"/>
      <c r="K38" s="81"/>
      <c r="L38" s="34"/>
      <c r="M38" s="34"/>
      <c r="N38" s="45"/>
      <c r="O38" s="46"/>
      <c r="P38" s="47"/>
      <c r="Q38" s="46"/>
      <c r="R38" s="500"/>
      <c r="S38" s="500"/>
      <c r="T38" s="36"/>
      <c r="U38" s="36"/>
      <c r="V38" s="36"/>
      <c r="W38" s="36"/>
      <c r="X38" s="37"/>
      <c r="Y38" s="210"/>
      <c r="Z38" s="36"/>
      <c r="AA38" s="36"/>
      <c r="AB38" s="36"/>
      <c r="AC38" s="36"/>
      <c r="AD38" s="36">
        <f>+AM38+BA38</f>
        <v>59</v>
      </c>
      <c r="AE38" s="229" t="s">
        <v>431</v>
      </c>
      <c r="AF38" s="32"/>
      <c r="AG38" s="32"/>
      <c r="AH38" s="32">
        <v>59</v>
      </c>
      <c r="AJ38" s="36"/>
      <c r="AK38" s="36"/>
      <c r="AL38" s="36"/>
      <c r="AM38" s="36">
        <f t="shared" si="37"/>
        <v>59</v>
      </c>
      <c r="AN38" s="36"/>
      <c r="AO38" s="36"/>
      <c r="AP38" s="36"/>
      <c r="AQ38" s="36"/>
      <c r="AR38" s="36">
        <f t="shared" si="38"/>
        <v>0</v>
      </c>
      <c r="AS38" s="36"/>
      <c r="AT38" s="36"/>
      <c r="AU38" s="36"/>
      <c r="AV38" s="36"/>
      <c r="AW38" s="36"/>
      <c r="AX38" s="36"/>
      <c r="AY38" s="36"/>
      <c r="AZ38" s="36"/>
      <c r="BA38" s="36">
        <f>+AR38+AS38+AU38+AW38+AY38+AZ38</f>
        <v>0</v>
      </c>
      <c r="BB38" s="32"/>
      <c r="BC38" s="503"/>
      <c r="BD38" s="503"/>
      <c r="BE38" s="32"/>
      <c r="BF38" s="503"/>
    </row>
    <row r="39" spans="1:58" ht="12.95" customHeight="1">
      <c r="A39" s="39"/>
      <c r="B39" s="40"/>
      <c r="C39" s="414"/>
      <c r="D39" s="40"/>
      <c r="E39" s="41"/>
      <c r="F39" s="41"/>
      <c r="G39" s="42"/>
      <c r="H39" s="43"/>
      <c r="I39" s="44"/>
      <c r="J39" s="81"/>
      <c r="K39" s="81"/>
      <c r="L39" s="34"/>
      <c r="M39" s="34"/>
      <c r="N39" s="45"/>
      <c r="O39" s="46"/>
      <c r="P39" s="47"/>
      <c r="Q39" s="33"/>
      <c r="R39" s="500"/>
      <c r="S39" s="500"/>
      <c r="T39" s="36"/>
      <c r="U39" s="36"/>
      <c r="V39" s="36"/>
      <c r="W39" s="36"/>
      <c r="X39" s="37"/>
      <c r="Y39" s="210"/>
      <c r="Z39" s="36"/>
      <c r="AA39" s="36"/>
      <c r="AB39" s="36"/>
      <c r="AC39" s="36"/>
      <c r="AD39" s="36">
        <f>+AM39+BA39</f>
        <v>0</v>
      </c>
      <c r="AE39" s="232" t="s">
        <v>378</v>
      </c>
      <c r="AF39" s="36"/>
      <c r="AG39" s="36"/>
      <c r="AH39" s="36"/>
      <c r="AI39" s="502"/>
      <c r="AJ39" s="36"/>
      <c r="AK39" s="36"/>
      <c r="AL39" s="36"/>
      <c r="AM39" s="36">
        <f t="shared" si="37"/>
        <v>0</v>
      </c>
      <c r="AN39" s="36"/>
      <c r="AO39" s="36"/>
      <c r="AP39" s="36"/>
      <c r="AQ39" s="36"/>
      <c r="AR39" s="36">
        <f t="shared" si="38"/>
        <v>0</v>
      </c>
      <c r="AS39" s="36"/>
      <c r="AT39" s="36"/>
      <c r="AU39" s="36"/>
      <c r="AV39" s="36"/>
      <c r="AW39" s="36"/>
      <c r="AX39" s="36"/>
      <c r="AY39" s="36"/>
      <c r="AZ39" s="36"/>
      <c r="BA39" s="36">
        <f>+AR39+AS39+AU39+AW39+AY39+AZ39</f>
        <v>0</v>
      </c>
      <c r="BB39" s="49"/>
      <c r="BC39" s="50"/>
      <c r="BD39" s="50"/>
      <c r="BE39" s="49"/>
      <c r="BF39" s="50"/>
    </row>
    <row r="40" spans="1:58" ht="12.95" customHeight="1">
      <c r="A40" s="39"/>
      <c r="B40" s="40"/>
      <c r="C40" s="414"/>
      <c r="D40" s="40"/>
      <c r="E40" s="41"/>
      <c r="F40" s="41"/>
      <c r="G40" s="499"/>
      <c r="H40" s="43"/>
      <c r="I40" s="44"/>
      <c r="J40" s="81"/>
      <c r="K40" s="81"/>
      <c r="L40" s="34"/>
      <c r="M40" s="34"/>
      <c r="N40" s="45"/>
      <c r="O40" s="46"/>
      <c r="P40" s="47"/>
      <c r="Q40" s="46"/>
      <c r="R40" s="500"/>
      <c r="S40" s="500"/>
      <c r="T40" s="36"/>
      <c r="U40" s="36"/>
      <c r="V40" s="36"/>
      <c r="W40" s="36"/>
      <c r="X40" s="37"/>
      <c r="Y40" s="210"/>
      <c r="Z40" s="36"/>
      <c r="AA40" s="36"/>
      <c r="AB40" s="36"/>
      <c r="AC40" s="36"/>
      <c r="AD40" s="36"/>
      <c r="AE40" s="229"/>
      <c r="AF40" s="36"/>
      <c r="AG40" s="36"/>
      <c r="AH40" s="36"/>
      <c r="AI40" s="502"/>
      <c r="AJ40" s="36"/>
      <c r="AK40" s="36"/>
      <c r="AL40" s="36"/>
      <c r="AM40" s="36"/>
      <c r="AN40" s="82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49"/>
      <c r="BC40" s="50"/>
      <c r="BD40" s="503"/>
      <c r="BE40" s="32"/>
      <c r="BF40" s="503"/>
    </row>
    <row r="41" spans="1:58" ht="12.75" customHeight="1">
      <c r="A41" s="39">
        <v>46120</v>
      </c>
      <c r="B41" s="40" t="s">
        <v>7</v>
      </c>
      <c r="C41" s="414">
        <f t="shared" ref="C41:C43" si="39">(M41*E41*O41*Q41)/100000000</f>
        <v>8.1626999999999992</v>
      </c>
      <c r="D41" s="40" t="s">
        <v>302</v>
      </c>
      <c r="E41" s="41">
        <v>14</v>
      </c>
      <c r="F41" s="41">
        <v>1</v>
      </c>
      <c r="G41" s="499">
        <v>1230</v>
      </c>
      <c r="H41" s="43">
        <f>+N41</f>
        <v>0.25</v>
      </c>
      <c r="I41" s="44">
        <v>0.88</v>
      </c>
      <c r="J41" s="81">
        <f t="shared" ref="J41:J42" si="40">E41*G41*(1-H41)*1440/1000000*2.74</f>
        <v>50.957424000000003</v>
      </c>
      <c r="K41" s="81">
        <f t="shared" ref="K41:K42" si="41">(IF(G41&lt;L41,L41,G41)*(1-IF(H41&lt;N41,H41,N41))*E41*O41*Q41)/100000000</f>
        <v>8.7305399999999995</v>
      </c>
      <c r="L41" s="34">
        <v>1150</v>
      </c>
      <c r="M41" s="34">
        <v>862.5</v>
      </c>
      <c r="N41" s="45">
        <f t="shared" ref="N41:N43" si="42">1-(M41/L41)</f>
        <v>0.25</v>
      </c>
      <c r="O41" s="46">
        <f>+'Trim Rwd'!H24</f>
        <v>260</v>
      </c>
      <c r="P41" s="47">
        <f t="shared" ref="P41:P43" si="43">O41*(Q41-R41-S41)</f>
        <v>63700</v>
      </c>
      <c r="Q41" s="46">
        <v>260</v>
      </c>
      <c r="R41" s="500">
        <v>0</v>
      </c>
      <c r="S41" s="500">
        <v>15</v>
      </c>
      <c r="T41" s="36">
        <f t="shared" ref="T41:T43" si="44">E41*M41*O41*Q41/100000000</f>
        <v>8.1626999999999992</v>
      </c>
      <c r="U41" s="36">
        <f t="shared" ref="U41:U43" si="45">E41*M41*O41*(Q41-R41-S41)/100000000</f>
        <v>7.6917749999999998</v>
      </c>
      <c r="V41" s="36">
        <f t="shared" ref="V41:V42" si="46">E41*G41*(1-N41)*O41/100*(R41+S41)/1000000</f>
        <v>0.50368500000000005</v>
      </c>
      <c r="W41" s="36">
        <f>+'8'!K8/1000</f>
        <v>12.106999999999999</v>
      </c>
      <c r="X41" s="501">
        <f>SUM(W41:W45)/SUM(K41:K45)</f>
        <v>0.81688570620441436</v>
      </c>
      <c r="Y41" s="210">
        <v>0</v>
      </c>
      <c r="Z41" s="36">
        <v>0</v>
      </c>
      <c r="AA41" s="48">
        <f>SUM(U41:U45)-SUM(W41:W45)-SUM(Z41:Z45)-SUM(Y41:Y45)</f>
        <v>2.1067968750000077</v>
      </c>
      <c r="AB41" s="48">
        <f>(SUM(K41:K45)-SUM(W41:W45)-SUM(Y41:Y45)-SUM(Z41:Z45)-SUM(AC41:AC45)-SUM(V41:V45))-AA41</f>
        <v>-0.28152900000000569</v>
      </c>
      <c r="AC41" s="36">
        <f>K41-T41</f>
        <v>0.56784000000000034</v>
      </c>
      <c r="AD41" s="36">
        <f>+AM41+BA41</f>
        <v>16</v>
      </c>
      <c r="AE41" s="229" t="s">
        <v>494</v>
      </c>
      <c r="AF41" s="36">
        <v>16</v>
      </c>
      <c r="AG41" s="36"/>
      <c r="AH41" s="36"/>
      <c r="AI41" s="502"/>
      <c r="AJ41" s="36"/>
      <c r="AK41" s="36"/>
      <c r="AL41" s="36"/>
      <c r="AM41" s="36">
        <f t="shared" ref="AM41:AM44" si="47">SUM(AF41:AL41)+AT41+AV41+AX41</f>
        <v>16</v>
      </c>
      <c r="AN41" s="36"/>
      <c r="AO41" s="36"/>
      <c r="AP41" s="36"/>
      <c r="AQ41" s="36"/>
      <c r="AR41" s="36">
        <f>SUM(AN41:AQ41)</f>
        <v>0</v>
      </c>
      <c r="AS41" s="36"/>
      <c r="AT41" s="36"/>
      <c r="AU41" s="36"/>
      <c r="AV41" s="36"/>
      <c r="AW41" s="36"/>
      <c r="AX41" s="36"/>
      <c r="AY41" s="36"/>
      <c r="AZ41" s="36"/>
      <c r="BA41" s="36">
        <f>+AR41+AS41+AU41+AW41+AY41+AZ41</f>
        <v>0</v>
      </c>
      <c r="BB41" s="32">
        <v>5</v>
      </c>
      <c r="BC41" s="50"/>
      <c r="BD41" s="50"/>
      <c r="BE41" s="32"/>
      <c r="BF41" s="50"/>
    </row>
    <row r="42" spans="1:58" ht="12.95" customHeight="1">
      <c r="A42" s="39"/>
      <c r="B42" s="40" t="s">
        <v>7</v>
      </c>
      <c r="C42" s="414">
        <f t="shared" si="39"/>
        <v>39.951450000000001</v>
      </c>
      <c r="D42" s="40" t="s">
        <v>302</v>
      </c>
      <c r="E42" s="41">
        <v>16</v>
      </c>
      <c r="F42" s="41">
        <v>1</v>
      </c>
      <c r="G42" s="499">
        <v>1165</v>
      </c>
      <c r="H42" s="43">
        <f>+N42</f>
        <v>0.25</v>
      </c>
      <c r="I42" s="44">
        <v>0.88</v>
      </c>
      <c r="J42" s="81">
        <f t="shared" si="40"/>
        <v>55.159488000000003</v>
      </c>
      <c r="K42" s="81">
        <f t="shared" si="41"/>
        <v>44.327084999999997</v>
      </c>
      <c r="L42" s="34">
        <v>1050</v>
      </c>
      <c r="M42" s="34">
        <v>787.5</v>
      </c>
      <c r="N42" s="45">
        <f t="shared" si="42"/>
        <v>0.25</v>
      </c>
      <c r="O42" s="46">
        <f>+'Trim Rwd'!H25</f>
        <v>275</v>
      </c>
      <c r="P42" s="47">
        <f t="shared" si="43"/>
        <v>299750</v>
      </c>
      <c r="Q42" s="46">
        <v>1153</v>
      </c>
      <c r="R42" s="500">
        <v>0</v>
      </c>
      <c r="S42" s="500">
        <f>80-S41-S43</f>
        <v>63</v>
      </c>
      <c r="T42" s="36">
        <f t="shared" si="44"/>
        <v>39.951450000000001</v>
      </c>
      <c r="U42" s="36">
        <f t="shared" si="45"/>
        <v>37.768500000000003</v>
      </c>
      <c r="V42" s="36">
        <f t="shared" si="46"/>
        <v>2.4220350000000002</v>
      </c>
      <c r="W42" s="36">
        <f>+'8'!K11/1000</f>
        <v>32.055999999999997</v>
      </c>
      <c r="X42" s="37"/>
      <c r="Y42" s="210"/>
      <c r="Z42" s="36"/>
      <c r="AA42" s="36"/>
      <c r="AB42" s="36"/>
      <c r="AC42" s="36">
        <f>K42-T42</f>
        <v>4.3756349999999955</v>
      </c>
      <c r="AD42" s="36">
        <f>+AM42+BA42</f>
        <v>8</v>
      </c>
      <c r="AE42" s="229" t="s">
        <v>428</v>
      </c>
      <c r="AF42" s="36"/>
      <c r="AG42" s="36">
        <v>8</v>
      </c>
      <c r="AH42" s="36"/>
      <c r="AI42" s="502"/>
      <c r="AJ42" s="36"/>
      <c r="AK42" s="36"/>
      <c r="AL42" s="36"/>
      <c r="AM42" s="36">
        <f t="shared" si="47"/>
        <v>8</v>
      </c>
      <c r="AN42" s="82"/>
      <c r="AO42" s="36"/>
      <c r="AP42" s="36"/>
      <c r="AQ42" s="36"/>
      <c r="AR42" s="36">
        <f t="shared" ref="AR42:AR44" si="48">SUM(AN42:AQ42)</f>
        <v>0</v>
      </c>
      <c r="AS42" s="36"/>
      <c r="AT42" s="36"/>
      <c r="AU42" s="36"/>
      <c r="AV42" s="36"/>
      <c r="AW42" s="36"/>
      <c r="AX42" s="36"/>
      <c r="AY42" s="36"/>
      <c r="AZ42" s="36"/>
      <c r="BA42" s="36">
        <f>+AR42+AS42+AU42+AW42+AY42+AZ42</f>
        <v>0</v>
      </c>
      <c r="BB42" s="49"/>
      <c r="BC42" s="50">
        <v>4</v>
      </c>
      <c r="BD42" s="50"/>
      <c r="BE42" s="49"/>
      <c r="BF42" s="50"/>
    </row>
    <row r="43" spans="1:58" ht="12.95" customHeight="1">
      <c r="A43" s="39"/>
      <c r="B43" s="40" t="s">
        <v>7</v>
      </c>
      <c r="C43" s="414">
        <f t="shared" si="39"/>
        <v>0.87428362500000001</v>
      </c>
      <c r="D43" s="40" t="s">
        <v>302</v>
      </c>
      <c r="E43" s="41">
        <v>15</v>
      </c>
      <c r="F43" s="41">
        <v>1</v>
      </c>
      <c r="G43" s="499">
        <v>1230</v>
      </c>
      <c r="H43" s="43">
        <f>+N43</f>
        <v>0.25</v>
      </c>
      <c r="I43" s="44">
        <v>0.88</v>
      </c>
      <c r="J43" s="81">
        <f>E43*G43*(1-H43)*1440/1000000*2.74</f>
        <v>54.597239999999999</v>
      </c>
      <c r="K43" s="81">
        <f>(IF(G43&lt;L43,L43,G43)*(1-IF(H43&lt;N43,H43,N43))*E43*O43*Q43)/100000000</f>
        <v>1.005017625</v>
      </c>
      <c r="L43" s="34">
        <v>1070</v>
      </c>
      <c r="M43" s="34">
        <v>802.5</v>
      </c>
      <c r="N43" s="45">
        <f t="shared" si="42"/>
        <v>0.25</v>
      </c>
      <c r="O43" s="46">
        <f>+'Trim Rwd'!H27</f>
        <v>269</v>
      </c>
      <c r="P43" s="47">
        <f t="shared" si="43"/>
        <v>6725</v>
      </c>
      <c r="Q43" s="46">
        <v>27</v>
      </c>
      <c r="R43" s="500">
        <v>0</v>
      </c>
      <c r="S43" s="500">
        <v>2</v>
      </c>
      <c r="T43" s="36">
        <f t="shared" si="44"/>
        <v>0.87428362500000001</v>
      </c>
      <c r="U43" s="36">
        <f t="shared" si="45"/>
        <v>0.80952187499999995</v>
      </c>
      <c r="V43" s="36">
        <f>E43*G43*(1-N43)*O43/100*(R43+S43)/1000000</f>
        <v>7.4445750000000005E-2</v>
      </c>
      <c r="W43" s="36">
        <f>+'8'!K12/1000</f>
        <v>0</v>
      </c>
      <c r="X43" s="37"/>
      <c r="Y43" s="210"/>
      <c r="Z43" s="36"/>
      <c r="AA43" s="36"/>
      <c r="AB43" s="36"/>
      <c r="AC43" s="36">
        <f>K43-T43</f>
        <v>0.13073400000000002</v>
      </c>
      <c r="AD43" s="36">
        <f>+AM43+BA43</f>
        <v>56</v>
      </c>
      <c r="AE43" s="229" t="s">
        <v>431</v>
      </c>
      <c r="AF43" s="32"/>
      <c r="AG43" s="32"/>
      <c r="AH43" s="32">
        <v>56</v>
      </c>
      <c r="AJ43" s="36"/>
      <c r="AK43" s="36"/>
      <c r="AL43" s="36"/>
      <c r="AM43" s="36">
        <f t="shared" si="47"/>
        <v>56</v>
      </c>
      <c r="AN43" s="36"/>
      <c r="AO43" s="36"/>
      <c r="AP43" s="36"/>
      <c r="AQ43" s="36"/>
      <c r="AR43" s="36">
        <f t="shared" si="48"/>
        <v>0</v>
      </c>
      <c r="AS43" s="36"/>
      <c r="AT43" s="36"/>
      <c r="AU43" s="36"/>
      <c r="AV43" s="36"/>
      <c r="AW43" s="36"/>
      <c r="AX43" s="36"/>
      <c r="AY43" s="36"/>
      <c r="AZ43" s="36"/>
      <c r="BA43" s="36">
        <f>+AR43+AS43+AU43+AW43+AY43+AZ43</f>
        <v>0</v>
      </c>
      <c r="BB43" s="32"/>
      <c r="BC43" s="503"/>
      <c r="BD43" s="503"/>
      <c r="BE43" s="32"/>
      <c r="BF43" s="503"/>
    </row>
    <row r="44" spans="1:58" ht="12.95" customHeight="1">
      <c r="A44" s="39"/>
      <c r="B44" s="40"/>
      <c r="C44" s="414"/>
      <c r="D44" s="40"/>
      <c r="E44" s="41"/>
      <c r="F44" s="41"/>
      <c r="G44" s="42"/>
      <c r="H44" s="43"/>
      <c r="I44" s="44"/>
      <c r="J44" s="81"/>
      <c r="K44" s="81"/>
      <c r="L44" s="34"/>
      <c r="M44" s="34"/>
      <c r="N44" s="45"/>
      <c r="O44" s="46"/>
      <c r="P44" s="47"/>
      <c r="Q44" s="33"/>
      <c r="R44" s="500"/>
      <c r="S44" s="500"/>
      <c r="T44" s="36"/>
      <c r="U44" s="36"/>
      <c r="V44" s="36"/>
      <c r="W44" s="36"/>
      <c r="X44" s="37"/>
      <c r="Y44" s="210"/>
      <c r="Z44" s="36"/>
      <c r="AA44" s="36"/>
      <c r="AB44" s="36"/>
      <c r="AC44" s="36"/>
      <c r="AD44" s="36">
        <f>+AM44+BA44</f>
        <v>0</v>
      </c>
      <c r="AE44" s="232" t="s">
        <v>378</v>
      </c>
      <c r="AF44" s="36"/>
      <c r="AG44" s="36"/>
      <c r="AH44" s="36"/>
      <c r="AI44" s="502"/>
      <c r="AJ44" s="36"/>
      <c r="AK44" s="36"/>
      <c r="AL44" s="36"/>
      <c r="AM44" s="36">
        <f t="shared" si="47"/>
        <v>0</v>
      </c>
      <c r="AN44" s="36"/>
      <c r="AO44" s="36"/>
      <c r="AP44" s="36"/>
      <c r="AQ44" s="36"/>
      <c r="AR44" s="36">
        <f t="shared" si="48"/>
        <v>0</v>
      </c>
      <c r="AS44" s="36"/>
      <c r="AT44" s="36"/>
      <c r="AU44" s="36"/>
      <c r="AV44" s="36"/>
      <c r="AW44" s="36"/>
      <c r="AX44" s="36"/>
      <c r="AY44" s="36"/>
      <c r="AZ44" s="36"/>
      <c r="BA44" s="36">
        <f>+AR44+AS44+AU44+AW44+AY44+AZ44</f>
        <v>0</v>
      </c>
      <c r="BB44" s="49"/>
      <c r="BC44" s="50"/>
      <c r="BD44" s="50"/>
      <c r="BE44" s="49"/>
      <c r="BF44" s="50"/>
    </row>
    <row r="45" spans="1:58" ht="12.95" customHeight="1">
      <c r="A45" s="39"/>
      <c r="B45" s="40"/>
      <c r="C45" s="414"/>
      <c r="D45" s="40"/>
      <c r="E45" s="41"/>
      <c r="F45" s="41"/>
      <c r="G45" s="499"/>
      <c r="H45" s="43"/>
      <c r="I45" s="44"/>
      <c r="J45" s="81"/>
      <c r="K45" s="81"/>
      <c r="L45" s="34"/>
      <c r="M45" s="34"/>
      <c r="N45" s="45"/>
      <c r="O45" s="46"/>
      <c r="P45" s="47"/>
      <c r="Q45" s="46"/>
      <c r="R45" s="500"/>
      <c r="S45" s="500"/>
      <c r="T45" s="36"/>
      <c r="U45" s="36"/>
      <c r="V45" s="36"/>
      <c r="W45" s="36"/>
      <c r="X45" s="37"/>
      <c r="Y45" s="210"/>
      <c r="Z45" s="36"/>
      <c r="AA45" s="36"/>
      <c r="AB45" s="36"/>
      <c r="AC45" s="36"/>
      <c r="AD45" s="36"/>
      <c r="AE45" s="229"/>
      <c r="AF45" s="36"/>
      <c r="AG45" s="36"/>
      <c r="AH45" s="36"/>
      <c r="AI45" s="502"/>
      <c r="AJ45" s="36"/>
      <c r="AK45" s="36"/>
      <c r="AL45" s="36"/>
      <c r="AM45" s="36"/>
      <c r="AN45" s="82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49"/>
      <c r="BC45" s="50"/>
      <c r="BD45" s="50"/>
      <c r="BE45" s="49"/>
      <c r="BF45" s="50"/>
    </row>
    <row r="46" spans="1:58" ht="12.75" customHeight="1">
      <c r="A46" s="39">
        <v>46121</v>
      </c>
      <c r="B46" s="40" t="s">
        <v>7</v>
      </c>
      <c r="C46" s="414">
        <f t="shared" ref="C46:C47" si="49">(M46*E46*O46*Q46)/100000000</f>
        <v>39.439905750000001</v>
      </c>
      <c r="D46" s="40" t="s">
        <v>302</v>
      </c>
      <c r="E46" s="41">
        <v>15</v>
      </c>
      <c r="F46" s="41">
        <v>1</v>
      </c>
      <c r="G46" s="499">
        <v>1230</v>
      </c>
      <c r="H46" s="43">
        <f>+N46</f>
        <v>0.25</v>
      </c>
      <c r="I46" s="44">
        <v>0.88</v>
      </c>
      <c r="J46" s="81">
        <f>E46*G46*(1-H46)*1440/1000000*2.74</f>
        <v>54.597239999999999</v>
      </c>
      <c r="K46" s="81">
        <f>(IF(G46&lt;L46,L46,G46)*(1-IF(H46&lt;N46,H46,N46))*E46*O46*Q46)/100000000</f>
        <v>45.337461750000003</v>
      </c>
      <c r="L46" s="34">
        <v>1070</v>
      </c>
      <c r="M46" s="34">
        <v>802.5</v>
      </c>
      <c r="N46" s="45">
        <f t="shared" ref="N46:N47" si="50">1-(M46/L46)</f>
        <v>0.25</v>
      </c>
      <c r="O46" s="46">
        <f>+'Trim Rwd'!H27</f>
        <v>269</v>
      </c>
      <c r="P46" s="47">
        <f t="shared" ref="P46:P47" si="51">O46*(Q46-R46-S46)</f>
        <v>16140</v>
      </c>
      <c r="Q46" s="46">
        <f>67+413+738</f>
        <v>1218</v>
      </c>
      <c r="R46" s="500">
        <f>413+738</f>
        <v>1151</v>
      </c>
      <c r="S46" s="500">
        <v>7</v>
      </c>
      <c r="T46" s="36">
        <f t="shared" ref="T46:T47" si="52">E46*M46*O46*Q46/100000000</f>
        <v>39.439905750000001</v>
      </c>
      <c r="U46" s="36">
        <f t="shared" ref="U46:U47" si="53">E46*M46*O46*(Q46-R46-S46)/100000000</f>
        <v>1.9428525000000001</v>
      </c>
      <c r="V46" s="36">
        <f>E46*G46*(1-N46)*O46/100*(R46+S46)/1000000</f>
        <v>43.104089250000001</v>
      </c>
      <c r="W46" s="36">
        <f>+'9'!K12/1000</f>
        <v>3.202</v>
      </c>
      <c r="X46" s="501">
        <f>SUM(W46:W50)/SUM(K46:K50)</f>
        <v>7.6207396674792843E-2</v>
      </c>
      <c r="Y46" s="210">
        <v>0</v>
      </c>
      <c r="Z46" s="36">
        <v>0</v>
      </c>
      <c r="AA46" s="48">
        <f>SUM(U46:U50)-SUM(W46:W50)-SUM(Z46:Z50)-SUM(Y46:Y50)</f>
        <v>2.5004402751351344</v>
      </c>
      <c r="AB46" s="48">
        <f>(SUM(K46:K50)-SUM(W46:W50)-SUM(Y46:Y50)-SUM(Z46:Z50)-SUM(AC46:AC50)-SUM(V46:V50))-AA46</f>
        <v>-5.7009005271351407</v>
      </c>
      <c r="AC46" s="36">
        <f>K46-T46</f>
        <v>5.8975560000000016</v>
      </c>
      <c r="AD46" s="36">
        <f>+AM46+BA46</f>
        <v>0</v>
      </c>
      <c r="AE46" s="229" t="s">
        <v>385</v>
      </c>
      <c r="AF46" s="36">
        <v>0</v>
      </c>
      <c r="AG46" s="36"/>
      <c r="AH46" s="36"/>
      <c r="AI46" s="502"/>
      <c r="AJ46" s="36"/>
      <c r="AK46" s="36"/>
      <c r="AL46" s="36"/>
      <c r="AM46" s="36">
        <f t="shared" ref="AM46:AM49" si="54">SUM(AF46:AL46)+AT46+AV46+AX46</f>
        <v>0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/>
      <c r="AW46" s="36"/>
      <c r="AX46" s="36"/>
      <c r="AY46" s="36"/>
      <c r="AZ46" s="36"/>
      <c r="BA46" s="36">
        <f>+AR46+AS46+AU46+AW46+AY46+AZ46</f>
        <v>0</v>
      </c>
      <c r="BB46" s="32">
        <v>0</v>
      </c>
      <c r="BC46" s="50"/>
      <c r="BD46" s="50"/>
      <c r="BE46" s="32"/>
      <c r="BF46" s="50"/>
    </row>
    <row r="47" spans="1:58" ht="12.95" customHeight="1">
      <c r="A47" s="39"/>
      <c r="B47" s="40" t="s">
        <v>513</v>
      </c>
      <c r="C47" s="414">
        <f t="shared" si="49"/>
        <v>4.7514069119999984</v>
      </c>
      <c r="D47" s="40" t="s">
        <v>302</v>
      </c>
      <c r="E47" s="41">
        <v>14</v>
      </c>
      <c r="F47" s="41">
        <v>1</v>
      </c>
      <c r="G47" s="499">
        <v>1230</v>
      </c>
      <c r="H47" s="43">
        <f>+N47</f>
        <v>0.2400000000000001</v>
      </c>
      <c r="I47" s="44">
        <v>0.88</v>
      </c>
      <c r="J47" s="81">
        <f t="shared" ref="J47" si="55">E47*G47*(1-H47)*1440/1000000*2.74</f>
        <v>51.636856320000007</v>
      </c>
      <c r="K47" s="81">
        <f t="shared" ref="K47" si="56">(IF(G47&lt;L47,L47,G47)*(1-IF(H47&lt;N47,H47,N47))*E47*O47*Q47)/100000000</f>
        <v>7.7282533439999987</v>
      </c>
      <c r="L47" s="34">
        <v>756.21621621621625</v>
      </c>
      <c r="M47" s="34">
        <v>574.72432432432424</v>
      </c>
      <c r="N47" s="45">
        <f t="shared" si="50"/>
        <v>0.2400000000000001</v>
      </c>
      <c r="O47" s="46">
        <f>+'Trim Rwd'!H28</f>
        <v>266</v>
      </c>
      <c r="P47" s="47">
        <f t="shared" si="51"/>
        <v>57190</v>
      </c>
      <c r="Q47" s="46">
        <v>222</v>
      </c>
      <c r="R47" s="500">
        <v>0</v>
      </c>
      <c r="S47" s="500">
        <v>7</v>
      </c>
      <c r="T47" s="36">
        <f t="shared" si="52"/>
        <v>4.7514069119999984</v>
      </c>
      <c r="U47" s="36">
        <f t="shared" si="53"/>
        <v>4.6015877751351342</v>
      </c>
      <c r="V47" s="36">
        <f t="shared" ref="V47" si="57">E47*G47*(1-N47)*O47/100*(R47+S47)/1000000</f>
        <v>0.24368366399999999</v>
      </c>
      <c r="W47" s="36">
        <f>+'9'!K13/1000</f>
        <v>0.84199999999999997</v>
      </c>
      <c r="X47" s="37"/>
      <c r="Y47" s="210"/>
      <c r="Z47" s="36"/>
      <c r="AA47" s="36"/>
      <c r="AB47" s="36"/>
      <c r="AC47" s="36">
        <f>K47-T47</f>
        <v>2.9768464320000003</v>
      </c>
      <c r="AD47" s="36">
        <f>+AM47+BA47</f>
        <v>0</v>
      </c>
      <c r="AE47" s="229" t="s">
        <v>412</v>
      </c>
      <c r="AF47" s="36"/>
      <c r="AG47" s="36">
        <v>0</v>
      </c>
      <c r="AH47" s="36"/>
      <c r="AI47" s="502"/>
      <c r="AJ47" s="36"/>
      <c r="AK47" s="36"/>
      <c r="AL47" s="36"/>
      <c r="AM47" s="36">
        <f t="shared" si="54"/>
        <v>0</v>
      </c>
      <c r="AN47" s="82"/>
      <c r="AO47" s="36"/>
      <c r="AP47" s="36"/>
      <c r="AQ47" s="36"/>
      <c r="AR47" s="36">
        <f t="shared" ref="AR47:AR49" si="58">SUM(AN47:AQ47)</f>
        <v>0</v>
      </c>
      <c r="AS47" s="36"/>
      <c r="AT47" s="36"/>
      <c r="AU47" s="36"/>
      <c r="AV47" s="36"/>
      <c r="AW47" s="36"/>
      <c r="AX47" s="36"/>
      <c r="AY47" s="36"/>
      <c r="AZ47" s="36"/>
      <c r="BA47" s="36">
        <f>+AR47+AS47+AU47+AW47+AY47+AZ47</f>
        <v>0</v>
      </c>
      <c r="BB47" s="49"/>
      <c r="BC47" s="50">
        <v>0</v>
      </c>
      <c r="BD47" s="50"/>
      <c r="BE47" s="49"/>
      <c r="BF47" s="50"/>
    </row>
    <row r="48" spans="1:58" ht="12.95" customHeight="1">
      <c r="A48" s="39"/>
      <c r="B48" s="40"/>
      <c r="C48" s="414"/>
      <c r="D48" s="40"/>
      <c r="E48" s="41"/>
      <c r="F48" s="41"/>
      <c r="G48" s="42"/>
      <c r="H48" s="43"/>
      <c r="I48" s="44"/>
      <c r="J48" s="81"/>
      <c r="K48" s="81"/>
      <c r="L48" s="34"/>
      <c r="M48" s="34"/>
      <c r="N48" s="45"/>
      <c r="O48" s="46"/>
      <c r="P48" s="47"/>
      <c r="Q48" s="46"/>
      <c r="R48" s="500"/>
      <c r="S48" s="500"/>
      <c r="T48" s="36"/>
      <c r="U48" s="36"/>
      <c r="V48" s="36"/>
      <c r="W48" s="36"/>
      <c r="X48" s="37"/>
      <c r="Y48" s="210"/>
      <c r="Z48" s="36"/>
      <c r="AA48" s="36"/>
      <c r="AB48" s="36"/>
      <c r="AC48" s="36"/>
      <c r="AD48" s="36">
        <f>+AM48+BA48</f>
        <v>14</v>
      </c>
      <c r="AE48" s="229" t="s">
        <v>514</v>
      </c>
      <c r="AF48" s="32"/>
      <c r="AG48" s="32"/>
      <c r="AH48" s="32">
        <v>14</v>
      </c>
      <c r="AJ48" s="36"/>
      <c r="AK48" s="36"/>
      <c r="AL48" s="36"/>
      <c r="AM48" s="36">
        <f t="shared" si="54"/>
        <v>14</v>
      </c>
      <c r="AN48" s="36"/>
      <c r="AO48" s="36"/>
      <c r="AP48" s="36"/>
      <c r="AQ48" s="36"/>
      <c r="AR48" s="36">
        <f t="shared" si="58"/>
        <v>0</v>
      </c>
      <c r="AS48" s="36"/>
      <c r="AT48" s="36"/>
      <c r="AU48" s="36"/>
      <c r="AV48" s="36"/>
      <c r="AW48" s="36"/>
      <c r="AX48" s="36"/>
      <c r="AY48" s="36"/>
      <c r="AZ48" s="36"/>
      <c r="BA48" s="36">
        <f>+AR48+AS48+AU48+AW48+AY48+AZ48</f>
        <v>0</v>
      </c>
      <c r="BB48" s="32"/>
      <c r="BC48" s="503"/>
      <c r="BD48" s="503"/>
      <c r="BE48" s="32"/>
      <c r="BF48" s="503"/>
    </row>
    <row r="49" spans="1:58" ht="12.95" customHeight="1">
      <c r="A49" s="39"/>
      <c r="B49" s="40"/>
      <c r="C49" s="414"/>
      <c r="D49" s="40"/>
      <c r="E49" s="41"/>
      <c r="F49" s="41"/>
      <c r="G49" s="42"/>
      <c r="H49" s="43"/>
      <c r="I49" s="44"/>
      <c r="J49" s="81"/>
      <c r="K49" s="81"/>
      <c r="L49" s="34"/>
      <c r="M49" s="34"/>
      <c r="N49" s="45"/>
      <c r="O49" s="46"/>
      <c r="P49" s="47"/>
      <c r="Q49" s="33"/>
      <c r="R49" s="500"/>
      <c r="S49" s="500"/>
      <c r="T49" s="36"/>
      <c r="U49" s="36"/>
      <c r="V49" s="36"/>
      <c r="W49" s="36"/>
      <c r="X49" s="37"/>
      <c r="Y49" s="210"/>
      <c r="Z49" s="36"/>
      <c r="AA49" s="36"/>
      <c r="AB49" s="36"/>
      <c r="AC49" s="36"/>
      <c r="AD49" s="36">
        <f>+AM49+BA49</f>
        <v>0</v>
      </c>
      <c r="AE49" s="232" t="s">
        <v>378</v>
      </c>
      <c r="AF49" s="36"/>
      <c r="AG49" s="36"/>
      <c r="AH49" s="36"/>
      <c r="AI49" s="502">
        <v>0</v>
      </c>
      <c r="AJ49" s="36"/>
      <c r="AK49" s="36"/>
      <c r="AL49" s="36"/>
      <c r="AM49" s="36">
        <f t="shared" si="54"/>
        <v>0</v>
      </c>
      <c r="AN49" s="36"/>
      <c r="AO49" s="36"/>
      <c r="AP49" s="36"/>
      <c r="AQ49" s="36"/>
      <c r="AR49" s="36">
        <f t="shared" si="58"/>
        <v>0</v>
      </c>
      <c r="AS49" s="36"/>
      <c r="AT49" s="36"/>
      <c r="AU49" s="36"/>
      <c r="AV49" s="36"/>
      <c r="AW49" s="36"/>
      <c r="AX49" s="36"/>
      <c r="AY49" s="36"/>
      <c r="AZ49" s="36"/>
      <c r="BA49" s="36">
        <f>+AR49+AS49+AU49+AW49+AY49+AZ49</f>
        <v>0</v>
      </c>
      <c r="BB49" s="49"/>
      <c r="BC49" s="50"/>
      <c r="BD49" s="50"/>
      <c r="BE49" s="49"/>
      <c r="BF49" s="50"/>
    </row>
    <row r="50" spans="1:58" ht="12.95" customHeight="1">
      <c r="A50" s="39"/>
      <c r="B50" s="40"/>
      <c r="C50" s="414"/>
      <c r="D50" s="40"/>
      <c r="E50" s="41"/>
      <c r="F50" s="41"/>
      <c r="G50" s="42"/>
      <c r="H50" s="43"/>
      <c r="I50" s="44"/>
      <c r="J50" s="81"/>
      <c r="K50" s="81"/>
      <c r="L50" s="34"/>
      <c r="M50" s="34"/>
      <c r="N50" s="45"/>
      <c r="O50" s="46"/>
      <c r="P50" s="47"/>
      <c r="Q50" s="33"/>
      <c r="R50" s="500"/>
      <c r="S50" s="500"/>
      <c r="T50" s="36"/>
      <c r="U50" s="36"/>
      <c r="V50" s="36"/>
      <c r="W50" s="36"/>
      <c r="X50" s="37"/>
      <c r="Y50" s="210"/>
      <c r="Z50" s="36"/>
      <c r="AA50" s="36"/>
      <c r="AB50" s="36"/>
      <c r="AC50" s="36"/>
      <c r="AD50" s="36">
        <f t="shared" ref="AD50:AD52" si="59">+AM50+BA50</f>
        <v>207</v>
      </c>
      <c r="AE50" s="232" t="s">
        <v>515</v>
      </c>
      <c r="AF50" s="36"/>
      <c r="AG50" s="36"/>
      <c r="AH50" s="36"/>
      <c r="AI50" s="502"/>
      <c r="AJ50" s="36"/>
      <c r="AK50" s="36"/>
      <c r="AL50" s="36"/>
      <c r="AM50" s="36">
        <f t="shared" ref="AM50:AM52" si="60">SUM(AF50:AL50)+AT50+AV50+AX50</f>
        <v>0</v>
      </c>
      <c r="AN50" s="36"/>
      <c r="AO50" s="36"/>
      <c r="AP50" s="36">
        <v>207</v>
      </c>
      <c r="AQ50" s="36"/>
      <c r="AR50" s="36">
        <f t="shared" ref="AR50:AR52" si="61">SUM(AN50:AQ50)</f>
        <v>207</v>
      </c>
      <c r="AS50" s="36"/>
      <c r="AT50" s="36"/>
      <c r="AU50" s="36"/>
      <c r="AV50" s="36"/>
      <c r="AW50" s="36"/>
      <c r="AX50" s="36"/>
      <c r="AY50" s="36"/>
      <c r="AZ50" s="36"/>
      <c r="BA50" s="36">
        <f t="shared" ref="BA50:BA52" si="62">+AR50+AS50+AU50+AW50+AY50+AZ50</f>
        <v>207</v>
      </c>
      <c r="BB50" s="49"/>
      <c r="BC50" s="50"/>
      <c r="BD50" s="50"/>
      <c r="BE50" s="49"/>
      <c r="BF50" s="50"/>
    </row>
    <row r="51" spans="1:58" ht="12.95" customHeight="1">
      <c r="A51" s="39"/>
      <c r="B51" s="40"/>
      <c r="C51" s="414"/>
      <c r="D51" s="40"/>
      <c r="E51" s="41"/>
      <c r="F51" s="41"/>
      <c r="G51" s="42"/>
      <c r="H51" s="43"/>
      <c r="I51" s="44"/>
      <c r="J51" s="81"/>
      <c r="K51" s="81"/>
      <c r="L51" s="34"/>
      <c r="M51" s="34"/>
      <c r="N51" s="45"/>
      <c r="O51" s="46"/>
      <c r="P51" s="47"/>
      <c r="Q51" s="33"/>
      <c r="R51" s="500"/>
      <c r="S51" s="500"/>
      <c r="T51" s="36"/>
      <c r="U51" s="36"/>
      <c r="V51" s="36"/>
      <c r="W51" s="36"/>
      <c r="X51" s="37"/>
      <c r="Y51" s="210"/>
      <c r="Z51" s="36"/>
      <c r="AA51" s="36"/>
      <c r="AB51" s="36"/>
      <c r="AC51" s="36"/>
      <c r="AD51" s="36">
        <f t="shared" si="59"/>
        <v>206</v>
      </c>
      <c r="AE51" s="232" t="s">
        <v>515</v>
      </c>
      <c r="AF51" s="36"/>
      <c r="AG51" s="36"/>
      <c r="AH51" s="36"/>
      <c r="AI51" s="502"/>
      <c r="AJ51" s="36"/>
      <c r="AK51" s="36"/>
      <c r="AL51" s="36"/>
      <c r="AM51" s="36"/>
      <c r="AN51" s="36"/>
      <c r="AO51" s="36">
        <v>206</v>
      </c>
      <c r="AP51" s="36"/>
      <c r="AQ51" s="36"/>
      <c r="AR51" s="36">
        <f t="shared" si="61"/>
        <v>206</v>
      </c>
      <c r="AS51" s="36"/>
      <c r="AT51" s="36"/>
      <c r="AU51" s="36"/>
      <c r="AV51" s="36"/>
      <c r="AW51" s="36"/>
      <c r="AX51" s="36"/>
      <c r="AY51" s="36"/>
      <c r="AZ51" s="36"/>
      <c r="BA51" s="36">
        <f t="shared" si="62"/>
        <v>206</v>
      </c>
      <c r="BB51" s="49"/>
      <c r="BC51" s="50"/>
      <c r="BD51" s="50"/>
      <c r="BE51" s="49"/>
      <c r="BF51" s="50"/>
    </row>
    <row r="52" spans="1:58" ht="12.95" customHeight="1">
      <c r="A52" s="39"/>
      <c r="B52" s="40"/>
      <c r="C52" s="414"/>
      <c r="D52" s="40"/>
      <c r="E52" s="41"/>
      <c r="F52" s="41"/>
      <c r="G52" s="42"/>
      <c r="H52" s="43"/>
      <c r="I52" s="44"/>
      <c r="J52" s="81"/>
      <c r="K52" s="81"/>
      <c r="L52" s="34"/>
      <c r="M52" s="34"/>
      <c r="N52" s="45"/>
      <c r="O52" s="46"/>
      <c r="P52" s="47"/>
      <c r="Q52" s="33"/>
      <c r="R52" s="500"/>
      <c r="S52" s="500"/>
      <c r="T52" s="36"/>
      <c r="U52" s="36"/>
      <c r="V52" s="36"/>
      <c r="W52" s="36"/>
      <c r="X52" s="37"/>
      <c r="Y52" s="210"/>
      <c r="Z52" s="36"/>
      <c r="AA52" s="36"/>
      <c r="AB52" s="36"/>
      <c r="AC52" s="36"/>
      <c r="AD52" s="36">
        <f t="shared" si="59"/>
        <v>738</v>
      </c>
      <c r="AE52" s="232" t="s">
        <v>516</v>
      </c>
      <c r="AF52" s="36"/>
      <c r="AG52" s="36"/>
      <c r="AH52" s="36"/>
      <c r="AI52" s="502"/>
      <c r="AJ52" s="36"/>
      <c r="AK52" s="36"/>
      <c r="AL52" s="36"/>
      <c r="AM52" s="36">
        <f t="shared" si="60"/>
        <v>0</v>
      </c>
      <c r="AN52" s="36"/>
      <c r="AO52" s="36"/>
      <c r="AP52" s="36"/>
      <c r="AQ52" s="36"/>
      <c r="AR52" s="36">
        <f t="shared" si="61"/>
        <v>0</v>
      </c>
      <c r="AS52" s="36">
        <v>738</v>
      </c>
      <c r="AT52" s="36"/>
      <c r="AU52" s="36"/>
      <c r="AV52" s="36"/>
      <c r="AW52" s="36"/>
      <c r="AX52" s="36"/>
      <c r="AY52" s="36"/>
      <c r="AZ52" s="36"/>
      <c r="BA52" s="36">
        <f t="shared" si="62"/>
        <v>738</v>
      </c>
      <c r="BB52" s="49"/>
      <c r="BC52" s="50"/>
      <c r="BD52" s="50"/>
      <c r="BE52" s="49"/>
      <c r="BF52" s="50"/>
    </row>
    <row r="53" spans="1:58" ht="12.95" customHeight="1">
      <c r="A53" s="39"/>
      <c r="B53" s="40"/>
      <c r="C53" s="414"/>
      <c r="D53" s="40"/>
      <c r="E53" s="41"/>
      <c r="F53" s="41"/>
      <c r="G53" s="42"/>
      <c r="H53" s="43"/>
      <c r="I53" s="44"/>
      <c r="J53" s="81"/>
      <c r="K53" s="81"/>
      <c r="L53" s="34"/>
      <c r="M53" s="34"/>
      <c r="N53" s="45"/>
      <c r="O53" s="46"/>
      <c r="P53" s="47"/>
      <c r="Q53" s="46"/>
      <c r="R53" s="500"/>
      <c r="S53" s="500"/>
      <c r="T53" s="36"/>
      <c r="U53" s="36"/>
      <c r="V53" s="36"/>
      <c r="W53" s="36"/>
      <c r="X53" s="37"/>
      <c r="Y53" s="210"/>
      <c r="Z53" s="36"/>
      <c r="AA53" s="36"/>
      <c r="AB53" s="36"/>
      <c r="AC53" s="36"/>
      <c r="AD53" s="36"/>
      <c r="AE53" s="229"/>
      <c r="AF53" s="32"/>
      <c r="AG53" s="32"/>
      <c r="AH53" s="32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2"/>
      <c r="BC53" s="503"/>
      <c r="BD53" s="50"/>
      <c r="BE53" s="49"/>
      <c r="BF53" s="50"/>
    </row>
    <row r="54" spans="1:58" ht="12.75" customHeight="1">
      <c r="A54" s="39">
        <v>46122</v>
      </c>
      <c r="B54" s="40" t="s">
        <v>513</v>
      </c>
      <c r="C54" s="414">
        <f t="shared" ref="C54:C55" si="63">(M54*E54*O54*Q54)/100000000</f>
        <v>3.1698688000000002</v>
      </c>
      <c r="D54" s="40" t="s">
        <v>302</v>
      </c>
      <c r="E54" s="41">
        <v>14</v>
      </c>
      <c r="F54" s="41">
        <v>1</v>
      </c>
      <c r="G54" s="499">
        <v>1230</v>
      </c>
      <c r="H54" s="43">
        <f>+N54</f>
        <v>0.24</v>
      </c>
      <c r="I54" s="44">
        <v>0.88</v>
      </c>
      <c r="J54" s="81">
        <f t="shared" ref="J54:J55" si="64">E54*G54*(1-H54)*1440/1000000*2.74</f>
        <v>51.636856320000007</v>
      </c>
      <c r="K54" s="81">
        <f t="shared" ref="K54:K55" si="65">(IF(G54&lt;L54,L54,G54)*(1-IF(H54&lt;N54,H54,N54))*E54*O54*Q54)/100000000</f>
        <v>4.8736732799999993</v>
      </c>
      <c r="L54" s="34">
        <v>800</v>
      </c>
      <c r="M54" s="34">
        <v>608</v>
      </c>
      <c r="N54" s="45">
        <f t="shared" ref="N54:N55" si="66">1-(M54/L54)</f>
        <v>0.24</v>
      </c>
      <c r="O54" s="46">
        <f>+'Trim Rwd'!H31</f>
        <v>266</v>
      </c>
      <c r="P54" s="47">
        <f t="shared" ref="P54:P55" si="67">O54*(Q54-R54-S54)</f>
        <v>34846</v>
      </c>
      <c r="Q54" s="46">
        <v>140</v>
      </c>
      <c r="R54" s="500">
        <v>0</v>
      </c>
      <c r="S54" s="500">
        <v>9</v>
      </c>
      <c r="T54" s="36">
        <f t="shared" ref="T54:T55" si="68">E54*M54*O54*Q54/100000000</f>
        <v>3.1698688000000002</v>
      </c>
      <c r="U54" s="36">
        <f t="shared" ref="U54:U55" si="69">E54*M54*O54*(Q54-R54-S54)/100000000</f>
        <v>2.96609152</v>
      </c>
      <c r="V54" s="36">
        <f t="shared" ref="V54:V55" si="70">E54*G54*(1-N54)*O54/100*(R54+S54)/1000000</f>
        <v>0.31330756800000004</v>
      </c>
      <c r="W54" s="36">
        <f>+'10'!K13/1000</f>
        <v>4.758</v>
      </c>
      <c r="X54" s="501">
        <f>SUM(W54:W58)/SUM(K54:K58)</f>
        <v>0.67229957799797802</v>
      </c>
      <c r="Y54" s="210">
        <v>0</v>
      </c>
      <c r="Z54" s="36">
        <v>0</v>
      </c>
      <c r="AA54" s="48">
        <f>SUM(U54:U58)-SUM(W54:W58)-SUM(Z54:Z58)-SUM(Y54:Y58)</f>
        <v>6.2953599449999977</v>
      </c>
      <c r="AB54" s="48">
        <f>(SUM(K54:K58)-SUM(W54:W58)-SUM(Y54:Y58)-SUM(Z54:Z58)-SUM(AC54:AC58)-SUM(V54:V58))-AA54</f>
        <v>-0.28541787354313897</v>
      </c>
      <c r="AC54" s="36">
        <f>K54-T54</f>
        <v>1.7038044799999992</v>
      </c>
      <c r="AD54" s="36">
        <f>+AM54+BA54</f>
        <v>0</v>
      </c>
      <c r="AE54" s="229" t="s">
        <v>385</v>
      </c>
      <c r="AF54" s="36">
        <v>0</v>
      </c>
      <c r="AG54" s="36"/>
      <c r="AH54" s="36"/>
      <c r="AI54" s="502"/>
      <c r="AJ54" s="36"/>
      <c r="AK54" s="36"/>
      <c r="AL54" s="36"/>
      <c r="AM54" s="36">
        <f t="shared" ref="AM54:AM57" si="71">SUM(AF54:AL54)+AT54+AV54+AX54</f>
        <v>0</v>
      </c>
      <c r="AN54" s="36"/>
      <c r="AO54" s="36"/>
      <c r="AP54" s="36"/>
      <c r="AQ54" s="36"/>
      <c r="AR54" s="36">
        <f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>
        <f>+AR54+AS54+AU54+AW54+AY54+AZ54</f>
        <v>0</v>
      </c>
      <c r="BB54" s="32">
        <v>0</v>
      </c>
      <c r="BC54" s="50"/>
      <c r="BD54" s="50"/>
      <c r="BE54" s="32"/>
      <c r="BF54" s="50"/>
    </row>
    <row r="55" spans="1:58" ht="12.95" customHeight="1">
      <c r="A55" s="39"/>
      <c r="B55" s="40" t="s">
        <v>513</v>
      </c>
      <c r="C55" s="414">
        <f t="shared" si="63"/>
        <v>35.549559162000001</v>
      </c>
      <c r="D55" s="40" t="s">
        <v>302</v>
      </c>
      <c r="E55" s="41">
        <v>13</v>
      </c>
      <c r="F55" s="41">
        <v>1</v>
      </c>
      <c r="G55" s="499">
        <v>1230</v>
      </c>
      <c r="H55" s="43">
        <f>+N55</f>
        <v>0.25186850185283216</v>
      </c>
      <c r="I55" s="44">
        <v>0.88</v>
      </c>
      <c r="J55" s="81">
        <f t="shared" si="64"/>
        <v>47.199723949040553</v>
      </c>
      <c r="K55" s="81">
        <f t="shared" si="65"/>
        <v>40.122636386121762</v>
      </c>
      <c r="L55" s="34">
        <v>1089.8076923076924</v>
      </c>
      <c r="M55" s="34">
        <v>815.31946153846161</v>
      </c>
      <c r="N55" s="45">
        <f t="shared" si="66"/>
        <v>0.25186850185283216</v>
      </c>
      <c r="O55" s="46">
        <f>+'Trim Rwd'!H30</f>
        <v>258</v>
      </c>
      <c r="P55" s="47">
        <f t="shared" si="67"/>
        <v>322500</v>
      </c>
      <c r="Q55" s="46">
        <v>1300</v>
      </c>
      <c r="R55" s="500">
        <v>0</v>
      </c>
      <c r="S55" s="500">
        <v>50</v>
      </c>
      <c r="T55" s="36">
        <f t="shared" si="68"/>
        <v>35.549559162000001</v>
      </c>
      <c r="U55" s="36">
        <f t="shared" si="69"/>
        <v>34.182268424999997</v>
      </c>
      <c r="V55" s="36">
        <f t="shared" si="70"/>
        <v>1.5431783225431448</v>
      </c>
      <c r="W55" s="36">
        <f>+'10'!K14/1000</f>
        <v>25.492999999999999</v>
      </c>
      <c r="X55" s="37"/>
      <c r="Y55" s="210"/>
      <c r="Z55" s="36">
        <f>+'10'!D16/1000</f>
        <v>0.60199999999999998</v>
      </c>
      <c r="AA55" s="36"/>
      <c r="AB55" s="36"/>
      <c r="AC55" s="36">
        <f>K55-T55</f>
        <v>4.5730772241217608</v>
      </c>
      <c r="AD55" s="36">
        <f>+AM55+BA55</f>
        <v>0</v>
      </c>
      <c r="AE55" s="229" t="s">
        <v>412</v>
      </c>
      <c r="AF55" s="36"/>
      <c r="AG55" s="36">
        <v>0</v>
      </c>
      <c r="AH55" s="36"/>
      <c r="AI55" s="502"/>
      <c r="AJ55" s="36"/>
      <c r="AK55" s="36"/>
      <c r="AL55" s="36"/>
      <c r="AM55" s="36">
        <f t="shared" si="71"/>
        <v>0</v>
      </c>
      <c r="AN55" s="82"/>
      <c r="AO55" s="36"/>
      <c r="AP55" s="36"/>
      <c r="AQ55" s="36"/>
      <c r="AR55" s="36">
        <f t="shared" ref="AR55:AR57" si="72">SUM(AN55:AQ55)</f>
        <v>0</v>
      </c>
      <c r="AS55" s="36"/>
      <c r="AT55" s="36"/>
      <c r="AU55" s="36"/>
      <c r="AV55" s="36"/>
      <c r="AW55" s="36"/>
      <c r="AX55" s="36"/>
      <c r="AY55" s="36"/>
      <c r="AZ55" s="36"/>
      <c r="BA55" s="36">
        <f>+AR55+AS55+AU55+AW55+AY55+AZ55</f>
        <v>0</v>
      </c>
      <c r="BB55" s="49"/>
      <c r="BC55" s="50">
        <v>0</v>
      </c>
      <c r="BD55" s="50"/>
      <c r="BE55" s="49"/>
      <c r="BF55" s="50"/>
    </row>
    <row r="56" spans="1:58" ht="12.95" customHeight="1">
      <c r="A56" s="39"/>
      <c r="B56" s="40"/>
      <c r="C56" s="414"/>
      <c r="D56" s="40"/>
      <c r="E56" s="41"/>
      <c r="F56" s="41"/>
      <c r="G56" s="42"/>
      <c r="H56" s="43"/>
      <c r="I56" s="44"/>
      <c r="J56" s="81"/>
      <c r="K56" s="81"/>
      <c r="L56" s="34"/>
      <c r="M56" s="34"/>
      <c r="N56" s="45"/>
      <c r="O56" s="46"/>
      <c r="P56" s="47"/>
      <c r="Q56" s="46"/>
      <c r="R56" s="500"/>
      <c r="S56" s="500"/>
      <c r="T56" s="36"/>
      <c r="U56" s="36"/>
      <c r="V56" s="36"/>
      <c r="W56" s="36"/>
      <c r="X56" s="37"/>
      <c r="Y56" s="210"/>
      <c r="Z56" s="36"/>
      <c r="AA56" s="36"/>
      <c r="AB56" s="36"/>
      <c r="AC56" s="36"/>
      <c r="AD56" s="36">
        <f>+AM56+BA56</f>
        <v>59</v>
      </c>
      <c r="AE56" s="229" t="s">
        <v>532</v>
      </c>
      <c r="AF56" s="32"/>
      <c r="AG56" s="32"/>
      <c r="AH56" s="32">
        <v>59</v>
      </c>
      <c r="AJ56" s="36"/>
      <c r="AK56" s="36"/>
      <c r="AL56" s="36"/>
      <c r="AM56" s="36">
        <f t="shared" si="71"/>
        <v>59</v>
      </c>
      <c r="AN56" s="36"/>
      <c r="AO56" s="36"/>
      <c r="AP56" s="36"/>
      <c r="AQ56" s="36"/>
      <c r="AR56" s="36">
        <f t="shared" si="72"/>
        <v>0</v>
      </c>
      <c r="AS56" s="36"/>
      <c r="AT56" s="36"/>
      <c r="AU56" s="36"/>
      <c r="AV56" s="36"/>
      <c r="AW56" s="36"/>
      <c r="AX56" s="36"/>
      <c r="AY56" s="36"/>
      <c r="AZ56" s="36"/>
      <c r="BA56" s="36">
        <f>+AR56+AS56+AU56+AW56+AY56+AZ56</f>
        <v>0</v>
      </c>
      <c r="BB56" s="32"/>
      <c r="BC56" s="503"/>
      <c r="BD56" s="503"/>
      <c r="BE56" s="32"/>
      <c r="BF56" s="503"/>
    </row>
    <row r="57" spans="1:58" ht="12.95" customHeight="1">
      <c r="A57" s="39"/>
      <c r="B57" s="40"/>
      <c r="C57" s="414"/>
      <c r="D57" s="40"/>
      <c r="E57" s="41"/>
      <c r="F57" s="41"/>
      <c r="G57" s="42"/>
      <c r="H57" s="43"/>
      <c r="I57" s="44"/>
      <c r="J57" s="81"/>
      <c r="K57" s="81"/>
      <c r="L57" s="34"/>
      <c r="M57" s="34"/>
      <c r="N57" s="45"/>
      <c r="O57" s="46"/>
      <c r="P57" s="47"/>
      <c r="Q57" s="33"/>
      <c r="R57" s="500"/>
      <c r="S57" s="500"/>
      <c r="T57" s="36"/>
      <c r="U57" s="36"/>
      <c r="V57" s="36"/>
      <c r="W57" s="36"/>
      <c r="X57" s="37"/>
      <c r="Y57" s="210"/>
      <c r="Z57" s="36"/>
      <c r="AA57" s="36"/>
      <c r="AB57" s="36"/>
      <c r="AC57" s="36"/>
      <c r="AD57" s="36">
        <f>+AM57+BA57</f>
        <v>0</v>
      </c>
      <c r="AE57" s="232" t="s">
        <v>378</v>
      </c>
      <c r="AF57" s="36"/>
      <c r="AG57" s="36"/>
      <c r="AH57" s="36"/>
      <c r="AI57" s="502">
        <v>0</v>
      </c>
      <c r="AJ57" s="36"/>
      <c r="AK57" s="36"/>
      <c r="AL57" s="36"/>
      <c r="AM57" s="36">
        <f t="shared" si="71"/>
        <v>0</v>
      </c>
      <c r="AN57" s="36"/>
      <c r="AO57" s="36"/>
      <c r="AP57" s="36"/>
      <c r="AQ57" s="36"/>
      <c r="AR57" s="36">
        <f t="shared" si="72"/>
        <v>0</v>
      </c>
      <c r="AS57" s="36"/>
      <c r="AT57" s="36"/>
      <c r="AU57" s="36"/>
      <c r="AV57" s="36"/>
      <c r="AW57" s="36"/>
      <c r="AX57" s="36"/>
      <c r="AY57" s="36"/>
      <c r="AZ57" s="36"/>
      <c r="BA57" s="36">
        <f>+AR57+AS57+AU57+AW57+AY57+AZ57</f>
        <v>0</v>
      </c>
      <c r="BB57" s="49"/>
      <c r="BC57" s="50"/>
      <c r="BD57" s="50"/>
      <c r="BE57" s="49"/>
      <c r="BF57" s="50"/>
    </row>
    <row r="58" spans="1:58" ht="12.95" customHeight="1">
      <c r="A58" s="39"/>
      <c r="B58" s="40"/>
      <c r="C58" s="414"/>
      <c r="D58" s="40"/>
      <c r="E58" s="41"/>
      <c r="F58" s="41"/>
      <c r="G58" s="42"/>
      <c r="H58" s="43"/>
      <c r="I58" s="44"/>
      <c r="J58" s="81"/>
      <c r="K58" s="81"/>
      <c r="L58" s="34"/>
      <c r="M58" s="34"/>
      <c r="N58" s="45"/>
      <c r="O58" s="46"/>
      <c r="P58" s="47"/>
      <c r="Q58" s="46"/>
      <c r="R58" s="500"/>
      <c r="S58" s="500"/>
      <c r="T58" s="36"/>
      <c r="U58" s="36"/>
      <c r="V58" s="36"/>
      <c r="W58" s="36"/>
      <c r="X58" s="37"/>
      <c r="Y58" s="210"/>
      <c r="Z58" s="36"/>
      <c r="AA58" s="36"/>
      <c r="AB58" s="36"/>
      <c r="AC58" s="36"/>
      <c r="AD58" s="36"/>
      <c r="AE58" s="229"/>
      <c r="AF58" s="32"/>
      <c r="AG58" s="32"/>
      <c r="AH58" s="32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2"/>
      <c r="BC58" s="503"/>
      <c r="BD58" s="503"/>
      <c r="BE58" s="32"/>
      <c r="BF58" s="503"/>
    </row>
    <row r="59" spans="1:58" ht="12.75" customHeight="1">
      <c r="A59" s="39">
        <v>46123</v>
      </c>
      <c r="B59" s="40" t="s">
        <v>513</v>
      </c>
      <c r="C59" s="414">
        <f t="shared" ref="C59" si="73">(M59*E59*O59*Q59)/100000000</f>
        <v>41.669005949999999</v>
      </c>
      <c r="D59" s="40" t="s">
        <v>302</v>
      </c>
      <c r="E59" s="41">
        <v>13</v>
      </c>
      <c r="F59" s="41">
        <v>1</v>
      </c>
      <c r="G59" s="499">
        <v>1230</v>
      </c>
      <c r="H59" s="43">
        <f>+N59</f>
        <v>0.25</v>
      </c>
      <c r="I59" s="44">
        <v>0.88</v>
      </c>
      <c r="J59" s="81">
        <f t="shared" ref="J59" si="74">E59*G59*(1-H59)*1440/1000000*2.74</f>
        <v>47.317608000000007</v>
      </c>
      <c r="K59" s="81">
        <f t="shared" ref="K59" si="75">(IF(G59&lt;L59,L59,G59)*(1-IF(H59&lt;N59,H59,N59))*E59*O59*Q59)/100000000</f>
        <v>44.554535999999999</v>
      </c>
      <c r="L59" s="34">
        <v>1150.3402777777778</v>
      </c>
      <c r="M59" s="34">
        <v>862.75520833333337</v>
      </c>
      <c r="N59" s="45">
        <f t="shared" ref="N59" si="76">1-(M59/L59)</f>
        <v>0.25</v>
      </c>
      <c r="O59" s="46">
        <f>+'Trim Rwd'!H33</f>
        <v>258</v>
      </c>
      <c r="P59" s="47">
        <f t="shared" ref="P59" si="77">O59*(Q59-R59-S59)</f>
        <v>351138</v>
      </c>
      <c r="Q59" s="46">
        <v>1440</v>
      </c>
      <c r="R59" s="500">
        <v>0</v>
      </c>
      <c r="S59" s="500">
        <v>79</v>
      </c>
      <c r="T59" s="36">
        <f t="shared" ref="T59" si="78">E59*M59*O59*Q59/100000000</f>
        <v>41.669005949999999</v>
      </c>
      <c r="U59" s="36">
        <f t="shared" ref="U59" si="79">E59*M59*O59*(Q59-R59-S59)/100000000</f>
        <v>39.382997984687499</v>
      </c>
      <c r="V59" s="36">
        <f t="shared" ref="V59" si="80">E59*G59*(1-N59)*O59/100*(R59+S59)/1000000</f>
        <v>2.44431135</v>
      </c>
      <c r="W59" s="36">
        <f>+'11'!K34/1000</f>
        <v>39.326999999999998</v>
      </c>
      <c r="X59" s="501">
        <f>SUM(W59:W63)/SUM(K59:K63)</f>
        <v>0.88267107079737062</v>
      </c>
      <c r="Y59" s="210">
        <v>0</v>
      </c>
      <c r="Z59" s="36">
        <v>0</v>
      </c>
      <c r="AA59" s="48">
        <f>SUM(U59:U63)-SUM(W59:W63)-SUM(Z59:Z63)-SUM(Y59:Y63)</f>
        <v>5.5997984687500946E-2</v>
      </c>
      <c r="AB59" s="48">
        <f>(SUM(K59:K63)-SUM(W59:W63)-SUM(Y59:Y63)-SUM(Z59:Z63)-SUM(AC59:AC63)-SUM(V59:V63))-AA59</f>
        <v>-0.15830338468750016</v>
      </c>
      <c r="AC59" s="36">
        <f>K59-T59</f>
        <v>2.8855300499999998</v>
      </c>
      <c r="AD59" s="36">
        <f>+AM59+BA59</f>
        <v>60</v>
      </c>
      <c r="AE59" s="229" t="s">
        <v>553</v>
      </c>
      <c r="AF59" s="36">
        <v>60</v>
      </c>
      <c r="AG59" s="36"/>
      <c r="AH59" s="36"/>
      <c r="AI59" s="502"/>
      <c r="AJ59" s="36"/>
      <c r="AK59" s="36"/>
      <c r="AL59" s="36"/>
      <c r="AM59" s="36">
        <f t="shared" ref="AM59:AM62" si="81">SUM(AF59:AL59)+AT59+AV59+AX59</f>
        <v>60</v>
      </c>
      <c r="AN59" s="36"/>
      <c r="AO59" s="36"/>
      <c r="AP59" s="36"/>
      <c r="AQ59" s="36"/>
      <c r="AR59" s="36">
        <f>SUM(AN59:AQ59)</f>
        <v>0</v>
      </c>
      <c r="AS59" s="36"/>
      <c r="AT59" s="36"/>
      <c r="AU59" s="36"/>
      <c r="AV59" s="36"/>
      <c r="AW59" s="36"/>
      <c r="AX59" s="36"/>
      <c r="AY59" s="36"/>
      <c r="AZ59" s="36"/>
      <c r="BA59" s="36">
        <f>+AR59+AS59+AU59+AW59+AY59+AZ59</f>
        <v>0</v>
      </c>
      <c r="BB59" s="32">
        <v>12</v>
      </c>
      <c r="BC59" s="50"/>
      <c r="BD59" s="50"/>
      <c r="BE59" s="32"/>
      <c r="BF59" s="50"/>
    </row>
    <row r="60" spans="1:58" ht="12.95" customHeight="1">
      <c r="A60" s="39"/>
      <c r="B60" s="40"/>
      <c r="C60" s="414"/>
      <c r="D60" s="40"/>
      <c r="E60" s="41"/>
      <c r="F60" s="41"/>
      <c r="G60" s="499"/>
      <c r="H60" s="43"/>
      <c r="I60" s="44"/>
      <c r="J60" s="81"/>
      <c r="K60" s="81"/>
      <c r="L60" s="34"/>
      <c r="M60" s="34"/>
      <c r="N60" s="45"/>
      <c r="O60" s="46"/>
      <c r="P60" s="47"/>
      <c r="Q60" s="46"/>
      <c r="R60" s="500"/>
      <c r="S60" s="500"/>
      <c r="T60" s="36"/>
      <c r="U60" s="36"/>
      <c r="V60" s="36"/>
      <c r="W60" s="36"/>
      <c r="X60" s="37"/>
      <c r="Y60" s="210"/>
      <c r="Z60" s="36"/>
      <c r="AA60" s="36"/>
      <c r="AB60" s="36"/>
      <c r="AC60" s="36"/>
      <c r="AD60" s="36">
        <f>+AM60+BA60</f>
        <v>4</v>
      </c>
      <c r="AE60" s="229" t="s">
        <v>480</v>
      </c>
      <c r="AF60" s="36"/>
      <c r="AG60" s="36">
        <v>4</v>
      </c>
      <c r="AH60" s="36"/>
      <c r="AI60" s="502"/>
      <c r="AJ60" s="36"/>
      <c r="AK60" s="36"/>
      <c r="AL60" s="36"/>
      <c r="AM60" s="36">
        <f t="shared" si="81"/>
        <v>4</v>
      </c>
      <c r="AN60" s="82"/>
      <c r="AO60" s="36"/>
      <c r="AP60" s="36"/>
      <c r="AQ60" s="36"/>
      <c r="AR60" s="36">
        <f t="shared" ref="AR60:AR62" si="82"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>
        <f>+AR60+AS60+AU60+AW60+AY60+AZ60</f>
        <v>0</v>
      </c>
      <c r="BB60" s="49"/>
      <c r="BC60" s="50">
        <v>2</v>
      </c>
      <c r="BD60" s="50"/>
      <c r="BE60" s="49"/>
      <c r="BF60" s="50"/>
    </row>
    <row r="61" spans="1:58" ht="12.95" customHeight="1">
      <c r="A61" s="39"/>
      <c r="B61" s="40"/>
      <c r="C61" s="414"/>
      <c r="D61" s="40"/>
      <c r="E61" s="41"/>
      <c r="F61" s="41"/>
      <c r="G61" s="42"/>
      <c r="H61" s="43"/>
      <c r="I61" s="44"/>
      <c r="J61" s="81"/>
      <c r="K61" s="81"/>
      <c r="L61" s="34"/>
      <c r="M61" s="34"/>
      <c r="N61" s="45"/>
      <c r="O61" s="46"/>
      <c r="P61" s="47"/>
      <c r="Q61" s="46"/>
      <c r="R61" s="500"/>
      <c r="S61" s="500"/>
      <c r="T61" s="36"/>
      <c r="U61" s="36"/>
      <c r="V61" s="36"/>
      <c r="W61" s="36"/>
      <c r="X61" s="37"/>
      <c r="Y61" s="210"/>
      <c r="Z61" s="36"/>
      <c r="AA61" s="36"/>
      <c r="AB61" s="36"/>
      <c r="AC61" s="36"/>
      <c r="AD61" s="36">
        <f>+AM61+BA61</f>
        <v>15</v>
      </c>
      <c r="AE61" s="229" t="s">
        <v>552</v>
      </c>
      <c r="AF61" s="32"/>
      <c r="AG61" s="32"/>
      <c r="AH61" s="32">
        <v>15</v>
      </c>
      <c r="AJ61" s="36"/>
      <c r="AK61" s="36"/>
      <c r="AL61" s="36"/>
      <c r="AM61" s="36">
        <f t="shared" si="81"/>
        <v>15</v>
      </c>
      <c r="AN61" s="36"/>
      <c r="AO61" s="36"/>
      <c r="AP61" s="36"/>
      <c r="AQ61" s="36"/>
      <c r="AR61" s="36">
        <f t="shared" si="82"/>
        <v>0</v>
      </c>
      <c r="AS61" s="36"/>
      <c r="AT61" s="36"/>
      <c r="AU61" s="36"/>
      <c r="AV61" s="36"/>
      <c r="AW61" s="36"/>
      <c r="AX61" s="36"/>
      <c r="AY61" s="36"/>
      <c r="AZ61" s="36"/>
      <c r="BA61" s="36">
        <f>+AR61+AS61+AU61+AW61+AY61+AZ61</f>
        <v>0</v>
      </c>
      <c r="BB61" s="32"/>
      <c r="BC61" s="503"/>
      <c r="BD61" s="503"/>
      <c r="BE61" s="32"/>
      <c r="BF61" s="503"/>
    </row>
    <row r="62" spans="1:58" ht="12.95" customHeight="1">
      <c r="A62" s="39"/>
      <c r="B62" s="40"/>
      <c r="C62" s="414"/>
      <c r="D62" s="40"/>
      <c r="E62" s="41"/>
      <c r="F62" s="41"/>
      <c r="G62" s="42"/>
      <c r="H62" s="43"/>
      <c r="I62" s="44"/>
      <c r="J62" s="81"/>
      <c r="K62" s="81"/>
      <c r="L62" s="34"/>
      <c r="M62" s="34"/>
      <c r="N62" s="45"/>
      <c r="O62" s="46"/>
      <c r="P62" s="47"/>
      <c r="Q62" s="33"/>
      <c r="R62" s="500"/>
      <c r="S62" s="500"/>
      <c r="T62" s="36"/>
      <c r="U62" s="36"/>
      <c r="V62" s="36"/>
      <c r="W62" s="36"/>
      <c r="X62" s="37"/>
      <c r="Y62" s="210"/>
      <c r="Z62" s="36"/>
      <c r="AA62" s="36"/>
      <c r="AB62" s="36"/>
      <c r="AC62" s="36"/>
      <c r="AD62" s="36">
        <f>+AM62+BA62</f>
        <v>0</v>
      </c>
      <c r="AE62" s="232" t="s">
        <v>378</v>
      </c>
      <c r="AF62" s="36"/>
      <c r="AG62" s="36"/>
      <c r="AH62" s="36"/>
      <c r="AI62" s="502">
        <v>0</v>
      </c>
      <c r="AJ62" s="36"/>
      <c r="AK62" s="36"/>
      <c r="AL62" s="36"/>
      <c r="AM62" s="36">
        <f t="shared" si="81"/>
        <v>0</v>
      </c>
      <c r="AN62" s="36"/>
      <c r="AO62" s="36"/>
      <c r="AP62" s="36"/>
      <c r="AQ62" s="36"/>
      <c r="AR62" s="36">
        <f t="shared" si="82"/>
        <v>0</v>
      </c>
      <c r="AS62" s="36"/>
      <c r="AT62" s="36"/>
      <c r="AU62" s="36"/>
      <c r="AV62" s="36"/>
      <c r="AW62" s="36"/>
      <c r="AX62" s="36"/>
      <c r="AY62" s="36"/>
      <c r="AZ62" s="36"/>
      <c r="BA62" s="36">
        <f>+AR62+AS62+AU62+AW62+AY62+AZ62</f>
        <v>0</v>
      </c>
      <c r="BB62" s="49"/>
      <c r="BC62" s="50"/>
      <c r="BD62" s="50"/>
      <c r="BE62" s="49"/>
      <c r="BF62" s="50"/>
    </row>
    <row r="63" spans="1:58" ht="12.95" customHeight="1">
      <c r="A63" s="39"/>
      <c r="B63" s="40"/>
      <c r="C63" s="414"/>
      <c r="D63" s="40"/>
      <c r="E63" s="41"/>
      <c r="F63" s="41"/>
      <c r="G63" s="42"/>
      <c r="H63" s="43"/>
      <c r="I63" s="44"/>
      <c r="J63" s="81"/>
      <c r="K63" s="81"/>
      <c r="L63" s="34"/>
      <c r="M63" s="34"/>
      <c r="N63" s="45"/>
      <c r="O63" s="46"/>
      <c r="P63" s="47"/>
      <c r="Q63" s="46"/>
      <c r="R63" s="500"/>
      <c r="S63" s="500"/>
      <c r="T63" s="36"/>
      <c r="U63" s="36"/>
      <c r="V63" s="36"/>
      <c r="W63" s="36"/>
      <c r="X63" s="37"/>
      <c r="Y63" s="210"/>
      <c r="Z63" s="36"/>
      <c r="AA63" s="36"/>
      <c r="AB63" s="36"/>
      <c r="AC63" s="36"/>
      <c r="AD63" s="36"/>
      <c r="AE63" s="229"/>
      <c r="AF63" s="32"/>
      <c r="AG63" s="32"/>
      <c r="AH63" s="32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2"/>
      <c r="BC63" s="503"/>
      <c r="BD63" s="50"/>
      <c r="BE63" s="32"/>
      <c r="BF63" s="50"/>
    </row>
    <row r="64" spans="1:58" ht="12.75" customHeight="1">
      <c r="A64" s="39">
        <v>46124</v>
      </c>
      <c r="B64" s="40" t="s">
        <v>513</v>
      </c>
      <c r="C64" s="414">
        <f t="shared" ref="C64" si="83">(M64*E64*O64*Q64)/100000000</f>
        <v>41.777424000000003</v>
      </c>
      <c r="D64" s="40" t="s">
        <v>302</v>
      </c>
      <c r="E64" s="41">
        <v>13</v>
      </c>
      <c r="F64" s="41">
        <v>1</v>
      </c>
      <c r="G64" s="499">
        <v>1230</v>
      </c>
      <c r="H64" s="43">
        <f>+N64</f>
        <v>0.25</v>
      </c>
      <c r="I64" s="44">
        <v>0.88</v>
      </c>
      <c r="J64" s="81">
        <f t="shared" ref="J64" si="84">E64*G64*(1-H64)*1440/1000000*2.74</f>
        <v>47.317608000000007</v>
      </c>
      <c r="K64" s="81">
        <f t="shared" ref="K64" si="85">(IF(G64&lt;L64,L64,G64)*(1-IF(H64&lt;N64,H64,N64))*E64*O64*Q64)/100000000</f>
        <v>44.554535999999999</v>
      </c>
      <c r="L64" s="34">
        <v>1153.3333333333333</v>
      </c>
      <c r="M64" s="34">
        <v>865</v>
      </c>
      <c r="N64" s="45">
        <f t="shared" ref="N64" si="86">1-(M64/L64)</f>
        <v>0.25</v>
      </c>
      <c r="O64" s="46">
        <f>+'Trim Rwd'!H35</f>
        <v>258</v>
      </c>
      <c r="P64" s="47">
        <f t="shared" ref="P64" si="87">O64*(Q64-R64-S64)</f>
        <v>353718</v>
      </c>
      <c r="Q64" s="46">
        <v>1440</v>
      </c>
      <c r="R64" s="500">
        <v>0</v>
      </c>
      <c r="S64" s="500">
        <v>69</v>
      </c>
      <c r="T64" s="36">
        <f t="shared" ref="T64" si="88">E64*M64*O64*Q64/100000000</f>
        <v>41.777424000000003</v>
      </c>
      <c r="U64" s="36">
        <f t="shared" ref="U64" si="89">E64*M64*O64*(Q64-R64-S64)/100000000</f>
        <v>39.775589099999998</v>
      </c>
      <c r="V64" s="36">
        <f t="shared" ref="V64" si="90">E64*G64*(1-N64)*O64/100*(R64+S64)/1000000</f>
        <v>2.1349048500000003</v>
      </c>
      <c r="W64" s="36">
        <f>+'12'!K34/1000</f>
        <v>35.430999999999997</v>
      </c>
      <c r="X64" s="501">
        <f>SUM(W64:W68)/SUM(K64:K68)</f>
        <v>0.79522767333947764</v>
      </c>
      <c r="Y64" s="210">
        <v>0</v>
      </c>
      <c r="Z64" s="36">
        <v>0</v>
      </c>
      <c r="AA64" s="48">
        <f>SUM(U64:U68)-SUM(W64:W68)-SUM(Z64:Z68)-SUM(Y64:Y68)</f>
        <v>4.3445891000000003</v>
      </c>
      <c r="AB64" s="48">
        <f>(SUM(K64:K68)-SUM(W64:W68)-SUM(Y64:Y68)-SUM(Z64:Z68)-SUM(AC64:AC68)-SUM(V64:V68))-AA64</f>
        <v>-0.13306994999999411</v>
      </c>
      <c r="AC64" s="36">
        <f>K64-T64</f>
        <v>2.7771119999999954</v>
      </c>
      <c r="AD64" s="36">
        <f>+AM64+BA64</f>
        <v>25</v>
      </c>
      <c r="AE64" s="229" t="s">
        <v>494</v>
      </c>
      <c r="AF64" s="36">
        <v>25</v>
      </c>
      <c r="AG64" s="36"/>
      <c r="AH64" s="36"/>
      <c r="AI64" s="502"/>
      <c r="AJ64" s="36"/>
      <c r="AK64" s="36"/>
      <c r="AL64" s="36"/>
      <c r="AM64" s="36">
        <f t="shared" ref="AM64:AM67" si="91">SUM(AF64:AL64)+AT64+AV64+AX64</f>
        <v>25</v>
      </c>
      <c r="AN64" s="36"/>
      <c r="AO64" s="36"/>
      <c r="AP64" s="36"/>
      <c r="AQ64" s="36"/>
      <c r="AR64" s="36">
        <f>SUM(AN64:AQ64)</f>
        <v>0</v>
      </c>
      <c r="AS64" s="36"/>
      <c r="AT64" s="36"/>
      <c r="AU64" s="36"/>
      <c r="AV64" s="36"/>
      <c r="AW64" s="36"/>
      <c r="AX64" s="36"/>
      <c r="AY64" s="36"/>
      <c r="AZ64" s="36"/>
      <c r="BA64" s="36">
        <f>+AR64+AS64+AU64+AW64+AY64+AZ64</f>
        <v>0</v>
      </c>
      <c r="BB64" s="32">
        <v>5</v>
      </c>
      <c r="BC64" s="50"/>
      <c r="BD64" s="50"/>
      <c r="BE64" s="32"/>
      <c r="BF64" s="50"/>
    </row>
    <row r="65" spans="1:58" ht="12.95" customHeight="1">
      <c r="A65" s="39"/>
      <c r="B65" s="40"/>
      <c r="C65" s="414"/>
      <c r="D65" s="40"/>
      <c r="E65" s="41"/>
      <c r="F65" s="41"/>
      <c r="G65" s="499"/>
      <c r="H65" s="43"/>
      <c r="I65" s="44"/>
      <c r="J65" s="81"/>
      <c r="K65" s="81"/>
      <c r="L65" s="34"/>
      <c r="M65" s="34"/>
      <c r="N65" s="45"/>
      <c r="O65" s="46"/>
      <c r="P65" s="47"/>
      <c r="Q65" s="46"/>
      <c r="R65" s="500"/>
      <c r="S65" s="500"/>
      <c r="T65" s="36"/>
      <c r="U65" s="36"/>
      <c r="V65" s="36"/>
      <c r="W65" s="36"/>
      <c r="X65" s="37"/>
      <c r="Y65" s="210"/>
      <c r="Z65" s="36"/>
      <c r="AA65" s="36"/>
      <c r="AB65" s="36"/>
      <c r="AC65" s="36"/>
      <c r="AD65" s="36">
        <f>+AM65+BA65</f>
        <v>0</v>
      </c>
      <c r="AE65" s="229" t="s">
        <v>412</v>
      </c>
      <c r="AF65" s="36"/>
      <c r="AG65" s="36">
        <v>0</v>
      </c>
      <c r="AH65" s="36"/>
      <c r="AI65" s="502"/>
      <c r="AJ65" s="36"/>
      <c r="AK65" s="36"/>
      <c r="AL65" s="36"/>
      <c r="AM65" s="36">
        <f t="shared" si="91"/>
        <v>0</v>
      </c>
      <c r="AN65" s="82"/>
      <c r="AO65" s="36"/>
      <c r="AP65" s="36"/>
      <c r="AQ65" s="36"/>
      <c r="AR65" s="36">
        <f t="shared" ref="AR65:AR67" si="92">SUM(AN65:AQ65)</f>
        <v>0</v>
      </c>
      <c r="AS65" s="36"/>
      <c r="AT65" s="36"/>
      <c r="AU65" s="36"/>
      <c r="AV65" s="36"/>
      <c r="AW65" s="36"/>
      <c r="AX65" s="36"/>
      <c r="AY65" s="36"/>
      <c r="AZ65" s="36"/>
      <c r="BA65" s="36">
        <f>+AR65+AS65+AU65+AW65+AY65+AZ65</f>
        <v>0</v>
      </c>
      <c r="BB65" s="49"/>
      <c r="BC65" s="50">
        <v>0</v>
      </c>
      <c r="BD65" s="50"/>
      <c r="BE65" s="49"/>
      <c r="BF65" s="50"/>
    </row>
    <row r="66" spans="1:58" ht="12.95" customHeight="1">
      <c r="A66" s="39"/>
      <c r="B66" s="40"/>
      <c r="C66" s="414"/>
      <c r="D66" s="40"/>
      <c r="E66" s="41"/>
      <c r="F66" s="41"/>
      <c r="G66" s="42"/>
      <c r="H66" s="43"/>
      <c r="I66" s="44"/>
      <c r="J66" s="81"/>
      <c r="K66" s="81"/>
      <c r="L66" s="34"/>
      <c r="M66" s="34"/>
      <c r="N66" s="45"/>
      <c r="O66" s="46"/>
      <c r="P66" s="47"/>
      <c r="Q66" s="46"/>
      <c r="R66" s="500"/>
      <c r="S66" s="500"/>
      <c r="T66" s="36"/>
      <c r="U66" s="36"/>
      <c r="V66" s="36"/>
      <c r="W66" s="36"/>
      <c r="X66" s="37"/>
      <c r="Y66" s="210"/>
      <c r="Z66" s="36"/>
      <c r="AA66" s="36"/>
      <c r="AB66" s="36"/>
      <c r="AC66" s="36"/>
      <c r="AD66" s="36">
        <f>+AM66+BA66</f>
        <v>29</v>
      </c>
      <c r="AE66" s="229" t="s">
        <v>388</v>
      </c>
      <c r="AF66" s="32"/>
      <c r="AG66" s="32"/>
      <c r="AH66" s="32">
        <v>29</v>
      </c>
      <c r="AJ66" s="36"/>
      <c r="AK66" s="36"/>
      <c r="AL66" s="36"/>
      <c r="AM66" s="36">
        <f t="shared" si="91"/>
        <v>29</v>
      </c>
      <c r="AN66" s="36"/>
      <c r="AO66" s="36"/>
      <c r="AP66" s="36"/>
      <c r="AQ66" s="36"/>
      <c r="AR66" s="36">
        <f t="shared" si="92"/>
        <v>0</v>
      </c>
      <c r="AS66" s="36"/>
      <c r="AT66" s="36"/>
      <c r="AU66" s="36"/>
      <c r="AV66" s="36"/>
      <c r="AW66" s="36"/>
      <c r="AX66" s="36"/>
      <c r="AY66" s="36"/>
      <c r="AZ66" s="36"/>
      <c r="BA66" s="36">
        <f>+AR66+AS66+AU66+AW66+AY66+AZ66</f>
        <v>0</v>
      </c>
      <c r="BB66" s="32"/>
      <c r="BC66" s="503"/>
      <c r="BD66" s="503"/>
      <c r="BE66" s="32"/>
      <c r="BF66" s="503"/>
    </row>
    <row r="67" spans="1:58" ht="12.95" customHeight="1">
      <c r="A67" s="39"/>
      <c r="B67" s="40"/>
      <c r="C67" s="414"/>
      <c r="D67" s="40"/>
      <c r="E67" s="41"/>
      <c r="F67" s="41"/>
      <c r="G67" s="42"/>
      <c r="H67" s="43"/>
      <c r="I67" s="44"/>
      <c r="J67" s="81"/>
      <c r="K67" s="81"/>
      <c r="L67" s="34"/>
      <c r="M67" s="34"/>
      <c r="N67" s="45"/>
      <c r="O67" s="46"/>
      <c r="P67" s="47"/>
      <c r="Q67" s="33"/>
      <c r="R67" s="500"/>
      <c r="S67" s="500"/>
      <c r="T67" s="36"/>
      <c r="U67" s="36"/>
      <c r="V67" s="36"/>
      <c r="W67" s="36"/>
      <c r="X67" s="37"/>
      <c r="Y67" s="210"/>
      <c r="Z67" s="36"/>
      <c r="AA67" s="36"/>
      <c r="AB67" s="36"/>
      <c r="AC67" s="36"/>
      <c r="AD67" s="36">
        <f>+AM67+BA67</f>
        <v>15</v>
      </c>
      <c r="AE67" s="232" t="s">
        <v>378</v>
      </c>
      <c r="AF67" s="36"/>
      <c r="AG67" s="36"/>
      <c r="AH67" s="36"/>
      <c r="AI67" s="502">
        <v>15</v>
      </c>
      <c r="AJ67" s="36"/>
      <c r="AK67" s="36"/>
      <c r="AL67" s="36"/>
      <c r="AM67" s="36">
        <f t="shared" si="91"/>
        <v>15</v>
      </c>
      <c r="AN67" s="36"/>
      <c r="AO67" s="36"/>
      <c r="AP67" s="36"/>
      <c r="AQ67" s="36"/>
      <c r="AR67" s="36">
        <f t="shared" si="92"/>
        <v>0</v>
      </c>
      <c r="AS67" s="36"/>
      <c r="AT67" s="36"/>
      <c r="AU67" s="36"/>
      <c r="AV67" s="36"/>
      <c r="AW67" s="36"/>
      <c r="AX67" s="36"/>
      <c r="AY67" s="36"/>
      <c r="AZ67" s="36"/>
      <c r="BA67" s="36">
        <f>+AR67+AS67+AU67+AW67+AY67+AZ67</f>
        <v>0</v>
      </c>
      <c r="BB67" s="49"/>
      <c r="BC67" s="50"/>
      <c r="BD67" s="50"/>
      <c r="BE67" s="49"/>
      <c r="BF67" s="50"/>
    </row>
    <row r="68" spans="1:58" ht="12.95" customHeight="1">
      <c r="A68" s="39"/>
      <c r="B68" s="40"/>
      <c r="C68" s="414"/>
      <c r="D68" s="40"/>
      <c r="E68" s="41"/>
      <c r="F68" s="41"/>
      <c r="G68" s="499"/>
      <c r="H68" s="43"/>
      <c r="I68" s="44"/>
      <c r="J68" s="81"/>
      <c r="K68" s="81"/>
      <c r="L68" s="34"/>
      <c r="M68" s="34"/>
      <c r="N68" s="45"/>
      <c r="O68" s="46"/>
      <c r="P68" s="47"/>
      <c r="Q68" s="46"/>
      <c r="R68" s="500"/>
      <c r="S68" s="500"/>
      <c r="T68" s="36"/>
      <c r="U68" s="36"/>
      <c r="V68" s="36"/>
      <c r="W68" s="36"/>
      <c r="X68" s="37"/>
      <c r="Y68" s="210"/>
      <c r="Z68" s="36"/>
      <c r="AA68" s="36"/>
      <c r="AB68" s="36"/>
      <c r="AC68" s="36"/>
      <c r="AD68" s="36"/>
      <c r="AE68" s="229"/>
      <c r="AF68" s="36"/>
      <c r="AG68" s="36"/>
      <c r="AH68" s="36"/>
      <c r="AI68" s="502"/>
      <c r="AJ68" s="36"/>
      <c r="AK68" s="36"/>
      <c r="AL68" s="36"/>
      <c r="AM68" s="36"/>
      <c r="AN68" s="82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49"/>
      <c r="BC68" s="50"/>
      <c r="BD68" s="50"/>
      <c r="BE68" s="50"/>
      <c r="BF68" s="50"/>
    </row>
    <row r="69" spans="1:58" ht="12.75" customHeight="1">
      <c r="A69" s="39">
        <v>46125</v>
      </c>
      <c r="B69" s="40" t="s">
        <v>513</v>
      </c>
      <c r="C69" s="414">
        <f t="shared" ref="C69:C70" si="93">(M69*E69*O69*Q69)/100000000</f>
        <v>32.228222555574327</v>
      </c>
      <c r="D69" s="40" t="s">
        <v>302</v>
      </c>
      <c r="E69" s="41">
        <v>13</v>
      </c>
      <c r="F69" s="41">
        <v>1</v>
      </c>
      <c r="G69" s="499">
        <v>1230</v>
      </c>
      <c r="H69" s="43">
        <f>+N69</f>
        <v>0.25</v>
      </c>
      <c r="I69" s="44">
        <v>0.88</v>
      </c>
      <c r="J69" s="81">
        <f t="shared" ref="J69:J70" si="94">E69*G69*(1-H69)*1440/1000000*2.74</f>
        <v>47.317608000000007</v>
      </c>
      <c r="K69" s="81">
        <f t="shared" ref="K69:K70" si="95">(IF(G69&lt;L69,L69,G69)*(1-IF(H69&lt;N69,H69,N69))*E69*O69*Q69)/100000000</f>
        <v>33.818130449999998</v>
      </c>
      <c r="L69" s="34">
        <v>1172.1734234234234</v>
      </c>
      <c r="M69" s="34">
        <v>879.13006756756761</v>
      </c>
      <c r="N69" s="45">
        <f t="shared" ref="N69:N70" si="96">1-(M69/L69)</f>
        <v>0.25</v>
      </c>
      <c r="O69" s="46">
        <f>+'Trim Rwd'!H37</f>
        <v>258</v>
      </c>
      <c r="P69" s="47">
        <f t="shared" ref="P69:P70" si="97">O69*(Q69-R69-S69)</f>
        <v>214656</v>
      </c>
      <c r="Q69" s="46">
        <f>1315-222</f>
        <v>1093</v>
      </c>
      <c r="R69" s="500">
        <f>427-222</f>
        <v>205</v>
      </c>
      <c r="S69" s="500">
        <v>56</v>
      </c>
      <c r="T69" s="36">
        <f t="shared" ref="T69:T70" si="98">E69*M69*O69*Q69/100000000</f>
        <v>32.228222555574327</v>
      </c>
      <c r="U69" s="36">
        <f t="shared" ref="U69:U70" si="99">E69*M69*O69*(Q69-R69-S69)/100000000</f>
        <v>24.532370691891895</v>
      </c>
      <c r="V69" s="36">
        <f t="shared" ref="V69:V70" si="100">E69*G69*(1-N69)*O69/100*(R69+S69)/1000000</f>
        <v>8.0755096500000008</v>
      </c>
      <c r="W69" s="36">
        <f>+'13'!K14/1000</f>
        <v>25.204000000000001</v>
      </c>
      <c r="X69" s="501">
        <f>SUM(W69:W73)/SUM(K69:K73)</f>
        <v>0.67187835433932197</v>
      </c>
      <c r="Y69" s="210">
        <v>0</v>
      </c>
      <c r="Z69" s="36">
        <f>+'13'!D16/1000</f>
        <v>0.28999999999999998</v>
      </c>
      <c r="AA69" s="48">
        <f>SUM(U69:U73)-SUM(W69:W73)-SUM(Z69:Z73)-SUM(Y69:Y73)</f>
        <v>2.4986906918918939</v>
      </c>
      <c r="AB69" s="48">
        <f>(SUM(K69:K73)-SUM(W69:W73)-SUM(Y69:Y73)-SUM(Z69:Z73)-SUM(AC69:AC73)-SUM(V69:V73))-AA69</f>
        <v>-0.38326228631756987</v>
      </c>
      <c r="AC69" s="36">
        <f>K69-T69</f>
        <v>1.5899078944256715</v>
      </c>
      <c r="AD69" s="36">
        <f>+AM69+BA69</f>
        <v>12</v>
      </c>
      <c r="AE69" s="229" t="s">
        <v>453</v>
      </c>
      <c r="AF69" s="36">
        <v>12</v>
      </c>
      <c r="AG69" s="36"/>
      <c r="AH69" s="36"/>
      <c r="AI69" s="502"/>
      <c r="AJ69" s="36"/>
      <c r="AK69" s="36"/>
      <c r="AL69" s="36"/>
      <c r="AM69" s="36">
        <f t="shared" ref="AM69:AM73" si="101">SUM(AF69:AL69)+AT69+AV69+AX69</f>
        <v>12</v>
      </c>
      <c r="AN69" s="36"/>
      <c r="AO69" s="36"/>
      <c r="AP69" s="36"/>
      <c r="AQ69" s="36"/>
      <c r="AR69" s="36">
        <f>SUM(AN69:AQ69)</f>
        <v>0</v>
      </c>
      <c r="AS69" s="36"/>
      <c r="AT69" s="36"/>
      <c r="AU69" s="36"/>
      <c r="AV69" s="36"/>
      <c r="AW69" s="36"/>
      <c r="AX69" s="36"/>
      <c r="AY69" s="36"/>
      <c r="AZ69" s="36"/>
      <c r="BA69" s="36">
        <f>+AR69+AS69+AU69+AW69+AY69+AZ69</f>
        <v>0</v>
      </c>
      <c r="BB69" s="32">
        <v>4</v>
      </c>
      <c r="BC69" s="50"/>
      <c r="BD69" s="50"/>
      <c r="BE69" s="32"/>
      <c r="BF69" s="50"/>
    </row>
    <row r="70" spans="1:58" ht="12.95" customHeight="1">
      <c r="A70" s="39"/>
      <c r="B70" s="40" t="s">
        <v>513</v>
      </c>
      <c r="C70" s="414">
        <f t="shared" si="93"/>
        <v>3.6044999999999998</v>
      </c>
      <c r="D70" s="40" t="s">
        <v>302</v>
      </c>
      <c r="E70" s="41">
        <v>12</v>
      </c>
      <c r="F70" s="41">
        <v>1</v>
      </c>
      <c r="G70" s="499">
        <v>1230</v>
      </c>
      <c r="H70" s="43">
        <f>+N70</f>
        <v>0.25</v>
      </c>
      <c r="I70" s="44">
        <v>0.88</v>
      </c>
      <c r="J70" s="81">
        <f t="shared" si="94"/>
        <v>43.677792000000004</v>
      </c>
      <c r="K70" s="81">
        <f t="shared" si="95"/>
        <v>3.6946124999999999</v>
      </c>
      <c r="L70" s="34">
        <v>1200</v>
      </c>
      <c r="M70" s="34">
        <v>900</v>
      </c>
      <c r="N70" s="45">
        <f t="shared" si="96"/>
        <v>0.25</v>
      </c>
      <c r="O70" s="46">
        <f>+'Trim Rwd'!H41</f>
        <v>267</v>
      </c>
      <c r="P70" s="47">
        <f t="shared" si="97"/>
        <v>32040</v>
      </c>
      <c r="Q70" s="46">
        <v>125</v>
      </c>
      <c r="R70" s="500">
        <v>0</v>
      </c>
      <c r="S70" s="500">
        <v>5</v>
      </c>
      <c r="T70" s="36">
        <f t="shared" si="98"/>
        <v>3.6044999999999998</v>
      </c>
      <c r="U70" s="36">
        <f t="shared" si="99"/>
        <v>3.4603199999999998</v>
      </c>
      <c r="V70" s="36">
        <f t="shared" si="100"/>
        <v>0.14778450000000001</v>
      </c>
      <c r="W70" s="36">
        <f>+'13'!K15/1000</f>
        <v>0</v>
      </c>
      <c r="X70" s="37"/>
      <c r="Y70" s="210"/>
      <c r="Z70" s="36"/>
      <c r="AA70" s="36"/>
      <c r="AB70" s="36"/>
      <c r="AC70" s="36">
        <f>K70-T70</f>
        <v>9.011250000000004E-2</v>
      </c>
      <c r="AD70" s="36">
        <f>+AM70+BA70</f>
        <v>0</v>
      </c>
      <c r="AE70" s="229" t="s">
        <v>412</v>
      </c>
      <c r="AF70" s="36"/>
      <c r="AG70" s="36">
        <v>0</v>
      </c>
      <c r="AH70" s="36"/>
      <c r="AI70" s="502"/>
      <c r="AJ70" s="36"/>
      <c r="AK70" s="36"/>
      <c r="AL70" s="36"/>
      <c r="AM70" s="36">
        <f t="shared" si="101"/>
        <v>0</v>
      </c>
      <c r="AN70" s="82"/>
      <c r="AO70" s="36"/>
      <c r="AP70" s="36"/>
      <c r="AQ70" s="36"/>
      <c r="AR70" s="36">
        <f t="shared" ref="AR70:AR72" si="102">SUM(AN70:AQ70)</f>
        <v>0</v>
      </c>
      <c r="AS70" s="36"/>
      <c r="AT70" s="36"/>
      <c r="AU70" s="36"/>
      <c r="AV70" s="36"/>
      <c r="AW70" s="36"/>
      <c r="AX70" s="36"/>
      <c r="AY70" s="36"/>
      <c r="AZ70" s="36"/>
      <c r="BA70" s="36">
        <f>+AR70+AS70+AU70+AW70+AY70+AZ70</f>
        <v>0</v>
      </c>
      <c r="BB70" s="49"/>
      <c r="BC70" s="50">
        <v>0</v>
      </c>
      <c r="BD70" s="50"/>
      <c r="BE70" s="49"/>
      <c r="BF70" s="50"/>
    </row>
    <row r="71" spans="1:58" ht="12.95" customHeight="1">
      <c r="A71" s="39"/>
      <c r="B71" s="40"/>
      <c r="C71" s="414"/>
      <c r="D71" s="40"/>
      <c r="E71" s="41"/>
      <c r="F71" s="41"/>
      <c r="G71" s="42"/>
      <c r="H71" s="43"/>
      <c r="I71" s="44"/>
      <c r="J71" s="81"/>
      <c r="K71" s="81"/>
      <c r="L71" s="34"/>
      <c r="M71" s="34"/>
      <c r="N71" s="45"/>
      <c r="O71" s="46"/>
      <c r="P71" s="47"/>
      <c r="Q71" s="46"/>
      <c r="R71" s="500"/>
      <c r="S71" s="500"/>
      <c r="T71" s="36"/>
      <c r="U71" s="36"/>
      <c r="V71" s="36"/>
      <c r="W71" s="36"/>
      <c r="X71" s="37"/>
      <c r="Y71" s="210"/>
      <c r="Z71" s="36"/>
      <c r="AA71" s="36"/>
      <c r="AB71" s="36"/>
      <c r="AC71" s="36"/>
      <c r="AD71" s="36">
        <f>+AM71+BA71</f>
        <v>38</v>
      </c>
      <c r="AE71" s="229" t="s">
        <v>566</v>
      </c>
      <c r="AF71" s="32"/>
      <c r="AG71" s="32"/>
      <c r="AH71" s="32">
        <v>38</v>
      </c>
      <c r="AJ71" s="36"/>
      <c r="AK71" s="36"/>
      <c r="AL71" s="36"/>
      <c r="AM71" s="36">
        <f t="shared" si="101"/>
        <v>38</v>
      </c>
      <c r="AN71" s="36"/>
      <c r="AO71" s="36"/>
      <c r="AP71" s="36"/>
      <c r="AQ71" s="36"/>
      <c r="AR71" s="36">
        <f t="shared" si="102"/>
        <v>0</v>
      </c>
      <c r="AS71" s="36"/>
      <c r="AT71" s="36"/>
      <c r="AU71" s="36"/>
      <c r="AV71" s="36"/>
      <c r="AW71" s="36"/>
      <c r="AX71" s="36"/>
      <c r="AY71" s="36"/>
      <c r="AZ71" s="36"/>
      <c r="BA71" s="36">
        <f>+AR71+AS71+AU71+AW71+AY71+AZ71</f>
        <v>0</v>
      </c>
      <c r="BB71" s="32"/>
      <c r="BC71" s="503"/>
      <c r="BD71" s="503"/>
      <c r="BE71" s="32"/>
      <c r="BF71" s="503"/>
    </row>
    <row r="72" spans="1:58" ht="12.95" customHeight="1">
      <c r="A72" s="39"/>
      <c r="B72" s="40"/>
      <c r="C72" s="414"/>
      <c r="D72" s="40"/>
      <c r="E72" s="41"/>
      <c r="F72" s="41"/>
      <c r="G72" s="42"/>
      <c r="H72" s="43"/>
      <c r="I72" s="44"/>
      <c r="J72" s="81"/>
      <c r="K72" s="81"/>
      <c r="L72" s="34"/>
      <c r="M72" s="34"/>
      <c r="N72" s="45"/>
      <c r="O72" s="46"/>
      <c r="P72" s="47"/>
      <c r="Q72" s="33"/>
      <c r="R72" s="500"/>
      <c r="S72" s="500"/>
      <c r="T72" s="36"/>
      <c r="U72" s="36"/>
      <c r="V72" s="36"/>
      <c r="W72" s="36"/>
      <c r="X72" s="37"/>
      <c r="Y72" s="210"/>
      <c r="Z72" s="36"/>
      <c r="AA72" s="36"/>
      <c r="AB72" s="36"/>
      <c r="AC72" s="36"/>
      <c r="AD72" s="36">
        <f>+AM72+BA72</f>
        <v>205</v>
      </c>
      <c r="AE72" s="232" t="s">
        <v>571</v>
      </c>
      <c r="AF72" s="36"/>
      <c r="AG72" s="36"/>
      <c r="AH72" s="36"/>
      <c r="AI72" s="502"/>
      <c r="AJ72" s="36"/>
      <c r="AK72" s="36"/>
      <c r="AL72" s="36"/>
      <c r="AM72" s="36">
        <f t="shared" si="101"/>
        <v>0</v>
      </c>
      <c r="AN72" s="36"/>
      <c r="AO72" s="36"/>
      <c r="AP72" s="36"/>
      <c r="AQ72" s="36"/>
      <c r="AR72" s="36">
        <f t="shared" si="102"/>
        <v>0</v>
      </c>
      <c r="AS72" s="36"/>
      <c r="AT72" s="36"/>
      <c r="AU72" s="36"/>
      <c r="AV72" s="36"/>
      <c r="AW72" s="36"/>
      <c r="AX72" s="36"/>
      <c r="AY72" s="36">
        <f>427-222</f>
        <v>205</v>
      </c>
      <c r="AZ72" s="36"/>
      <c r="BA72" s="36">
        <f>+AR72+AS72+AU72+AW72+AY72+AZ72</f>
        <v>205</v>
      </c>
      <c r="BB72" s="49"/>
      <c r="BC72" s="50"/>
      <c r="BD72" s="50"/>
      <c r="BE72" s="49"/>
      <c r="BF72" s="50"/>
    </row>
    <row r="73" spans="1:58" ht="12.95" customHeight="1">
      <c r="A73" s="39"/>
      <c r="B73" s="40"/>
      <c r="C73" s="414"/>
      <c r="D73" s="40"/>
      <c r="E73" s="41"/>
      <c r="F73" s="41"/>
      <c r="G73" s="42"/>
      <c r="H73" s="43"/>
      <c r="I73" s="44"/>
      <c r="J73" s="81"/>
      <c r="K73" s="81"/>
      <c r="L73" s="34"/>
      <c r="M73" s="34"/>
      <c r="N73" s="45"/>
      <c r="O73" s="46"/>
      <c r="P73" s="47"/>
      <c r="Q73" s="46"/>
      <c r="R73" s="500"/>
      <c r="S73" s="500"/>
      <c r="T73" s="36"/>
      <c r="U73" s="36"/>
      <c r="V73" s="36"/>
      <c r="W73" s="36"/>
      <c r="X73" s="37"/>
      <c r="Y73" s="210"/>
      <c r="Z73" s="36"/>
      <c r="AA73" s="36"/>
      <c r="AB73" s="36"/>
      <c r="AC73" s="36"/>
      <c r="AD73" s="36">
        <f>+AM73+BA73</f>
        <v>11</v>
      </c>
      <c r="AE73" s="232" t="s">
        <v>572</v>
      </c>
      <c r="AF73" s="36"/>
      <c r="AG73" s="36"/>
      <c r="AH73" s="36"/>
      <c r="AI73" s="36"/>
      <c r="AJ73" s="36"/>
      <c r="AK73" s="36"/>
      <c r="AL73" s="36"/>
      <c r="AM73" s="36">
        <f t="shared" si="101"/>
        <v>11</v>
      </c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>
        <v>11</v>
      </c>
      <c r="AY73" s="36"/>
      <c r="AZ73" s="36"/>
      <c r="BA73" s="36"/>
      <c r="BB73" s="32"/>
      <c r="BC73" s="50"/>
      <c r="BD73" s="50"/>
      <c r="BE73" s="50">
        <v>1</v>
      </c>
      <c r="BF73" s="50"/>
    </row>
    <row r="74" spans="1:58" ht="13.5" customHeight="1">
      <c r="A74" s="39"/>
      <c r="B74" s="40"/>
      <c r="C74" s="414"/>
      <c r="D74" s="40"/>
      <c r="E74" s="41"/>
      <c r="F74" s="41"/>
      <c r="G74" s="499"/>
      <c r="H74" s="43"/>
      <c r="I74" s="44"/>
      <c r="J74" s="81"/>
      <c r="K74" s="81"/>
      <c r="L74" s="34"/>
      <c r="M74" s="34"/>
      <c r="N74" s="45"/>
      <c r="O74" s="46"/>
      <c r="P74" s="47"/>
      <c r="Q74" s="46"/>
      <c r="R74" s="500"/>
      <c r="S74" s="500"/>
      <c r="T74" s="36"/>
      <c r="U74" s="36"/>
      <c r="V74" s="36"/>
      <c r="W74" s="36"/>
      <c r="X74" s="501"/>
      <c r="Y74" s="210"/>
      <c r="Z74" s="36"/>
      <c r="AA74" s="48"/>
      <c r="AB74" s="48"/>
      <c r="AC74" s="36"/>
      <c r="AD74" s="36"/>
      <c r="AE74" s="229"/>
      <c r="AF74" s="36"/>
      <c r="AG74" s="36"/>
      <c r="AH74" s="36"/>
      <c r="AI74" s="502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2"/>
      <c r="BC74" s="50"/>
      <c r="BD74" s="50"/>
      <c r="BE74" s="50"/>
      <c r="BF74" s="50"/>
    </row>
    <row r="75" spans="1:58" ht="12.75" customHeight="1">
      <c r="A75" s="39">
        <v>46126</v>
      </c>
      <c r="B75" s="40" t="s">
        <v>513</v>
      </c>
      <c r="C75" s="414">
        <f t="shared" ref="C75:C76" si="103">(M75*E75*O75*Q75)/100000000</f>
        <v>7.35318</v>
      </c>
      <c r="D75" s="40" t="s">
        <v>302</v>
      </c>
      <c r="E75" s="41">
        <v>12</v>
      </c>
      <c r="F75" s="41">
        <v>1</v>
      </c>
      <c r="G75" s="499">
        <v>1230</v>
      </c>
      <c r="H75" s="43">
        <f>+N75</f>
        <v>0.25</v>
      </c>
      <c r="I75" s="44">
        <v>0.88</v>
      </c>
      <c r="J75" s="81">
        <f t="shared" ref="J75:J76" si="104">E75*G75*(1-H75)*1440/1000000*2.74</f>
        <v>43.677792000000004</v>
      </c>
      <c r="K75" s="81">
        <f t="shared" ref="K75:K76" si="105">(IF(G75&lt;L75,L75,G75)*(1-IF(H75&lt;N75,H75,N75))*E75*O75*Q75)/100000000</f>
        <v>7.5370094999999999</v>
      </c>
      <c r="L75" s="34">
        <v>1200</v>
      </c>
      <c r="M75" s="34">
        <v>900</v>
      </c>
      <c r="N75" s="45">
        <f t="shared" ref="N75:N76" si="106">1-(M75/L75)</f>
        <v>0.25</v>
      </c>
      <c r="O75" s="46">
        <f>+'Trim Rwd'!H41</f>
        <v>267</v>
      </c>
      <c r="P75" s="47">
        <f t="shared" ref="P75:P76" si="107">O75*(Q75-R75-S75)</f>
        <v>63279</v>
      </c>
      <c r="Q75" s="46">
        <v>255</v>
      </c>
      <c r="R75" s="500">
        <v>0</v>
      </c>
      <c r="S75" s="500">
        <v>18</v>
      </c>
      <c r="T75" s="36">
        <f t="shared" ref="T75:T76" si="108">E75*M75*O75*Q75/100000000</f>
        <v>7.35318</v>
      </c>
      <c r="U75" s="36">
        <f t="shared" ref="U75:U76" si="109">E75*M75*O75*(Q75-R75-S75)/100000000</f>
        <v>6.8341320000000003</v>
      </c>
      <c r="V75" s="36">
        <f t="shared" ref="V75:V76" si="110">E75*G75*(1-N75)*O75/100*(R75+S75)/1000000</f>
        <v>0.53202420000000006</v>
      </c>
      <c r="W75" s="36">
        <f>+'14'!K15/1000</f>
        <v>9.6639999999999997</v>
      </c>
      <c r="X75" s="501">
        <f>SUM(W75:W79)/SUM(K75:K79)</f>
        <v>1.0083233107335434</v>
      </c>
      <c r="Y75" s="210">
        <v>0</v>
      </c>
      <c r="Z75" s="36">
        <f>+'13'!D22/1000</f>
        <v>0</v>
      </c>
      <c r="AA75" s="48">
        <f>SUM(U75:U79)-SUM(W75:W79)-SUM(Z75:Z79)-SUM(Y75:Y79)</f>
        <v>-3.432764740781586</v>
      </c>
      <c r="AB75" s="48">
        <f>(SUM(K75:K79)-SUM(W75:W79)-SUM(Y75:Y79)-SUM(Z75:Z79)-SUM(AC75:AC79)-SUM(V75:V79))-AA75</f>
        <v>-4.9708835354777214E-2</v>
      </c>
      <c r="AC75" s="36">
        <f>K75-T75</f>
        <v>0.18382949999999987</v>
      </c>
      <c r="AD75" s="36">
        <f>+AM75+BA75</f>
        <v>8</v>
      </c>
      <c r="AE75" s="229" t="s">
        <v>453</v>
      </c>
      <c r="AF75" s="36">
        <v>8</v>
      </c>
      <c r="AG75" s="36"/>
      <c r="AH75" s="36"/>
      <c r="AI75" s="502"/>
      <c r="AJ75" s="36"/>
      <c r="AK75" s="36"/>
      <c r="AL75" s="36"/>
      <c r="AM75" s="36">
        <f t="shared" ref="AM75:AM77" si="111">SUM(AF75:AL75)+AT75+AV75+AX75</f>
        <v>8</v>
      </c>
      <c r="AN75" s="36"/>
      <c r="AO75" s="36"/>
      <c r="AP75" s="36"/>
      <c r="AQ75" s="36"/>
      <c r="AR75" s="36">
        <f>SUM(AN75:AQ75)</f>
        <v>0</v>
      </c>
      <c r="AS75" s="36"/>
      <c r="AT75" s="36"/>
      <c r="AU75" s="36"/>
      <c r="AV75" s="36"/>
      <c r="AW75" s="36"/>
      <c r="AX75" s="36"/>
      <c r="AY75" s="36"/>
      <c r="AZ75" s="36"/>
      <c r="BA75" s="36">
        <f>+AR75+AS75+AU75+AW75+AY75+AZ75</f>
        <v>0</v>
      </c>
      <c r="BB75" s="32">
        <v>4</v>
      </c>
      <c r="BC75" s="50"/>
      <c r="BD75" s="50"/>
      <c r="BE75" s="32"/>
      <c r="BF75" s="50"/>
    </row>
    <row r="76" spans="1:58" ht="12.95" customHeight="1">
      <c r="A76" s="39"/>
      <c r="B76" s="40" t="s">
        <v>513</v>
      </c>
      <c r="C76" s="414">
        <f t="shared" si="103"/>
        <v>36.907357585090907</v>
      </c>
      <c r="D76" s="40" t="s">
        <v>302</v>
      </c>
      <c r="E76" s="41">
        <v>13</v>
      </c>
      <c r="F76" s="41">
        <v>1</v>
      </c>
      <c r="G76" s="499">
        <v>1230</v>
      </c>
      <c r="H76" s="43">
        <f>+N76</f>
        <v>0.21999999999999997</v>
      </c>
      <c r="I76" s="44">
        <v>0.88</v>
      </c>
      <c r="J76" s="81">
        <f t="shared" si="104"/>
        <v>49.210312320000007</v>
      </c>
      <c r="K76" s="81">
        <f t="shared" si="105"/>
        <v>37.919640675681812</v>
      </c>
      <c r="L76" s="34">
        <v>1197.1645569620252</v>
      </c>
      <c r="M76" s="34">
        <v>933.78835443037974</v>
      </c>
      <c r="N76" s="45">
        <f t="shared" si="106"/>
        <v>0.21999999999999997</v>
      </c>
      <c r="O76" s="46">
        <f>+'Trim Rwd'!H39</f>
        <v>256.56818181818181</v>
      </c>
      <c r="P76" s="47">
        <f t="shared" si="107"/>
        <v>293000.86363636365</v>
      </c>
      <c r="Q76" s="46">
        <v>1185</v>
      </c>
      <c r="R76" s="500">
        <v>0</v>
      </c>
      <c r="S76" s="500">
        <f>61-S75</f>
        <v>43</v>
      </c>
      <c r="T76" s="36">
        <f t="shared" si="108"/>
        <v>36.907357585090907</v>
      </c>
      <c r="U76" s="36">
        <f t="shared" si="109"/>
        <v>35.568103259218411</v>
      </c>
      <c r="V76" s="36">
        <f t="shared" si="110"/>
        <v>1.3759869612272726</v>
      </c>
      <c r="W76" s="36">
        <f>+'14'!K14/1000</f>
        <v>36.170999999999999</v>
      </c>
      <c r="X76" s="37"/>
      <c r="Y76" s="210"/>
      <c r="Z76" s="36"/>
      <c r="AA76" s="36"/>
      <c r="AB76" s="36"/>
      <c r="AC76" s="36">
        <f>K76-T76</f>
        <v>1.0122830905909055</v>
      </c>
      <c r="AD76" s="36">
        <f>+AM76+BA76</f>
        <v>0</v>
      </c>
      <c r="AE76" s="229" t="s">
        <v>412</v>
      </c>
      <c r="AF76" s="36"/>
      <c r="AG76" s="36">
        <v>0</v>
      </c>
      <c r="AH76" s="36"/>
      <c r="AI76" s="502"/>
      <c r="AJ76" s="36"/>
      <c r="AK76" s="36"/>
      <c r="AL76" s="36"/>
      <c r="AM76" s="36">
        <f t="shared" si="111"/>
        <v>0</v>
      </c>
      <c r="AN76" s="82"/>
      <c r="AO76" s="36"/>
      <c r="AP76" s="36"/>
      <c r="AQ76" s="36"/>
      <c r="AR76" s="36">
        <f t="shared" ref="AR76:AR77" si="112">SUM(AN76:AQ76)</f>
        <v>0</v>
      </c>
      <c r="AS76" s="36"/>
      <c r="AT76" s="36"/>
      <c r="AU76" s="36"/>
      <c r="AV76" s="36"/>
      <c r="AW76" s="36"/>
      <c r="AX76" s="36"/>
      <c r="AY76" s="36"/>
      <c r="AZ76" s="36"/>
      <c r="BA76" s="36">
        <f>+AR76+AS76+AU76+AW76+AY76+AZ76</f>
        <v>0</v>
      </c>
      <c r="BB76" s="49"/>
      <c r="BC76" s="50">
        <v>0</v>
      </c>
      <c r="BD76" s="50"/>
      <c r="BE76" s="49"/>
      <c r="BF76" s="50"/>
    </row>
    <row r="77" spans="1:58" ht="12.95" customHeight="1">
      <c r="A77" s="39"/>
      <c r="B77" s="40"/>
      <c r="C77" s="414"/>
      <c r="D77" s="40"/>
      <c r="E77" s="41"/>
      <c r="F77" s="41"/>
      <c r="G77" s="42"/>
      <c r="H77" s="43"/>
      <c r="I77" s="44"/>
      <c r="J77" s="81"/>
      <c r="K77" s="81"/>
      <c r="L77" s="34"/>
      <c r="M77" s="34"/>
      <c r="N77" s="45"/>
      <c r="O77" s="46"/>
      <c r="P77" s="47"/>
      <c r="Q77" s="46"/>
      <c r="R77" s="500"/>
      <c r="S77" s="500"/>
      <c r="T77" s="36"/>
      <c r="U77" s="36"/>
      <c r="V77" s="36"/>
      <c r="W77" s="36"/>
      <c r="X77" s="37"/>
      <c r="Y77" s="210"/>
      <c r="Z77" s="36"/>
      <c r="AA77" s="36"/>
      <c r="AB77" s="36"/>
      <c r="AC77" s="36"/>
      <c r="AD77" s="36">
        <f>+AM77+BA77</f>
        <v>35</v>
      </c>
      <c r="AE77" s="229" t="s">
        <v>532</v>
      </c>
      <c r="AF77" s="32"/>
      <c r="AG77" s="32"/>
      <c r="AH77" s="32">
        <v>35</v>
      </c>
      <c r="AJ77" s="36"/>
      <c r="AK77" s="36"/>
      <c r="AL77" s="36"/>
      <c r="AM77" s="36">
        <f t="shared" si="111"/>
        <v>35</v>
      </c>
      <c r="AN77" s="36"/>
      <c r="AO77" s="36"/>
      <c r="AP77" s="36"/>
      <c r="AQ77" s="36"/>
      <c r="AR77" s="36">
        <f t="shared" si="112"/>
        <v>0</v>
      </c>
      <c r="AS77" s="36"/>
      <c r="AT77" s="36"/>
      <c r="AU77" s="36"/>
      <c r="AV77" s="36"/>
      <c r="AW77" s="36"/>
      <c r="AX77" s="36"/>
      <c r="AY77" s="36"/>
      <c r="AZ77" s="36"/>
      <c r="BA77" s="36">
        <f>+AR77+AS77+AU77+AW77+AY77+AZ77</f>
        <v>0</v>
      </c>
      <c r="BB77" s="32"/>
      <c r="BC77" s="503"/>
      <c r="BD77" s="503"/>
      <c r="BE77" s="32"/>
      <c r="BF77" s="503"/>
    </row>
    <row r="78" spans="1:58" ht="12.95" customHeight="1">
      <c r="A78" s="39"/>
      <c r="B78" s="40"/>
      <c r="C78" s="414"/>
      <c r="D78" s="40"/>
      <c r="E78" s="41"/>
      <c r="F78" s="41"/>
      <c r="G78" s="42"/>
      <c r="H78" s="43"/>
      <c r="I78" s="44"/>
      <c r="J78" s="81"/>
      <c r="K78" s="81"/>
      <c r="L78" s="34"/>
      <c r="M78" s="34"/>
      <c r="N78" s="45"/>
      <c r="O78" s="46"/>
      <c r="P78" s="47"/>
      <c r="Q78" s="46"/>
      <c r="R78" s="500"/>
      <c r="S78" s="500"/>
      <c r="T78" s="36"/>
      <c r="U78" s="36"/>
      <c r="V78" s="36"/>
      <c r="W78" s="36"/>
      <c r="X78" s="37"/>
      <c r="Y78" s="210"/>
      <c r="Z78" s="36"/>
      <c r="AA78" s="36"/>
      <c r="AB78" s="36"/>
      <c r="AC78" s="36"/>
      <c r="AD78" s="36">
        <f>+AM78+BA78</f>
        <v>18</v>
      </c>
      <c r="AE78" s="232" t="s">
        <v>378</v>
      </c>
      <c r="AF78" s="32"/>
      <c r="AG78" s="32"/>
      <c r="AH78" s="32"/>
      <c r="AI78" s="28">
        <v>18</v>
      </c>
      <c r="AJ78" s="36"/>
      <c r="AK78" s="36"/>
      <c r="AL78" s="36"/>
      <c r="AM78" s="36">
        <f t="shared" ref="AM78" si="113">SUM(AF78:AL78)+AT78+AV78+AX78</f>
        <v>18</v>
      </c>
      <c r="AN78" s="36"/>
      <c r="AO78" s="36"/>
      <c r="AP78" s="36"/>
      <c r="AQ78" s="36"/>
      <c r="AR78" s="36">
        <f t="shared" ref="AR78" si="114">SUM(AN78:AQ78)</f>
        <v>0</v>
      </c>
      <c r="AS78" s="36"/>
      <c r="AT78" s="36"/>
      <c r="AU78" s="36"/>
      <c r="AV78" s="36"/>
      <c r="AW78" s="36"/>
      <c r="AX78" s="36"/>
      <c r="AY78" s="36"/>
      <c r="AZ78" s="36"/>
      <c r="BA78" s="36">
        <f>+AR78+AS78+AU78+AW78+AY78+AZ78</f>
        <v>0</v>
      </c>
      <c r="BB78" s="32"/>
      <c r="BC78" s="503"/>
      <c r="BD78" s="503"/>
      <c r="BE78" s="32"/>
      <c r="BF78" s="503"/>
    </row>
    <row r="79" spans="1:58" ht="13.5" customHeight="1">
      <c r="A79" s="39"/>
      <c r="B79" s="40"/>
      <c r="C79" s="414"/>
      <c r="D79" s="40"/>
      <c r="E79" s="41"/>
      <c r="F79" s="41"/>
      <c r="G79" s="499"/>
      <c r="H79" s="43"/>
      <c r="I79" s="44"/>
      <c r="J79" s="81"/>
      <c r="K79" s="81"/>
      <c r="L79" s="34"/>
      <c r="M79" s="34"/>
      <c r="N79" s="45"/>
      <c r="O79" s="46"/>
      <c r="P79" s="47"/>
      <c r="Q79" s="46"/>
      <c r="R79" s="500"/>
      <c r="S79" s="500"/>
      <c r="T79" s="36"/>
      <c r="U79" s="36"/>
      <c r="V79" s="36"/>
      <c r="W79" s="36"/>
      <c r="X79" s="501"/>
      <c r="Y79" s="210"/>
      <c r="Z79" s="36"/>
      <c r="AA79" s="48"/>
      <c r="AB79" s="48"/>
      <c r="AC79" s="36"/>
      <c r="AD79" s="36"/>
      <c r="AE79" s="229"/>
      <c r="AF79" s="36"/>
      <c r="AG79" s="36"/>
      <c r="AH79" s="36"/>
      <c r="AI79" s="502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2"/>
      <c r="BC79" s="50"/>
      <c r="BD79" s="50"/>
      <c r="BE79" s="50"/>
      <c r="BF79" s="50"/>
    </row>
    <row r="80" spans="1:58" ht="12.75" customHeight="1">
      <c r="A80" s="39">
        <v>46127</v>
      </c>
      <c r="B80" s="40" t="s">
        <v>513</v>
      </c>
      <c r="C80" s="414">
        <f t="shared" ref="C80" si="115">(M80*E80*O80*Q80)/100000000</f>
        <v>44.943724799999998</v>
      </c>
      <c r="D80" s="40" t="s">
        <v>302</v>
      </c>
      <c r="E80" s="41">
        <v>13</v>
      </c>
      <c r="F80" s="41">
        <v>1</v>
      </c>
      <c r="G80" s="499">
        <v>1230</v>
      </c>
      <c r="H80" s="43">
        <f>+N80</f>
        <v>0.21999999999999997</v>
      </c>
      <c r="I80" s="44">
        <v>0.88</v>
      </c>
      <c r="J80" s="81">
        <f t="shared" ref="J80" si="116">E80*G80*(1-H80)*1440/1000000*2.74</f>
        <v>49.210312320000007</v>
      </c>
      <c r="K80" s="81">
        <f t="shared" ref="K80" si="117">(IF(G80&lt;L80,L80,G80)*(1-IF(H80&lt;N80,H80,N80))*E80*O80*Q80)/100000000</f>
        <v>46.067317920000001</v>
      </c>
      <c r="L80" s="34">
        <v>1200</v>
      </c>
      <c r="M80" s="34">
        <v>936</v>
      </c>
      <c r="N80" s="45">
        <f t="shared" ref="N80" si="118">1-(M80/L80)</f>
        <v>0.21999999999999997</v>
      </c>
      <c r="O80" s="46">
        <f>+'Trim Rwd'!H43</f>
        <v>256.5</v>
      </c>
      <c r="P80" s="47">
        <f t="shared" ref="P80" si="119">O80*(Q80-R80-S80)</f>
        <v>355509</v>
      </c>
      <c r="Q80" s="46">
        <v>1440</v>
      </c>
      <c r="R80" s="500">
        <v>0</v>
      </c>
      <c r="S80" s="500">
        <v>54</v>
      </c>
      <c r="T80" s="36">
        <f t="shared" ref="T80" si="120">E80*M80*O80*Q80/100000000</f>
        <v>44.943724799999998</v>
      </c>
      <c r="U80" s="36">
        <f t="shared" ref="U80" si="121">E80*M80*O80*(Q80-R80-S80)/100000000</f>
        <v>43.258335119999998</v>
      </c>
      <c r="V80" s="36">
        <f t="shared" ref="V80" si="122">E80*G80*(1-N80)*O80/100*(R80+S80)/1000000</f>
        <v>1.7275244220000003</v>
      </c>
      <c r="W80" s="36">
        <f>+'15'!K14/1000</f>
        <v>44.06</v>
      </c>
      <c r="X80" s="501">
        <f>SUM(W80:W84)/SUM(K80:K84)</f>
        <v>0.9564264209284794</v>
      </c>
      <c r="Y80" s="210">
        <v>0</v>
      </c>
      <c r="Z80" s="36">
        <f>+'13'!D27/1000</f>
        <v>0</v>
      </c>
      <c r="AA80" s="48">
        <f>SUM(U80:U84)-SUM(W80:W84)-SUM(Z80:Z84)-SUM(Y80:Y84)</f>
        <v>-0.80166488000000413</v>
      </c>
      <c r="AB80" s="48">
        <f>(SUM(K80:K84)-SUM(W80:W84)-SUM(Y80:Y84)-SUM(Z80:Z84)-SUM(AC80:AC84)-SUM(V80:V84))-AA80</f>
        <v>-4.2134742000000225E-2</v>
      </c>
      <c r="AC80" s="36">
        <f>K80-T80</f>
        <v>1.1235931200000024</v>
      </c>
      <c r="AD80" s="36">
        <f>+AM80+BA80</f>
        <v>14</v>
      </c>
      <c r="AE80" s="229" t="s">
        <v>415</v>
      </c>
      <c r="AF80" s="36">
        <v>14</v>
      </c>
      <c r="AG80" s="36"/>
      <c r="AH80" s="36"/>
      <c r="AI80" s="36"/>
      <c r="AJ80" s="36"/>
      <c r="AK80" s="36"/>
      <c r="AL80" s="36"/>
      <c r="AM80" s="36">
        <f t="shared" ref="AM80:AM82" si="123">SUM(AF80:AL80)+AT80+AV80+AX80</f>
        <v>14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>
        <f>+AR80+AS80+AU80+AW80+AY80+AZ80</f>
        <v>0</v>
      </c>
      <c r="BB80" s="32">
        <v>6</v>
      </c>
      <c r="BC80" s="50"/>
      <c r="BD80" s="50"/>
      <c r="BE80" s="32"/>
      <c r="BF80" s="50"/>
    </row>
    <row r="81" spans="1:58" ht="12.95" customHeight="1">
      <c r="A81" s="39"/>
      <c r="B81" s="40"/>
      <c r="C81" s="414"/>
      <c r="D81" s="40"/>
      <c r="E81" s="41"/>
      <c r="F81" s="41"/>
      <c r="G81" s="499"/>
      <c r="H81" s="43"/>
      <c r="I81" s="44"/>
      <c r="J81" s="81"/>
      <c r="K81" s="81"/>
      <c r="L81" s="34"/>
      <c r="M81" s="34"/>
      <c r="N81" s="45"/>
      <c r="O81" s="46"/>
      <c r="P81" s="47"/>
      <c r="Q81" s="46"/>
      <c r="R81" s="500"/>
      <c r="S81" s="500"/>
      <c r="T81" s="36"/>
      <c r="U81" s="36"/>
      <c r="V81" s="36"/>
      <c r="W81" s="36"/>
      <c r="X81" s="37"/>
      <c r="Y81" s="210"/>
      <c r="Z81" s="36"/>
      <c r="AA81" s="36"/>
      <c r="AB81" s="36"/>
      <c r="AC81" s="36">
        <f>K81-T81</f>
        <v>0</v>
      </c>
      <c r="AD81" s="36">
        <f>+AM81+BA81</f>
        <v>0</v>
      </c>
      <c r="AE81" s="229" t="s">
        <v>412</v>
      </c>
      <c r="AF81" s="36"/>
      <c r="AG81" s="36">
        <v>0</v>
      </c>
      <c r="AH81" s="36"/>
      <c r="AI81" s="36"/>
      <c r="AJ81" s="36"/>
      <c r="AK81" s="36"/>
      <c r="AL81" s="36"/>
      <c r="AM81" s="36">
        <f t="shared" si="123"/>
        <v>0</v>
      </c>
      <c r="AN81" s="82"/>
      <c r="AO81" s="36"/>
      <c r="AP81" s="36"/>
      <c r="AQ81" s="36"/>
      <c r="AR81" s="36">
        <f t="shared" ref="AR81:AR82" si="124">SUM(AN81:AQ81)</f>
        <v>0</v>
      </c>
      <c r="AS81" s="36"/>
      <c r="AT81" s="36"/>
      <c r="AU81" s="36"/>
      <c r="AV81" s="36"/>
      <c r="AW81" s="36"/>
      <c r="AX81" s="36"/>
      <c r="AY81" s="36"/>
      <c r="AZ81" s="36"/>
      <c r="BA81" s="36">
        <f>+AR81+AS81+AU81+AW81+AY81+AZ81</f>
        <v>0</v>
      </c>
      <c r="BB81" s="49"/>
      <c r="BC81" s="50">
        <v>0</v>
      </c>
      <c r="BD81" s="50"/>
      <c r="BE81" s="49"/>
      <c r="BF81" s="50"/>
    </row>
    <row r="82" spans="1:58" ht="12.95" customHeight="1">
      <c r="A82" s="39"/>
      <c r="B82" s="40"/>
      <c r="C82" s="414"/>
      <c r="D82" s="40"/>
      <c r="E82" s="41"/>
      <c r="F82" s="41"/>
      <c r="G82" s="42"/>
      <c r="H82" s="43"/>
      <c r="I82" s="44"/>
      <c r="J82" s="81"/>
      <c r="K82" s="81"/>
      <c r="L82" s="34"/>
      <c r="M82" s="34"/>
      <c r="N82" s="45"/>
      <c r="O82" s="46"/>
      <c r="P82" s="47"/>
      <c r="Q82" s="46"/>
      <c r="R82" s="500"/>
      <c r="S82" s="500"/>
      <c r="T82" s="36"/>
      <c r="U82" s="36"/>
      <c r="V82" s="36"/>
      <c r="W82" s="36"/>
      <c r="X82" s="37"/>
      <c r="Y82" s="210"/>
      <c r="Z82" s="36"/>
      <c r="AA82" s="36"/>
      <c r="AB82" s="36"/>
      <c r="AC82" s="36"/>
      <c r="AD82" s="36">
        <f>+AM82+BA82</f>
        <v>40</v>
      </c>
      <c r="AE82" s="229" t="s">
        <v>532</v>
      </c>
      <c r="AF82" s="32"/>
      <c r="AG82" s="32"/>
      <c r="AH82" s="32">
        <v>40</v>
      </c>
      <c r="AI82" s="32"/>
      <c r="AJ82" s="36"/>
      <c r="AK82" s="36"/>
      <c r="AL82" s="36"/>
      <c r="AM82" s="36">
        <f t="shared" si="123"/>
        <v>40</v>
      </c>
      <c r="AN82" s="36"/>
      <c r="AO82" s="36"/>
      <c r="AP82" s="36"/>
      <c r="AQ82" s="36"/>
      <c r="AR82" s="36">
        <f t="shared" si="124"/>
        <v>0</v>
      </c>
      <c r="AS82" s="36"/>
      <c r="AT82" s="36"/>
      <c r="AU82" s="36"/>
      <c r="AV82" s="36"/>
      <c r="AW82" s="36"/>
      <c r="AX82" s="36"/>
      <c r="AY82" s="36"/>
      <c r="AZ82" s="36"/>
      <c r="BA82" s="36">
        <f>+AR82+AS82+AU82+AW82+AY82+AZ82</f>
        <v>0</v>
      </c>
      <c r="BB82" s="32"/>
      <c r="BC82" s="503"/>
      <c r="BD82" s="503"/>
      <c r="BE82" s="32"/>
      <c r="BF82" s="503"/>
    </row>
    <row r="83" spans="1:58" ht="12.95" customHeight="1">
      <c r="A83" s="39"/>
      <c r="B83" s="40"/>
      <c r="C83" s="414"/>
      <c r="D83" s="40"/>
      <c r="E83" s="41"/>
      <c r="F83" s="41"/>
      <c r="G83" s="42"/>
      <c r="H83" s="43"/>
      <c r="I83" s="44"/>
      <c r="J83" s="81"/>
      <c r="K83" s="81"/>
      <c r="L83" s="34"/>
      <c r="M83" s="34"/>
      <c r="N83" s="45"/>
      <c r="O83" s="46"/>
      <c r="P83" s="47"/>
      <c r="Q83" s="46"/>
      <c r="R83" s="500"/>
      <c r="S83" s="500"/>
      <c r="T83" s="36"/>
      <c r="U83" s="36"/>
      <c r="V83" s="36"/>
      <c r="W83" s="36"/>
      <c r="X83" s="37"/>
      <c r="Y83" s="210"/>
      <c r="Z83" s="36"/>
      <c r="AA83" s="36"/>
      <c r="AB83" s="36"/>
      <c r="AC83" s="36"/>
      <c r="AD83" s="36">
        <f>+AM83+BA83</f>
        <v>0</v>
      </c>
      <c r="AE83" s="232" t="s">
        <v>378</v>
      </c>
      <c r="AF83" s="32"/>
      <c r="AG83" s="32"/>
      <c r="AH83" s="32"/>
      <c r="AI83" s="32"/>
      <c r="AJ83" s="36"/>
      <c r="AK83" s="36"/>
      <c r="AL83" s="36"/>
      <c r="AM83" s="36">
        <f t="shared" ref="AM83" si="125">SUM(AF83:AL83)+AT83+AV83+AX83</f>
        <v>0</v>
      </c>
      <c r="AN83" s="36"/>
      <c r="AO83" s="36"/>
      <c r="AP83" s="36"/>
      <c r="AQ83" s="36"/>
      <c r="AR83" s="36">
        <f t="shared" ref="AR83" si="126">SUM(AN83:AQ83)</f>
        <v>0</v>
      </c>
      <c r="AS83" s="36"/>
      <c r="AT83" s="36"/>
      <c r="AU83" s="36"/>
      <c r="AV83" s="36"/>
      <c r="AW83" s="36"/>
      <c r="AX83" s="36"/>
      <c r="AY83" s="36"/>
      <c r="AZ83" s="36"/>
      <c r="BA83" s="36">
        <f>+AR83+AS83+AU83+AW83+AY83+AZ83</f>
        <v>0</v>
      </c>
      <c r="BB83" s="32"/>
      <c r="BC83" s="503"/>
      <c r="BD83" s="503"/>
      <c r="BE83" s="32"/>
      <c r="BF83" s="503"/>
    </row>
    <row r="84" spans="1:58" ht="13.5" customHeight="1">
      <c r="A84" s="39"/>
      <c r="B84" s="40"/>
      <c r="C84" s="414"/>
      <c r="D84" s="40"/>
      <c r="E84" s="41"/>
      <c r="F84" s="41"/>
      <c r="G84" s="499"/>
      <c r="H84" s="43"/>
      <c r="I84" s="44"/>
      <c r="J84" s="81"/>
      <c r="K84" s="81"/>
      <c r="L84" s="34"/>
      <c r="M84" s="34"/>
      <c r="N84" s="45"/>
      <c r="O84" s="46"/>
      <c r="P84" s="47"/>
      <c r="Q84" s="46"/>
      <c r="R84" s="500"/>
      <c r="S84" s="500"/>
      <c r="T84" s="36"/>
      <c r="U84" s="36"/>
      <c r="V84" s="36"/>
      <c r="W84" s="36"/>
      <c r="X84" s="501"/>
      <c r="Y84" s="210"/>
      <c r="Z84" s="36"/>
      <c r="AA84" s="48"/>
      <c r="AB84" s="48"/>
      <c r="AC84" s="36"/>
      <c r="AD84" s="36"/>
      <c r="AE84" s="229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2"/>
      <c r="BC84" s="50"/>
      <c r="BD84" s="50"/>
      <c r="BE84" s="50"/>
      <c r="BF84" s="50"/>
    </row>
    <row r="85" spans="1:58" ht="12.75" customHeight="1">
      <c r="A85" s="39">
        <v>46128</v>
      </c>
      <c r="B85" s="40" t="s">
        <v>513</v>
      </c>
      <c r="C85" s="414">
        <f t="shared" ref="C85" si="127">(M85*E85*O85*Q85)/100000000</f>
        <v>44.943724799999998</v>
      </c>
      <c r="D85" s="40" t="s">
        <v>302</v>
      </c>
      <c r="E85" s="41">
        <v>13</v>
      </c>
      <c r="F85" s="41">
        <v>1</v>
      </c>
      <c r="G85" s="499">
        <v>1230</v>
      </c>
      <c r="H85" s="43">
        <f>+N85</f>
        <v>0.21999999999999997</v>
      </c>
      <c r="I85" s="44">
        <v>0.88</v>
      </c>
      <c r="J85" s="81">
        <f t="shared" ref="J85" si="128">E85*G85*(1-H85)*1440/1000000*2.74</f>
        <v>49.210312320000007</v>
      </c>
      <c r="K85" s="81">
        <f t="shared" ref="K85" si="129">(IF(G85&lt;L85,L85,G85)*(1-IF(H85&lt;N85,H85,N85))*E85*O85*Q85)/100000000</f>
        <v>46.067317920000001</v>
      </c>
      <c r="L85" s="34">
        <v>1200</v>
      </c>
      <c r="M85" s="34">
        <v>936</v>
      </c>
      <c r="N85" s="45">
        <f t="shared" ref="N85" si="130">1-(M85/L85)</f>
        <v>0.21999999999999997</v>
      </c>
      <c r="O85" s="46">
        <f>+'Trim Rwd'!H45</f>
        <v>256.5</v>
      </c>
      <c r="P85" s="47">
        <f t="shared" ref="P85" si="131">O85*(Q85-R85-S85)</f>
        <v>354996</v>
      </c>
      <c r="Q85" s="46">
        <v>1440</v>
      </c>
      <c r="R85" s="500">
        <v>0</v>
      </c>
      <c r="S85" s="500">
        <v>56</v>
      </c>
      <c r="T85" s="36">
        <f t="shared" ref="T85" si="132">E85*M85*O85*Q85/100000000</f>
        <v>44.943724799999998</v>
      </c>
      <c r="U85" s="36">
        <f t="shared" ref="U85" si="133">E85*M85*O85*(Q85-R85-S85)/100000000</f>
        <v>43.195913279999999</v>
      </c>
      <c r="V85" s="36">
        <f t="shared" ref="V85" si="134">E85*G85*(1-N85)*O85/100*(R85+S85)/1000000</f>
        <v>1.7915068080000003</v>
      </c>
      <c r="W85" s="36">
        <f>+'16'!K14/1000</f>
        <v>46.640999999999998</v>
      </c>
      <c r="X85" s="501">
        <f>SUM(W85:W89)/SUM(K85:K89)</f>
        <v>1.0124531252502316</v>
      </c>
      <c r="Y85" s="210">
        <v>0</v>
      </c>
      <c r="Z85" s="36">
        <f>+'13'!D32/1000</f>
        <v>0</v>
      </c>
      <c r="AA85" s="48">
        <f>SUM(U85:U89)-SUM(W85:W89)-SUM(Z85:Z89)-SUM(Y85:Y89)</f>
        <v>-3.445086719999999</v>
      </c>
      <c r="AB85" s="48">
        <f>(SUM(K85:K89)-SUM(W85:W89)-SUM(Y85:Y89)-SUM(Z85:Z89)-SUM(AC85:AC89)-SUM(V85:V89))-AA85</f>
        <v>-4.369528800000122E-2</v>
      </c>
      <c r="AC85" s="36">
        <f>K85-T85</f>
        <v>1.1235931200000024</v>
      </c>
      <c r="AD85" s="36">
        <f>+AM85+BA85</f>
        <v>12</v>
      </c>
      <c r="AE85" s="229" t="s">
        <v>415</v>
      </c>
      <c r="AF85" s="36">
        <v>12</v>
      </c>
      <c r="AG85" s="36"/>
      <c r="AH85" s="36"/>
      <c r="AI85" s="36"/>
      <c r="AJ85" s="36"/>
      <c r="AK85" s="36"/>
      <c r="AL85" s="36"/>
      <c r="AM85" s="36">
        <f t="shared" ref="AM85:AM87" si="135">SUM(AF85:AL85)+AT85+AV85+AX85</f>
        <v>12</v>
      </c>
      <c r="AN85" s="36"/>
      <c r="AO85" s="36"/>
      <c r="AP85" s="36"/>
      <c r="AQ85" s="36"/>
      <c r="AR85" s="36">
        <f>SUM(AN85:AQ85)</f>
        <v>0</v>
      </c>
      <c r="AS85" s="36"/>
      <c r="AT85" s="36"/>
      <c r="AU85" s="36"/>
      <c r="AV85" s="36"/>
      <c r="AW85" s="36"/>
      <c r="AX85" s="36"/>
      <c r="AY85" s="36"/>
      <c r="AZ85" s="36"/>
      <c r="BA85" s="36">
        <f>+AR85+AS85+AU85+AW85+AY85+AZ85</f>
        <v>0</v>
      </c>
      <c r="BB85" s="32">
        <v>6</v>
      </c>
      <c r="BC85" s="50"/>
      <c r="BD85" s="50"/>
      <c r="BE85" s="32"/>
      <c r="BF85" s="50"/>
    </row>
    <row r="86" spans="1:58" ht="12.95" customHeight="1">
      <c r="A86" s="39"/>
      <c r="B86" s="40"/>
      <c r="C86" s="414"/>
      <c r="D86" s="40"/>
      <c r="E86" s="41"/>
      <c r="F86" s="41"/>
      <c r="G86" s="499"/>
      <c r="H86" s="43"/>
      <c r="I86" s="44"/>
      <c r="J86" s="81"/>
      <c r="K86" s="81"/>
      <c r="L86" s="34"/>
      <c r="M86" s="34"/>
      <c r="N86" s="45"/>
      <c r="O86" s="46"/>
      <c r="P86" s="47"/>
      <c r="Q86" s="46"/>
      <c r="R86" s="500"/>
      <c r="S86" s="500"/>
      <c r="T86" s="36"/>
      <c r="U86" s="36"/>
      <c r="V86" s="36"/>
      <c r="W86" s="36"/>
      <c r="X86" s="37"/>
      <c r="Y86" s="210"/>
      <c r="Z86" s="36"/>
      <c r="AA86" s="36"/>
      <c r="AB86" s="36"/>
      <c r="AC86" s="36">
        <f>K86-T86</f>
        <v>0</v>
      </c>
      <c r="AD86" s="36">
        <f>+AM86+BA86</f>
        <v>2</v>
      </c>
      <c r="AE86" s="229" t="s">
        <v>414</v>
      </c>
      <c r="AF86" s="36"/>
      <c r="AG86" s="36">
        <v>2</v>
      </c>
      <c r="AH86" s="36"/>
      <c r="AI86" s="36"/>
      <c r="AJ86" s="36"/>
      <c r="AK86" s="36"/>
      <c r="AL86" s="36"/>
      <c r="AM86" s="36">
        <f t="shared" si="135"/>
        <v>2</v>
      </c>
      <c r="AN86" s="82"/>
      <c r="AO86" s="36"/>
      <c r="AP86" s="36"/>
      <c r="AQ86" s="36"/>
      <c r="AR86" s="36">
        <f t="shared" ref="AR86:AR87" si="136"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>
        <f>+AR86+AS86+AU86+AW86+AY86+AZ86</f>
        <v>0</v>
      </c>
      <c r="BB86" s="49"/>
      <c r="BC86" s="50">
        <v>1</v>
      </c>
      <c r="BD86" s="50"/>
      <c r="BE86" s="49"/>
      <c r="BF86" s="50"/>
    </row>
    <row r="87" spans="1:58" ht="12.95" customHeight="1">
      <c r="A87" s="39"/>
      <c r="B87" s="40"/>
      <c r="C87" s="414"/>
      <c r="D87" s="40"/>
      <c r="E87" s="41"/>
      <c r="F87" s="41"/>
      <c r="G87" s="42"/>
      <c r="H87" s="43"/>
      <c r="I87" s="44"/>
      <c r="J87" s="81"/>
      <c r="K87" s="81"/>
      <c r="L87" s="34"/>
      <c r="M87" s="34"/>
      <c r="N87" s="45"/>
      <c r="O87" s="46"/>
      <c r="P87" s="47"/>
      <c r="Q87" s="46"/>
      <c r="R87" s="500"/>
      <c r="S87" s="500"/>
      <c r="T87" s="36"/>
      <c r="U87" s="36"/>
      <c r="V87" s="36"/>
      <c r="W87" s="36"/>
      <c r="X87" s="37"/>
      <c r="Y87" s="210"/>
      <c r="Z87" s="36"/>
      <c r="AA87" s="36"/>
      <c r="AB87" s="36"/>
      <c r="AC87" s="36"/>
      <c r="AD87" s="36">
        <f>+AM87+BA87</f>
        <v>42</v>
      </c>
      <c r="AE87" s="229" t="s">
        <v>388</v>
      </c>
      <c r="AF87" s="32"/>
      <c r="AG87" s="32"/>
      <c r="AH87" s="32">
        <v>42</v>
      </c>
      <c r="AI87" s="32"/>
      <c r="AJ87" s="36"/>
      <c r="AK87" s="36"/>
      <c r="AL87" s="36"/>
      <c r="AM87" s="36">
        <f t="shared" si="135"/>
        <v>42</v>
      </c>
      <c r="AN87" s="36"/>
      <c r="AO87" s="36"/>
      <c r="AP87" s="36"/>
      <c r="AQ87" s="36"/>
      <c r="AR87" s="36">
        <f t="shared" si="136"/>
        <v>0</v>
      </c>
      <c r="AS87" s="36"/>
      <c r="AT87" s="36"/>
      <c r="AU87" s="36"/>
      <c r="AV87" s="36"/>
      <c r="AW87" s="36"/>
      <c r="AX87" s="36"/>
      <c r="AY87" s="36"/>
      <c r="AZ87" s="36"/>
      <c r="BA87" s="36">
        <f>+AR87+AS87+AU87+AW87+AY87+AZ87</f>
        <v>0</v>
      </c>
      <c r="BB87" s="32"/>
      <c r="BC87" s="503"/>
      <c r="BD87" s="503"/>
      <c r="BE87" s="32"/>
      <c r="BF87" s="503"/>
    </row>
    <row r="88" spans="1:58" ht="12.95" customHeight="1">
      <c r="A88" s="39"/>
      <c r="B88" s="40"/>
      <c r="C88" s="414"/>
      <c r="D88" s="40"/>
      <c r="E88" s="41"/>
      <c r="F88" s="41"/>
      <c r="G88" s="42"/>
      <c r="H88" s="43"/>
      <c r="I88" s="44"/>
      <c r="J88" s="81"/>
      <c r="K88" s="81"/>
      <c r="L88" s="34"/>
      <c r="M88" s="34"/>
      <c r="N88" s="45"/>
      <c r="O88" s="46"/>
      <c r="P88" s="47"/>
      <c r="Q88" s="46"/>
      <c r="R88" s="500"/>
      <c r="S88" s="500"/>
      <c r="T88" s="36"/>
      <c r="U88" s="36"/>
      <c r="V88" s="36"/>
      <c r="W88" s="36"/>
      <c r="X88" s="37"/>
      <c r="Y88" s="210"/>
      <c r="Z88" s="36"/>
      <c r="AA88" s="36"/>
      <c r="AB88" s="36"/>
      <c r="AC88" s="36"/>
      <c r="AD88" s="36">
        <f>+AM88+BA88</f>
        <v>0</v>
      </c>
      <c r="AE88" s="232" t="s">
        <v>378</v>
      </c>
      <c r="AF88" s="32"/>
      <c r="AG88" s="32"/>
      <c r="AH88" s="32"/>
      <c r="AI88" s="32"/>
      <c r="AJ88" s="36"/>
      <c r="AK88" s="36"/>
      <c r="AL88" s="36"/>
      <c r="AM88" s="36">
        <f t="shared" ref="AM88" si="137">SUM(AF88:AL88)+AT88+AV88+AX88</f>
        <v>0</v>
      </c>
      <c r="AN88" s="36"/>
      <c r="AO88" s="36"/>
      <c r="AP88" s="36"/>
      <c r="AQ88" s="36"/>
      <c r="AR88" s="36">
        <f t="shared" ref="AR88" si="138">SUM(AN88:AQ88)</f>
        <v>0</v>
      </c>
      <c r="AS88" s="36"/>
      <c r="AT88" s="36"/>
      <c r="AU88" s="36"/>
      <c r="AV88" s="36"/>
      <c r="AW88" s="36"/>
      <c r="AX88" s="36"/>
      <c r="AY88" s="36"/>
      <c r="AZ88" s="36"/>
      <c r="BA88" s="36">
        <f>+AR88+AS88+AU88+AW88+AY88+AZ88</f>
        <v>0</v>
      </c>
      <c r="BB88" s="32"/>
      <c r="BC88" s="503"/>
      <c r="BD88" s="503"/>
      <c r="BE88" s="32"/>
      <c r="BF88" s="503"/>
    </row>
    <row r="89" spans="1:58" ht="13.5" customHeight="1">
      <c r="A89" s="39"/>
      <c r="B89" s="40"/>
      <c r="C89" s="414"/>
      <c r="D89" s="40"/>
      <c r="E89" s="41"/>
      <c r="F89" s="41"/>
      <c r="G89" s="499"/>
      <c r="H89" s="43"/>
      <c r="I89" s="44"/>
      <c r="J89" s="81"/>
      <c r="K89" s="81"/>
      <c r="L89" s="34"/>
      <c r="M89" s="34"/>
      <c r="N89" s="45"/>
      <c r="O89" s="46"/>
      <c r="P89" s="47"/>
      <c r="Q89" s="46"/>
      <c r="R89" s="500"/>
      <c r="S89" s="500"/>
      <c r="T89" s="36"/>
      <c r="U89" s="36"/>
      <c r="V89" s="36"/>
      <c r="W89" s="36"/>
      <c r="X89" s="501"/>
      <c r="Y89" s="210"/>
      <c r="Z89" s="36"/>
      <c r="AA89" s="48"/>
      <c r="AB89" s="48"/>
      <c r="AC89" s="36"/>
      <c r="AD89" s="36"/>
      <c r="AE89" s="229"/>
      <c r="AF89" s="36"/>
      <c r="AG89" s="36"/>
      <c r="AH89" s="36"/>
      <c r="AI89" s="502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2"/>
      <c r="BC89" s="50"/>
      <c r="BD89" s="50"/>
      <c r="BE89" s="50"/>
      <c r="BF89" s="50"/>
    </row>
    <row r="90" spans="1:58" ht="12.75" customHeight="1">
      <c r="A90" s="39">
        <v>46129</v>
      </c>
      <c r="B90" s="40" t="s">
        <v>513</v>
      </c>
      <c r="C90" s="414">
        <f t="shared" ref="C90" si="139">(M90*E90*O90*Q90)/100000000</f>
        <v>44.943724799999998</v>
      </c>
      <c r="D90" s="40" t="s">
        <v>302</v>
      </c>
      <c r="E90" s="41">
        <v>13</v>
      </c>
      <c r="F90" s="41">
        <v>1</v>
      </c>
      <c r="G90" s="499">
        <v>1230</v>
      </c>
      <c r="H90" s="43">
        <f>+N90</f>
        <v>0.21999999999999997</v>
      </c>
      <c r="I90" s="44">
        <v>0.88</v>
      </c>
      <c r="J90" s="81">
        <f t="shared" ref="J90" si="140">E90*G90*(1-H90)*1440/1000000*2.74</f>
        <v>49.210312320000007</v>
      </c>
      <c r="K90" s="81">
        <f t="shared" ref="K90" si="141">(IF(G90&lt;L90,L90,G90)*(1-IF(H90&lt;N90,H90,N90))*E90*O90*Q90)/100000000</f>
        <v>46.067317920000001</v>
      </c>
      <c r="L90" s="34">
        <v>1200</v>
      </c>
      <c r="M90" s="34">
        <v>936</v>
      </c>
      <c r="N90" s="45">
        <f t="shared" ref="N90" si="142">1-(M90/L90)</f>
        <v>0.21999999999999997</v>
      </c>
      <c r="O90" s="46">
        <f>+'Trim Rwd'!H47</f>
        <v>256.5</v>
      </c>
      <c r="P90" s="47">
        <f t="shared" ref="P90" si="143">O90*(Q90-R90-S90)</f>
        <v>350379</v>
      </c>
      <c r="Q90" s="46">
        <v>1440</v>
      </c>
      <c r="R90" s="500">
        <v>0</v>
      </c>
      <c r="S90" s="500">
        <v>74</v>
      </c>
      <c r="T90" s="36">
        <f t="shared" ref="T90" si="144">E90*M90*O90*Q90/100000000</f>
        <v>44.943724799999998</v>
      </c>
      <c r="U90" s="36">
        <f t="shared" ref="U90" si="145">E90*M90*O90*(Q90-R90-S90)/100000000</f>
        <v>42.634116720000002</v>
      </c>
      <c r="V90" s="36">
        <f t="shared" ref="V90" si="146">E90*G90*(1-N90)*O90/100*(R90+S90)/1000000</f>
        <v>2.367348282</v>
      </c>
      <c r="W90" s="36">
        <f>+'17'!K14/1000</f>
        <v>42.759</v>
      </c>
      <c r="X90" s="501">
        <f>SUM(W90:W94)/SUM(K90:K94)</f>
        <v>0.92818514145439968</v>
      </c>
      <c r="Y90" s="210">
        <v>0</v>
      </c>
      <c r="Z90" s="36">
        <v>0</v>
      </c>
      <c r="AA90" s="48">
        <f>SUM(U90:U94)-SUM(W90:W94)-SUM(Z90:Z94)-SUM(Y90:Y94)</f>
        <v>-0.12488327999999882</v>
      </c>
      <c r="AB90" s="48">
        <f>(SUM(K90:K94)-SUM(W90:W94)-SUM(Y90:Y94)-SUM(Z90:Z94)-SUM(AC90:AC94)-SUM(V90:V94))-AA90</f>
        <v>-5.7740202000003293E-2</v>
      </c>
      <c r="AC90" s="36">
        <f>K90-T90</f>
        <v>1.1235931200000024</v>
      </c>
      <c r="AD90" s="36">
        <f>+AM90+BA90</f>
        <v>16</v>
      </c>
      <c r="AE90" s="229" t="s">
        <v>415</v>
      </c>
      <c r="AF90" s="36">
        <v>16</v>
      </c>
      <c r="AG90" s="36"/>
      <c r="AH90" s="36"/>
      <c r="AI90" s="36"/>
      <c r="AJ90" s="36"/>
      <c r="AK90" s="36"/>
      <c r="AL90" s="36"/>
      <c r="AM90" s="36">
        <f t="shared" ref="AM90:AM92" si="147">SUM(AF90:AL90)+AT90+AV90+AX90</f>
        <v>16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>
        <f>+AR90+AS90+AU90+AW90+AY90+AZ90</f>
        <v>0</v>
      </c>
      <c r="BB90" s="32">
        <v>6</v>
      </c>
      <c r="BC90" s="50"/>
      <c r="BD90" s="50"/>
      <c r="BE90" s="32"/>
      <c r="BF90" s="50"/>
    </row>
    <row r="91" spans="1:58" ht="12.95" customHeight="1">
      <c r="A91" s="39"/>
      <c r="B91" s="40"/>
      <c r="C91" s="414"/>
      <c r="D91" s="40"/>
      <c r="E91" s="41"/>
      <c r="F91" s="41"/>
      <c r="G91" s="499"/>
      <c r="H91" s="43"/>
      <c r="I91" s="44"/>
      <c r="J91" s="81"/>
      <c r="K91" s="81"/>
      <c r="L91" s="34"/>
      <c r="M91" s="34"/>
      <c r="N91" s="45"/>
      <c r="O91" s="46"/>
      <c r="P91" s="47"/>
      <c r="Q91" s="46"/>
      <c r="R91" s="500"/>
      <c r="S91" s="500"/>
      <c r="T91" s="36"/>
      <c r="U91" s="36"/>
      <c r="V91" s="36"/>
      <c r="W91" s="36"/>
      <c r="X91" s="37"/>
      <c r="Y91" s="210"/>
      <c r="Z91" s="36"/>
      <c r="AA91" s="36"/>
      <c r="AB91" s="36"/>
      <c r="AC91" s="36">
        <f>K91-T91</f>
        <v>0</v>
      </c>
      <c r="AD91" s="36">
        <f>+AM91+BA91</f>
        <v>6</v>
      </c>
      <c r="AE91" s="229" t="s">
        <v>480</v>
      </c>
      <c r="AF91" s="36"/>
      <c r="AG91" s="36">
        <v>6</v>
      </c>
      <c r="AH91" s="36"/>
      <c r="AI91" s="36"/>
      <c r="AJ91" s="36"/>
      <c r="AK91" s="36"/>
      <c r="AL91" s="36"/>
      <c r="AM91" s="36">
        <f t="shared" si="147"/>
        <v>6</v>
      </c>
      <c r="AN91" s="82"/>
      <c r="AO91" s="36"/>
      <c r="AP91" s="36"/>
      <c r="AQ91" s="36"/>
      <c r="AR91" s="36">
        <f t="shared" ref="AR91:AR92" si="148">SUM(AN91:AQ91)</f>
        <v>0</v>
      </c>
      <c r="AS91" s="36"/>
      <c r="AT91" s="36"/>
      <c r="AU91" s="36"/>
      <c r="AV91" s="36"/>
      <c r="AW91" s="36"/>
      <c r="AX91" s="36"/>
      <c r="AY91" s="36"/>
      <c r="AZ91" s="36"/>
      <c r="BA91" s="36">
        <f>+AR91+AS91+AU91+AW91+AY91+AZ91</f>
        <v>0</v>
      </c>
      <c r="BB91" s="49"/>
      <c r="BC91" s="50">
        <v>2</v>
      </c>
      <c r="BD91" s="50"/>
      <c r="BE91" s="49"/>
      <c r="BF91" s="50"/>
    </row>
    <row r="92" spans="1:58" ht="12.95" customHeight="1">
      <c r="A92" s="39"/>
      <c r="B92" s="40"/>
      <c r="C92" s="414"/>
      <c r="D92" s="40"/>
      <c r="E92" s="41"/>
      <c r="F92" s="41"/>
      <c r="G92" s="42"/>
      <c r="H92" s="43"/>
      <c r="I92" s="44"/>
      <c r="J92" s="81"/>
      <c r="K92" s="81"/>
      <c r="L92" s="34"/>
      <c r="M92" s="34"/>
      <c r="N92" s="45"/>
      <c r="O92" s="46"/>
      <c r="P92" s="47"/>
      <c r="Q92" s="46"/>
      <c r="R92" s="500"/>
      <c r="S92" s="500"/>
      <c r="T92" s="36"/>
      <c r="U92" s="36"/>
      <c r="V92" s="36"/>
      <c r="W92" s="36"/>
      <c r="X92" s="37"/>
      <c r="Y92" s="210"/>
      <c r="Z92" s="36"/>
      <c r="AA92" s="36"/>
      <c r="AB92" s="36"/>
      <c r="AC92" s="36"/>
      <c r="AD92" s="36">
        <f>+AM92+BA92</f>
        <v>52</v>
      </c>
      <c r="AE92" s="229" t="s">
        <v>552</v>
      </c>
      <c r="AF92" s="32"/>
      <c r="AG92" s="32"/>
      <c r="AH92" s="32">
        <v>52</v>
      </c>
      <c r="AI92" s="32"/>
      <c r="AJ92" s="36"/>
      <c r="AK92" s="36"/>
      <c r="AL92" s="36"/>
      <c r="AM92" s="36">
        <f t="shared" si="147"/>
        <v>52</v>
      </c>
      <c r="AN92" s="36"/>
      <c r="AO92" s="36"/>
      <c r="AP92" s="36"/>
      <c r="AQ92" s="36"/>
      <c r="AR92" s="36">
        <f t="shared" si="148"/>
        <v>0</v>
      </c>
      <c r="AS92" s="36"/>
      <c r="AT92" s="36"/>
      <c r="AU92" s="36"/>
      <c r="AV92" s="36"/>
      <c r="AW92" s="36"/>
      <c r="AX92" s="36"/>
      <c r="AY92" s="36"/>
      <c r="AZ92" s="36"/>
      <c r="BA92" s="36">
        <f>+AR92+AS92+AU92+AW92+AY92+AZ92</f>
        <v>0</v>
      </c>
      <c r="BB92" s="32"/>
      <c r="BC92" s="503"/>
      <c r="BD92" s="503"/>
      <c r="BE92" s="32"/>
      <c r="BF92" s="503"/>
    </row>
    <row r="93" spans="1:58" ht="12.95" customHeight="1">
      <c r="A93" s="39"/>
      <c r="B93" s="40"/>
      <c r="C93" s="414"/>
      <c r="D93" s="40"/>
      <c r="E93" s="41"/>
      <c r="F93" s="41"/>
      <c r="G93" s="42"/>
      <c r="H93" s="43"/>
      <c r="I93" s="44"/>
      <c r="J93" s="81"/>
      <c r="K93" s="81"/>
      <c r="L93" s="34"/>
      <c r="M93" s="34"/>
      <c r="N93" s="45"/>
      <c r="O93" s="46"/>
      <c r="P93" s="47"/>
      <c r="Q93" s="46"/>
      <c r="R93" s="500"/>
      <c r="S93" s="500"/>
      <c r="T93" s="36"/>
      <c r="U93" s="36"/>
      <c r="V93" s="36"/>
      <c r="W93" s="36"/>
      <c r="X93" s="37"/>
      <c r="Y93" s="210"/>
      <c r="Z93" s="36"/>
      <c r="AA93" s="36"/>
      <c r="AB93" s="36"/>
      <c r="AC93" s="36"/>
      <c r="AD93" s="36">
        <f>+AM93+BA93</f>
        <v>0</v>
      </c>
      <c r="AE93" s="232" t="s">
        <v>378</v>
      </c>
      <c r="AF93" s="32"/>
      <c r="AG93" s="32"/>
      <c r="AH93" s="32"/>
      <c r="AI93" s="32"/>
      <c r="AJ93" s="36"/>
      <c r="AK93" s="36"/>
      <c r="AL93" s="36"/>
      <c r="AM93" s="36">
        <f t="shared" ref="AM93" si="149">SUM(AF93:AL93)+AT93+AV93+AX93</f>
        <v>0</v>
      </c>
      <c r="AN93" s="36"/>
      <c r="AO93" s="36"/>
      <c r="AP93" s="36"/>
      <c r="AQ93" s="36"/>
      <c r="AR93" s="36">
        <f t="shared" ref="AR93" si="150">SUM(AN93:AQ93)</f>
        <v>0</v>
      </c>
      <c r="AS93" s="36"/>
      <c r="AT93" s="36"/>
      <c r="AU93" s="36"/>
      <c r="AV93" s="36"/>
      <c r="AW93" s="36"/>
      <c r="AX93" s="36"/>
      <c r="AY93" s="36"/>
      <c r="AZ93" s="36"/>
      <c r="BA93" s="36">
        <f>+AR93+AS93+AU93+AW93+AY93+AZ93</f>
        <v>0</v>
      </c>
      <c r="BB93" s="32"/>
      <c r="BC93" s="503"/>
      <c r="BD93" s="503"/>
      <c r="BE93" s="32"/>
      <c r="BF93" s="503"/>
    </row>
    <row r="94" spans="1:58" ht="13.5" customHeight="1">
      <c r="A94" s="39"/>
      <c r="B94" s="40"/>
      <c r="C94" s="414"/>
      <c r="D94" s="40"/>
      <c r="E94" s="41"/>
      <c r="F94" s="41"/>
      <c r="G94" s="499"/>
      <c r="H94" s="43"/>
      <c r="I94" s="44"/>
      <c r="J94" s="81"/>
      <c r="K94" s="81"/>
      <c r="L94" s="34"/>
      <c r="M94" s="34"/>
      <c r="N94" s="45"/>
      <c r="O94" s="46"/>
      <c r="P94" s="47"/>
      <c r="Q94" s="46"/>
      <c r="R94" s="500"/>
      <c r="S94" s="500"/>
      <c r="T94" s="36"/>
      <c r="U94" s="36"/>
      <c r="V94" s="36"/>
      <c r="W94" s="36"/>
      <c r="X94" s="501"/>
      <c r="Y94" s="210"/>
      <c r="Z94" s="36"/>
      <c r="AA94" s="48"/>
      <c r="AB94" s="48"/>
      <c r="AC94" s="36"/>
      <c r="AD94" s="36"/>
      <c r="AE94" s="229"/>
      <c r="AF94" s="36"/>
      <c r="AG94" s="36"/>
      <c r="AH94" s="36"/>
      <c r="AI94" s="502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2"/>
      <c r="BC94" s="50"/>
      <c r="BD94" s="50"/>
      <c r="BE94" s="50"/>
      <c r="BF94" s="50"/>
    </row>
    <row r="95" spans="1:58" ht="12.75" customHeight="1">
      <c r="A95" s="39">
        <v>46130</v>
      </c>
      <c r="B95" s="40" t="s">
        <v>513</v>
      </c>
      <c r="C95" s="414">
        <f t="shared" ref="C95:C97" si="151">(M95*E95*O95*Q95)/100000000</f>
        <v>9.2696432400000006</v>
      </c>
      <c r="D95" s="40" t="s">
        <v>302</v>
      </c>
      <c r="E95" s="41">
        <v>13</v>
      </c>
      <c r="F95" s="41">
        <v>1</v>
      </c>
      <c r="G95" s="499">
        <v>1230</v>
      </c>
      <c r="H95" s="43">
        <f>+N95</f>
        <v>0.21999999999999997</v>
      </c>
      <c r="I95" s="44">
        <v>0.88</v>
      </c>
      <c r="J95" s="81">
        <f t="shared" ref="J95:J97" si="152">E95*G95*(1-H95)*1440/1000000*2.74</f>
        <v>49.210312320000007</v>
      </c>
      <c r="K95" s="81">
        <f t="shared" ref="K95:K97" si="153">(IF(G95&lt;L95,L95,G95)*(1-IF(H95&lt;N95,H95,N95))*E95*O95*Q95)/100000000</f>
        <v>9.5013843209999997</v>
      </c>
      <c r="L95" s="34">
        <v>1200</v>
      </c>
      <c r="M95" s="34">
        <v>936</v>
      </c>
      <c r="N95" s="45">
        <f t="shared" ref="N95:N97" si="154">1-(M95/L95)</f>
        <v>0.21999999999999997</v>
      </c>
      <c r="O95" s="46">
        <f>+'Trim Rwd'!H49</f>
        <v>256.5</v>
      </c>
      <c r="P95" s="47">
        <f t="shared" ref="P95:P97" si="155">O95*(Q95-R95-S95)</f>
        <v>71820</v>
      </c>
      <c r="Q95" s="46">
        <v>297</v>
      </c>
      <c r="R95" s="500">
        <v>0</v>
      </c>
      <c r="S95" s="500">
        <v>17</v>
      </c>
      <c r="T95" s="36">
        <f t="shared" ref="T95:T97" si="156">E95*M95*O95*Q95/100000000</f>
        <v>9.2696432400000006</v>
      </c>
      <c r="U95" s="36">
        <f t="shared" ref="U95:U97" si="157">E95*M95*O95*(Q95-R95-S95)/100000000</f>
        <v>8.7390576000000006</v>
      </c>
      <c r="V95" s="36">
        <f t="shared" ref="V95:V97" si="158">E95*G95*(1-N95)*O95/100*(R95+S95)/1000000</f>
        <v>0.5438502810000001</v>
      </c>
      <c r="W95" s="36">
        <f>+'18'!K14/1000</f>
        <v>10.827999999999999</v>
      </c>
      <c r="X95" s="501">
        <f>SUM(W95:W99)/SUM(K95:K99)</f>
        <v>0.83110066625776835</v>
      </c>
      <c r="Y95" s="210">
        <v>0</v>
      </c>
      <c r="Z95" s="36">
        <v>0</v>
      </c>
      <c r="AA95" s="48">
        <f>SUM(U95:U99)-SUM(W95:W99)-SUM(Z95:Z99)-SUM(Y95:Y99)</f>
        <v>4.0212685927607268</v>
      </c>
      <c r="AB95" s="48">
        <f>(SUM(K95:K99)-SUM(W95:W99)-SUM(Y95:Y99)-SUM(Z95:Z99)-SUM(AC95:AC99)-SUM(V95:V99))-AA95</f>
        <v>-4.3881185210545848E-2</v>
      </c>
      <c r="AC95" s="36">
        <f>K95-T95</f>
        <v>0.23174108099999913</v>
      </c>
      <c r="AD95" s="36">
        <f>+AM95+BA95</f>
        <v>4</v>
      </c>
      <c r="AE95" s="229" t="s">
        <v>400</v>
      </c>
      <c r="AF95" s="36">
        <v>4</v>
      </c>
      <c r="AG95" s="36"/>
      <c r="AH95" s="36"/>
      <c r="AI95" s="36"/>
      <c r="AJ95" s="36"/>
      <c r="AK95" s="36"/>
      <c r="AL95" s="36"/>
      <c r="AM95" s="36">
        <f t="shared" ref="AM95:AM97" si="159">SUM(AF95:AL95)+AT95+AV95+AX95</f>
        <v>4</v>
      </c>
      <c r="AN95" s="36"/>
      <c r="AO95" s="36"/>
      <c r="AP95" s="36"/>
      <c r="AQ95" s="36"/>
      <c r="AR95" s="36">
        <f>SUM(AN95:AQ95)</f>
        <v>0</v>
      </c>
      <c r="AS95" s="36"/>
      <c r="AT95" s="36"/>
      <c r="AU95" s="36"/>
      <c r="AV95" s="36"/>
      <c r="AW95" s="36"/>
      <c r="AX95" s="36"/>
      <c r="AY95" s="36"/>
      <c r="AZ95" s="36"/>
      <c r="BA95" s="36">
        <f>+AR95+AS95+AU95+AW95+AY95+AZ95</f>
        <v>0</v>
      </c>
      <c r="BB95" s="32">
        <v>2</v>
      </c>
      <c r="BC95" s="50"/>
      <c r="BD95" s="50"/>
      <c r="BE95" s="32"/>
      <c r="BF95" s="50"/>
    </row>
    <row r="96" spans="1:58" ht="12.95" customHeight="1">
      <c r="A96" s="39"/>
      <c r="B96" s="40" t="s">
        <v>513</v>
      </c>
      <c r="C96" s="414">
        <f t="shared" si="151"/>
        <v>2.7190169279999994</v>
      </c>
      <c r="D96" s="40" t="s">
        <v>302</v>
      </c>
      <c r="E96" s="41">
        <v>12</v>
      </c>
      <c r="F96" s="41">
        <v>1</v>
      </c>
      <c r="G96" s="499">
        <v>1230</v>
      </c>
      <c r="H96" s="43">
        <f t="shared" ref="H96:H97" si="160">+N96</f>
        <v>0.26</v>
      </c>
      <c r="I96" s="44">
        <v>0.88</v>
      </c>
      <c r="J96" s="81">
        <f t="shared" si="152"/>
        <v>43.095421440000003</v>
      </c>
      <c r="K96" s="81">
        <f t="shared" si="153"/>
        <v>2.7413039520000004</v>
      </c>
      <c r="L96" s="34">
        <v>1220</v>
      </c>
      <c r="M96" s="34">
        <v>902.8</v>
      </c>
      <c r="N96" s="45">
        <f t="shared" si="154"/>
        <v>0.26</v>
      </c>
      <c r="O96" s="46">
        <f>+'Trim Rwd'!H51</f>
        <v>267</v>
      </c>
      <c r="P96" s="47">
        <f t="shared" si="155"/>
        <v>23229</v>
      </c>
      <c r="Q96" s="46">
        <v>94</v>
      </c>
      <c r="R96" s="500">
        <v>0</v>
      </c>
      <c r="S96" s="500">
        <v>7</v>
      </c>
      <c r="T96" s="36">
        <f t="shared" si="156"/>
        <v>2.7190169279999994</v>
      </c>
      <c r="U96" s="36">
        <f t="shared" si="157"/>
        <v>2.5165369439999998</v>
      </c>
      <c r="V96" s="36">
        <f t="shared" si="158"/>
        <v>0.20413965599999997</v>
      </c>
      <c r="W96" s="36">
        <f>+'18'!K15/1000</f>
        <v>3.0649999999999999</v>
      </c>
      <c r="X96" s="37"/>
      <c r="Y96" s="210"/>
      <c r="Z96" s="36"/>
      <c r="AA96" s="36"/>
      <c r="AB96" s="36"/>
      <c r="AC96" s="36">
        <f>K96-T96</f>
        <v>2.2287024000001043E-2</v>
      </c>
      <c r="AD96" s="36">
        <f>+AM96+BA96</f>
        <v>6</v>
      </c>
      <c r="AE96" s="229" t="s">
        <v>465</v>
      </c>
      <c r="AF96" s="36"/>
      <c r="AG96" s="36">
        <v>6</v>
      </c>
      <c r="AH96" s="36"/>
      <c r="AI96" s="36"/>
      <c r="AJ96" s="36"/>
      <c r="AK96" s="36"/>
      <c r="AL96" s="36"/>
      <c r="AM96" s="36">
        <f t="shared" si="159"/>
        <v>6</v>
      </c>
      <c r="AN96" s="82"/>
      <c r="AO96" s="36"/>
      <c r="AP96" s="36"/>
      <c r="AQ96" s="36"/>
      <c r="AR96" s="36">
        <f t="shared" ref="AR96:AR97" si="161">SUM(AN96:AQ96)</f>
        <v>0</v>
      </c>
      <c r="AS96" s="36"/>
      <c r="AT96" s="36"/>
      <c r="AU96" s="36"/>
      <c r="AV96" s="36"/>
      <c r="AW96" s="36"/>
      <c r="AX96" s="36"/>
      <c r="AY96" s="36"/>
      <c r="AZ96" s="36"/>
      <c r="BA96" s="36">
        <f>+AR96+AS96+AU96+AW96+AY96+AZ96</f>
        <v>0</v>
      </c>
      <c r="BB96" s="49"/>
      <c r="BC96" s="50">
        <v>3</v>
      </c>
      <c r="BD96" s="50"/>
      <c r="BE96" s="49"/>
      <c r="BF96" s="50"/>
    </row>
    <row r="97" spans="1:58" ht="12.95" customHeight="1">
      <c r="A97" s="39"/>
      <c r="B97" s="40" t="s">
        <v>513</v>
      </c>
      <c r="C97" s="414">
        <f t="shared" si="151"/>
        <v>30.599282556249996</v>
      </c>
      <c r="D97" s="40" t="s">
        <v>302</v>
      </c>
      <c r="E97" s="41">
        <v>12.5</v>
      </c>
      <c r="F97" s="41">
        <v>1</v>
      </c>
      <c r="G97" s="499">
        <v>1230</v>
      </c>
      <c r="H97" s="43">
        <f t="shared" si="160"/>
        <v>0.23957013068921196</v>
      </c>
      <c r="I97" s="44">
        <v>0.88</v>
      </c>
      <c r="J97" s="81">
        <f t="shared" si="152"/>
        <v>46.130413419921922</v>
      </c>
      <c r="K97" s="81">
        <f t="shared" si="153"/>
        <v>31.519760100154627</v>
      </c>
      <c r="L97" s="34">
        <v>1194.0800762631077</v>
      </c>
      <c r="M97" s="34">
        <v>908.01415633937086</v>
      </c>
      <c r="N97" s="45">
        <f t="shared" si="154"/>
        <v>0.23957013068921196</v>
      </c>
      <c r="O97" s="46">
        <f>+'Trim Rwd'!H50</f>
        <v>257</v>
      </c>
      <c r="P97" s="47">
        <f t="shared" si="155"/>
        <v>261112</v>
      </c>
      <c r="Q97" s="46">
        <v>1049</v>
      </c>
      <c r="R97" s="500">
        <v>0</v>
      </c>
      <c r="S97" s="500">
        <f>57-S95-S96</f>
        <v>33</v>
      </c>
      <c r="T97" s="36">
        <f t="shared" si="156"/>
        <v>30.599282556249996</v>
      </c>
      <c r="U97" s="36">
        <f t="shared" si="157"/>
        <v>29.636674048760725</v>
      </c>
      <c r="V97" s="36">
        <f t="shared" si="158"/>
        <v>0.99156537969981196</v>
      </c>
      <c r="W97" s="36">
        <f>+'18'!K16/1000</f>
        <v>22.478000000000002</v>
      </c>
      <c r="X97" s="37"/>
      <c r="Y97" s="210"/>
      <c r="Z97" s="36">
        <f>+'18'!D16/1000</f>
        <v>0.5</v>
      </c>
      <c r="AA97" s="36"/>
      <c r="AB97" s="36"/>
      <c r="AC97" s="36">
        <f>K97-T97</f>
        <v>0.92047754390463155</v>
      </c>
      <c r="AD97" s="36">
        <f>+AM97+BA97</f>
        <v>47</v>
      </c>
      <c r="AE97" s="229" t="s">
        <v>532</v>
      </c>
      <c r="AF97" s="32"/>
      <c r="AG97" s="32"/>
      <c r="AH97" s="32">
        <v>47</v>
      </c>
      <c r="AI97" s="32"/>
      <c r="AJ97" s="36"/>
      <c r="AK97" s="36"/>
      <c r="AL97" s="36"/>
      <c r="AM97" s="36">
        <f t="shared" si="159"/>
        <v>47</v>
      </c>
      <c r="AN97" s="36"/>
      <c r="AO97" s="36"/>
      <c r="AP97" s="36"/>
      <c r="AQ97" s="36"/>
      <c r="AR97" s="36">
        <f t="shared" si="161"/>
        <v>0</v>
      </c>
      <c r="AS97" s="36"/>
      <c r="AT97" s="36"/>
      <c r="AU97" s="36"/>
      <c r="AV97" s="36"/>
      <c r="AW97" s="36"/>
      <c r="AX97" s="36"/>
      <c r="AY97" s="36"/>
      <c r="AZ97" s="36"/>
      <c r="BA97" s="36">
        <f>+AR97+AS97+AU97+AW97+AY97+AZ97</f>
        <v>0</v>
      </c>
      <c r="BB97" s="32"/>
      <c r="BC97" s="503"/>
      <c r="BD97" s="503"/>
      <c r="BE97" s="32"/>
      <c r="BF97" s="503"/>
    </row>
    <row r="98" spans="1:58" ht="12.95" customHeight="1">
      <c r="A98" s="39"/>
      <c r="B98" s="40"/>
      <c r="C98" s="414"/>
      <c r="D98" s="40"/>
      <c r="E98" s="41"/>
      <c r="F98" s="41"/>
      <c r="G98" s="42"/>
      <c r="H98" s="43"/>
      <c r="I98" s="44"/>
      <c r="J98" s="81"/>
      <c r="K98" s="81"/>
      <c r="L98" s="34"/>
      <c r="M98" s="34"/>
      <c r="N98" s="45"/>
      <c r="O98" s="46"/>
      <c r="P98" s="47"/>
      <c r="Q98" s="46"/>
      <c r="R98" s="500"/>
      <c r="S98" s="500"/>
      <c r="T98" s="36"/>
      <c r="U98" s="36"/>
      <c r="V98" s="36"/>
      <c r="W98" s="36"/>
      <c r="X98" s="37"/>
      <c r="Y98" s="210"/>
      <c r="Z98" s="36"/>
      <c r="AA98" s="36"/>
      <c r="AB98" s="36"/>
      <c r="AC98" s="36"/>
      <c r="AD98" s="36">
        <f>+AM98+BA98</f>
        <v>0</v>
      </c>
      <c r="AE98" s="232" t="s">
        <v>378</v>
      </c>
      <c r="AF98" s="32"/>
      <c r="AG98" s="32"/>
      <c r="AH98" s="32"/>
      <c r="AI98" s="32"/>
      <c r="AJ98" s="36"/>
      <c r="AK98" s="36"/>
      <c r="AL98" s="36"/>
      <c r="AM98" s="36">
        <f t="shared" ref="AM98" si="162">SUM(AF98:AL98)+AT98+AV98+AX98</f>
        <v>0</v>
      </c>
      <c r="AN98" s="36"/>
      <c r="AO98" s="36"/>
      <c r="AP98" s="36"/>
      <c r="AQ98" s="36"/>
      <c r="AR98" s="36">
        <f t="shared" ref="AR98" si="163">SUM(AN98:AQ98)</f>
        <v>0</v>
      </c>
      <c r="AS98" s="36"/>
      <c r="AT98" s="36"/>
      <c r="AU98" s="36"/>
      <c r="AV98" s="36"/>
      <c r="AW98" s="36"/>
      <c r="AX98" s="36"/>
      <c r="AY98" s="36"/>
      <c r="AZ98" s="36"/>
      <c r="BA98" s="36">
        <f>+AR98+AS98+AU98+AW98+AY98+AZ98</f>
        <v>0</v>
      </c>
      <c r="BB98" s="32"/>
      <c r="BC98" s="503"/>
      <c r="BD98" s="503"/>
      <c r="BE98" s="32"/>
      <c r="BF98" s="503"/>
    </row>
    <row r="99" spans="1:58" ht="13.5" customHeight="1">
      <c r="A99" s="39"/>
      <c r="B99" s="40"/>
      <c r="C99" s="414"/>
      <c r="D99" s="40"/>
      <c r="E99" s="41"/>
      <c r="F99" s="41"/>
      <c r="G99" s="499"/>
      <c r="H99" s="43"/>
      <c r="I99" s="44"/>
      <c r="J99" s="81"/>
      <c r="K99" s="81"/>
      <c r="L99" s="34"/>
      <c r="M99" s="34"/>
      <c r="N99" s="45"/>
      <c r="O99" s="46"/>
      <c r="P99" s="47"/>
      <c r="Q99" s="46"/>
      <c r="R99" s="500"/>
      <c r="S99" s="500"/>
      <c r="T99" s="36"/>
      <c r="U99" s="36"/>
      <c r="V99" s="36"/>
      <c r="W99" s="36"/>
      <c r="X99" s="501"/>
      <c r="Y99" s="210"/>
      <c r="Z99" s="36"/>
      <c r="AA99" s="48"/>
      <c r="AB99" s="48"/>
      <c r="AC99" s="36"/>
      <c r="AD99" s="36"/>
      <c r="AE99" s="229"/>
      <c r="AF99" s="36"/>
      <c r="AG99" s="36"/>
      <c r="AH99" s="36"/>
      <c r="AI99" s="502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2"/>
      <c r="BC99" s="50"/>
      <c r="BD99" s="50"/>
      <c r="BE99" s="50"/>
      <c r="BF99" s="50"/>
    </row>
    <row r="100" spans="1:58" ht="12.75" customHeight="1">
      <c r="A100" s="39">
        <v>46131</v>
      </c>
      <c r="B100" s="40" t="s">
        <v>513</v>
      </c>
      <c r="C100" s="414">
        <f t="shared" ref="C100:C101" si="164">(M100*E100*O100*Q100)/100000000</f>
        <v>25.811537999999999</v>
      </c>
      <c r="D100" s="40" t="s">
        <v>302</v>
      </c>
      <c r="E100" s="41">
        <v>12.5</v>
      </c>
      <c r="F100" s="41">
        <v>1</v>
      </c>
      <c r="G100" s="499">
        <v>1230</v>
      </c>
      <c r="H100" s="43">
        <f>+N100</f>
        <v>0.24</v>
      </c>
      <c r="I100" s="44">
        <v>0.88</v>
      </c>
      <c r="J100" s="81">
        <f t="shared" ref="J100:J101" si="165">E100*G100*(1-H100)*1440/1000000*2.74</f>
        <v>46.104336000000004</v>
      </c>
      <c r="K100" s="81">
        <f t="shared" ref="K100:K101" si="166">(IF(G100&lt;L100,L100,G100)*(1-IF(H100&lt;N100,H100,N100))*E100*O100*Q100)/100000000</f>
        <v>26.456826450000001</v>
      </c>
      <c r="L100" s="34">
        <v>1200</v>
      </c>
      <c r="M100" s="34">
        <v>912</v>
      </c>
      <c r="N100" s="45">
        <f t="shared" ref="N100:N101" si="167">1-(M100/L100)</f>
        <v>0.24</v>
      </c>
      <c r="O100" s="46">
        <f>+'Trim Rwd'!H53</f>
        <v>257</v>
      </c>
      <c r="P100" s="47">
        <f t="shared" ref="P100:P101" si="168">O100*(Q100-R100-S100)</f>
        <v>215623</v>
      </c>
      <c r="Q100" s="46">
        <v>881</v>
      </c>
      <c r="R100" s="500">
        <v>0</v>
      </c>
      <c r="S100" s="500">
        <v>42</v>
      </c>
      <c r="T100" s="36">
        <f t="shared" ref="T100:T101" si="169">E100*M100*O100*Q100/100000000</f>
        <v>25.811537999999999</v>
      </c>
      <c r="U100" s="36">
        <f t="shared" ref="U100:U101" si="170">E100*M100*O100*(Q100-R100-S100)/100000000</f>
        <v>24.581022000000001</v>
      </c>
      <c r="V100" s="36">
        <f t="shared" ref="V100:V101" si="171">E100*G100*(1-N100)*O100/100*(R100+S100)/1000000</f>
        <v>1.2612789000000002</v>
      </c>
      <c r="W100" s="36">
        <f>+'19'!K16/1000</f>
        <v>28.995999999999999</v>
      </c>
      <c r="X100" s="501">
        <f>SUM(W100:W104)/SUM(K100:K104)</f>
        <v>0.9045540267092278</v>
      </c>
      <c r="Y100" s="210">
        <v>0</v>
      </c>
      <c r="Z100" s="36">
        <v>0</v>
      </c>
      <c r="AA100" s="48">
        <f>SUM(U100:U104)-SUM(W100:W104)-SUM(Z100:Z104)-SUM(Y100:Y104)</f>
        <v>-0.22420627999999709</v>
      </c>
      <c r="AB100" s="48">
        <f>(SUM(K100:K104)-SUM(W100:W104)-SUM(Y100:Y104)-SUM(Z100:Z104)-SUM(AC100:AC104)-SUM(V100:V104))-AA100</f>
        <v>-0.11152115550000197</v>
      </c>
      <c r="AC100" s="36">
        <f>K100-T100</f>
        <v>0.64528845000000246</v>
      </c>
      <c r="AD100" s="36">
        <f>+AM100+BA100</f>
        <v>12</v>
      </c>
      <c r="AE100" s="229" t="s">
        <v>415</v>
      </c>
      <c r="AF100" s="36">
        <v>12</v>
      </c>
      <c r="AG100" s="36"/>
      <c r="AH100" s="36"/>
      <c r="AI100" s="36"/>
      <c r="AJ100" s="36"/>
      <c r="AK100" s="36"/>
      <c r="AL100" s="36"/>
      <c r="AM100" s="36">
        <f t="shared" ref="AM100:AM102" si="172">SUM(AF100:AL100)+AT100+AV100+AX100</f>
        <v>12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>
        <f>+AR100+AS100+AU100+AW100+AY100+AZ100</f>
        <v>0</v>
      </c>
      <c r="BB100" s="32">
        <v>6</v>
      </c>
      <c r="BC100" s="50"/>
      <c r="BD100" s="50"/>
      <c r="BE100" s="32"/>
      <c r="BF100" s="50"/>
    </row>
    <row r="101" spans="1:58" ht="12.95" customHeight="1">
      <c r="A101" s="39"/>
      <c r="B101" s="40" t="s">
        <v>513</v>
      </c>
      <c r="C101" s="414">
        <f t="shared" si="164"/>
        <v>16.608110804999999</v>
      </c>
      <c r="D101" s="40" t="s">
        <v>302</v>
      </c>
      <c r="E101" s="41">
        <v>13.5</v>
      </c>
      <c r="F101" s="41">
        <v>1</v>
      </c>
      <c r="G101" s="499">
        <v>1230</v>
      </c>
      <c r="H101" s="43">
        <f>+N101</f>
        <v>0.21999999999999997</v>
      </c>
      <c r="I101" s="44">
        <v>0.88</v>
      </c>
      <c r="J101" s="81">
        <f t="shared" si="165"/>
        <v>51.10301664</v>
      </c>
      <c r="K101" s="81">
        <f t="shared" si="166"/>
        <v>18.570887536500003</v>
      </c>
      <c r="L101" s="34">
        <v>1100</v>
      </c>
      <c r="M101" s="34">
        <v>858</v>
      </c>
      <c r="N101" s="45">
        <f t="shared" si="167"/>
        <v>0.21999999999999997</v>
      </c>
      <c r="O101" s="46">
        <f>+'Trim Rwd'!H54</f>
        <v>256.5</v>
      </c>
      <c r="P101" s="47">
        <f t="shared" si="168"/>
        <v>137484</v>
      </c>
      <c r="Q101" s="46">
        <v>559</v>
      </c>
      <c r="R101" s="500">
        <v>0</v>
      </c>
      <c r="S101" s="500">
        <f>65-S100</f>
        <v>23</v>
      </c>
      <c r="T101" s="36">
        <f t="shared" si="169"/>
        <v>16.608110804999999</v>
      </c>
      <c r="U101" s="36">
        <f t="shared" si="170"/>
        <v>15.924771720000001</v>
      </c>
      <c r="V101" s="36">
        <f t="shared" si="171"/>
        <v>0.7640973405</v>
      </c>
      <c r="W101" s="36">
        <f>+'19'!K17/1000</f>
        <v>11.734</v>
      </c>
      <c r="X101" s="37"/>
      <c r="Y101" s="210"/>
      <c r="Z101" s="36"/>
      <c r="AA101" s="36"/>
      <c r="AB101" s="36"/>
      <c r="AC101" s="36">
        <f>K101-T101</f>
        <v>1.9627767315000035</v>
      </c>
      <c r="AD101" s="36">
        <f>+AM101+BA101</f>
        <v>2</v>
      </c>
      <c r="AE101" s="229" t="s">
        <v>414</v>
      </c>
      <c r="AF101" s="36"/>
      <c r="AG101" s="36">
        <v>2</v>
      </c>
      <c r="AH101" s="36"/>
      <c r="AI101" s="36"/>
      <c r="AJ101" s="36"/>
      <c r="AK101" s="36"/>
      <c r="AL101" s="36"/>
      <c r="AM101" s="36">
        <f t="shared" si="172"/>
        <v>2</v>
      </c>
      <c r="AN101" s="82"/>
      <c r="AO101" s="36"/>
      <c r="AP101" s="36"/>
      <c r="AQ101" s="36"/>
      <c r="AR101" s="36">
        <f t="shared" ref="AR101:AR102" si="173">SUM(AN101:AQ101)</f>
        <v>0</v>
      </c>
      <c r="AS101" s="36"/>
      <c r="AT101" s="36"/>
      <c r="AU101" s="36"/>
      <c r="AV101" s="36"/>
      <c r="AW101" s="36"/>
      <c r="AX101" s="36"/>
      <c r="AY101" s="36"/>
      <c r="AZ101" s="36"/>
      <c r="BA101" s="36">
        <f>+AR101+AS101+AU101+AW101+AY101+AZ101</f>
        <v>0</v>
      </c>
      <c r="BB101" s="49"/>
      <c r="BC101" s="50">
        <v>1</v>
      </c>
      <c r="BD101" s="50"/>
      <c r="BE101" s="49"/>
      <c r="BF101" s="50"/>
    </row>
    <row r="102" spans="1:58" ht="3" customHeight="1">
      <c r="A102" s="39"/>
      <c r="B102" s="40"/>
      <c r="C102" s="414"/>
      <c r="D102" s="40"/>
      <c r="E102" s="41"/>
      <c r="F102" s="41"/>
      <c r="G102" s="42"/>
      <c r="H102" s="43"/>
      <c r="I102" s="44"/>
      <c r="J102" s="81"/>
      <c r="K102" s="81"/>
      <c r="L102" s="34"/>
      <c r="M102" s="34"/>
      <c r="N102" s="45"/>
      <c r="O102" s="46"/>
      <c r="P102" s="47"/>
      <c r="Q102" s="46"/>
      <c r="R102" s="500"/>
      <c r="S102" s="500"/>
      <c r="T102" s="36"/>
      <c r="U102" s="36"/>
      <c r="V102" s="36"/>
      <c r="W102" s="36"/>
      <c r="X102" s="37"/>
      <c r="Y102" s="210"/>
      <c r="Z102" s="36"/>
      <c r="AA102" s="36"/>
      <c r="AB102" s="36"/>
      <c r="AC102" s="36"/>
      <c r="AD102" s="36">
        <f>+AM102+BA102</f>
        <v>51</v>
      </c>
      <c r="AE102" s="229" t="s">
        <v>467</v>
      </c>
      <c r="AF102" s="32"/>
      <c r="AG102" s="32"/>
      <c r="AH102" s="32">
        <v>51</v>
      </c>
      <c r="AI102" s="32"/>
      <c r="AJ102" s="36"/>
      <c r="AK102" s="36"/>
      <c r="AL102" s="36"/>
      <c r="AM102" s="36">
        <f t="shared" si="172"/>
        <v>51</v>
      </c>
      <c r="AN102" s="36"/>
      <c r="AO102" s="36"/>
      <c r="AP102" s="36"/>
      <c r="AQ102" s="36"/>
      <c r="AR102" s="36">
        <f t="shared" si="173"/>
        <v>0</v>
      </c>
      <c r="AS102" s="36"/>
      <c r="AT102" s="36"/>
      <c r="AU102" s="36"/>
      <c r="AV102" s="36"/>
      <c r="AW102" s="36"/>
      <c r="AX102" s="36"/>
      <c r="AY102" s="36"/>
      <c r="AZ102" s="36"/>
      <c r="BA102" s="36">
        <f>+AR102+AS102+AU102+AW102+AY102+AZ102</f>
        <v>0</v>
      </c>
      <c r="BB102" s="32"/>
      <c r="BC102" s="503"/>
      <c r="BD102" s="503"/>
      <c r="BE102" s="32"/>
      <c r="BF102" s="503"/>
    </row>
    <row r="103" spans="1:58" ht="12.95" customHeight="1">
      <c r="A103" s="39"/>
      <c r="B103" s="40"/>
      <c r="C103" s="414"/>
      <c r="D103" s="40"/>
      <c r="E103" s="41"/>
      <c r="F103" s="41"/>
      <c r="G103" s="42"/>
      <c r="H103" s="43"/>
      <c r="I103" s="44"/>
      <c r="J103" s="81"/>
      <c r="K103" s="81"/>
      <c r="L103" s="34"/>
      <c r="M103" s="34"/>
      <c r="N103" s="45"/>
      <c r="O103" s="46"/>
      <c r="P103" s="47"/>
      <c r="Q103" s="46"/>
      <c r="R103" s="500"/>
      <c r="S103" s="500"/>
      <c r="T103" s="36"/>
      <c r="U103" s="36"/>
      <c r="V103" s="36"/>
      <c r="W103" s="36"/>
      <c r="X103" s="37"/>
      <c r="Y103" s="210"/>
      <c r="Z103" s="36"/>
      <c r="AA103" s="36"/>
      <c r="AB103" s="36"/>
      <c r="AC103" s="36"/>
      <c r="AD103" s="36">
        <f>+AM103+BA103</f>
        <v>0</v>
      </c>
      <c r="AE103" s="232" t="s">
        <v>378</v>
      </c>
      <c r="AF103" s="32"/>
      <c r="AG103" s="32"/>
      <c r="AH103" s="32"/>
      <c r="AI103" s="32"/>
      <c r="AJ103" s="36"/>
      <c r="AK103" s="36"/>
      <c r="AL103" s="36"/>
      <c r="AM103" s="36">
        <f t="shared" ref="AM103" si="174">SUM(AF103:AL103)+AT103+AV103+AX103</f>
        <v>0</v>
      </c>
      <c r="AN103" s="36"/>
      <c r="AO103" s="36"/>
      <c r="AP103" s="36"/>
      <c r="AQ103" s="36"/>
      <c r="AR103" s="36">
        <f t="shared" ref="AR103" si="175">SUM(AN103:AQ103)</f>
        <v>0</v>
      </c>
      <c r="AS103" s="36"/>
      <c r="AT103" s="36"/>
      <c r="AU103" s="36"/>
      <c r="AV103" s="36"/>
      <c r="AW103" s="36"/>
      <c r="AX103" s="36"/>
      <c r="AY103" s="36"/>
      <c r="AZ103" s="36"/>
      <c r="BA103" s="36">
        <f>+AR103+AS103+AU103+AW103+AY103+AZ103</f>
        <v>0</v>
      </c>
      <c r="BB103" s="32"/>
      <c r="BC103" s="503"/>
      <c r="BD103" s="503"/>
      <c r="BE103" s="32"/>
      <c r="BF103" s="503"/>
    </row>
    <row r="104" spans="1:58" ht="12.75" customHeight="1">
      <c r="A104" s="39"/>
      <c r="B104" s="40"/>
      <c r="C104" s="414"/>
      <c r="D104" s="40"/>
      <c r="E104" s="41"/>
      <c r="F104" s="41"/>
      <c r="G104" s="499"/>
      <c r="H104" s="43"/>
      <c r="I104" s="44"/>
      <c r="J104" s="81"/>
      <c r="K104" s="81"/>
      <c r="L104" s="34"/>
      <c r="M104" s="34"/>
      <c r="N104" s="45"/>
      <c r="O104" s="46"/>
      <c r="P104" s="47"/>
      <c r="Q104" s="46"/>
      <c r="R104" s="500"/>
      <c r="S104" s="500"/>
      <c r="T104" s="36"/>
      <c r="U104" s="36"/>
      <c r="V104" s="36"/>
      <c r="W104" s="36"/>
      <c r="X104" s="501"/>
      <c r="Y104" s="210"/>
      <c r="Z104" s="36"/>
      <c r="AA104" s="48"/>
      <c r="AB104" s="48"/>
      <c r="AC104" s="36"/>
      <c r="AD104" s="36"/>
      <c r="AE104" s="229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2"/>
      <c r="BC104" s="50"/>
      <c r="BD104" s="50"/>
      <c r="BE104" s="50"/>
      <c r="BF104" s="50"/>
    </row>
    <row r="105" spans="1:58" ht="12.75" customHeight="1">
      <c r="A105" s="39">
        <v>46132</v>
      </c>
      <c r="B105" s="40" t="s">
        <v>513</v>
      </c>
      <c r="C105" s="414">
        <f t="shared" ref="C105:C107" si="176">(M105*E105*O105*Q105)/100000000</f>
        <v>2.4200467200000002</v>
      </c>
      <c r="D105" s="40" t="s">
        <v>302</v>
      </c>
      <c r="E105" s="41">
        <v>13.5</v>
      </c>
      <c r="F105" s="41">
        <v>1</v>
      </c>
      <c r="G105" s="499">
        <v>1230</v>
      </c>
      <c r="H105" s="43">
        <f>+N105</f>
        <v>0.21999999999999997</v>
      </c>
      <c r="I105" s="44">
        <v>0.88</v>
      </c>
      <c r="J105" s="81">
        <f t="shared" ref="J105:J107" si="177">E105*G105*(1-H105)*1440/1000000*2.74</f>
        <v>51.10301664</v>
      </c>
      <c r="K105" s="81">
        <f t="shared" ref="K105:K107" si="178">(IF(G105&lt;L105,L105,G105)*(1-IF(H105&lt;N105,H105,N105))*E105*O105*Q105)/100000000</f>
        <v>2.6577298800000002</v>
      </c>
      <c r="L105" s="34">
        <v>1120</v>
      </c>
      <c r="M105" s="34">
        <v>873.6</v>
      </c>
      <c r="N105" s="45">
        <f t="shared" ref="N105:N107" si="179">1-(M105/L105)</f>
        <v>0.21999999999999997</v>
      </c>
      <c r="O105" s="46">
        <f>+'Trim Rwd'!H58</f>
        <v>256.5</v>
      </c>
      <c r="P105" s="47">
        <f t="shared" ref="P105:P107" si="180">O105*(Q105-R105-S105)</f>
        <v>19237.5</v>
      </c>
      <c r="Q105" s="46">
        <v>80</v>
      </c>
      <c r="R105" s="500">
        <v>0</v>
      </c>
      <c r="S105" s="500">
        <v>5</v>
      </c>
      <c r="T105" s="36">
        <f t="shared" ref="T105:T107" si="181">E105*M105*O105*Q105/100000000</f>
        <v>2.4200467200000002</v>
      </c>
      <c r="U105" s="36">
        <f t="shared" ref="U105:U107" si="182">E105*M105*O105*(Q105-R105-S105)/100000000</f>
        <v>2.2687938000000001</v>
      </c>
      <c r="V105" s="36">
        <f t="shared" ref="V105:V107" si="183">E105*G105*(1-N105)*O105/100*(R105+S105)/1000000</f>
        <v>0.16610811749999999</v>
      </c>
      <c r="W105" s="36">
        <f>+'20'!K17/1000</f>
        <v>5.7460000000000004</v>
      </c>
      <c r="X105" s="501">
        <f>SUM(W105:W109)/SUM(K105:K109)</f>
        <v>0.89882204575769642</v>
      </c>
      <c r="Y105" s="210">
        <v>0</v>
      </c>
      <c r="Z105" s="36">
        <v>0</v>
      </c>
      <c r="AA105" s="48">
        <f>SUM(U105:U109)-SUM(W105:W109)-SUM(Z105:Z109)-SUM(Y105:Y109)</f>
        <v>1.9953842204651151</v>
      </c>
      <c r="AB105" s="48">
        <f>(SUM(K105:K109)-SUM(W105:W109)-SUM(Y105:Y109)-SUM(Z105:Z109)-SUM(AC105:AC109)-SUM(V105:V109))-AA105</f>
        <v>-1.4855197499998862E-2</v>
      </c>
      <c r="AC105" s="36">
        <f>K105-T105</f>
        <v>0.23768316</v>
      </c>
      <c r="AD105" s="36">
        <f>+AM105+BA105</f>
        <v>12</v>
      </c>
      <c r="AE105" s="229" t="s">
        <v>415</v>
      </c>
      <c r="AF105" s="36">
        <v>12</v>
      </c>
      <c r="AG105" s="36"/>
      <c r="AH105" s="36"/>
      <c r="AI105" s="36"/>
      <c r="AJ105" s="36"/>
      <c r="AK105" s="36"/>
      <c r="AL105" s="36"/>
      <c r="AM105" s="36">
        <f t="shared" ref="AM105:AM107" si="184">SUM(AF105:AL105)+AT105+AV105+AX105</f>
        <v>12</v>
      </c>
      <c r="AN105" s="36"/>
      <c r="AO105" s="36"/>
      <c r="AP105" s="36"/>
      <c r="AQ105" s="36"/>
      <c r="AR105" s="36">
        <f>SUM(AN105:AQ105)</f>
        <v>0</v>
      </c>
      <c r="AS105" s="36"/>
      <c r="AT105" s="36"/>
      <c r="AU105" s="36"/>
      <c r="AV105" s="36"/>
      <c r="AW105" s="36"/>
      <c r="AX105" s="36"/>
      <c r="AY105" s="36"/>
      <c r="AZ105" s="36"/>
      <c r="BA105" s="36">
        <f>+AR105+AS105+AU105+AW105+AY105+AZ105</f>
        <v>0</v>
      </c>
      <c r="BB105" s="32">
        <v>6</v>
      </c>
      <c r="BC105" s="50"/>
      <c r="BD105" s="50"/>
      <c r="BE105" s="32"/>
      <c r="BF105" s="50"/>
    </row>
    <row r="106" spans="1:58" ht="12.95" customHeight="1">
      <c r="A106" s="39"/>
      <c r="B106" s="40" t="s">
        <v>7</v>
      </c>
      <c r="C106" s="414">
        <f t="shared" si="176"/>
        <v>3.2523659999999999</v>
      </c>
      <c r="D106" s="40" t="s">
        <v>302</v>
      </c>
      <c r="E106" s="41">
        <v>12</v>
      </c>
      <c r="F106" s="41">
        <v>1</v>
      </c>
      <c r="G106" s="499">
        <v>1230</v>
      </c>
      <c r="H106" s="43">
        <f>+N106</f>
        <v>0.25</v>
      </c>
      <c r="I106" s="44">
        <v>0.88</v>
      </c>
      <c r="J106" s="81">
        <f t="shared" si="177"/>
        <v>43.677792000000004</v>
      </c>
      <c r="K106" s="81">
        <f t="shared" si="178"/>
        <v>3.2523659999999999</v>
      </c>
      <c r="L106" s="34">
        <v>1230</v>
      </c>
      <c r="M106" s="34">
        <v>922.5</v>
      </c>
      <c r="N106" s="45">
        <f t="shared" si="179"/>
        <v>0.25</v>
      </c>
      <c r="O106" s="46">
        <f>+'Trim Rwd'!H57</f>
        <v>260</v>
      </c>
      <c r="P106" s="47">
        <f t="shared" si="180"/>
        <v>26780</v>
      </c>
      <c r="Q106" s="46">
        <v>113</v>
      </c>
      <c r="R106" s="500">
        <v>0</v>
      </c>
      <c r="S106" s="500">
        <v>10</v>
      </c>
      <c r="T106" s="36">
        <f t="shared" si="181"/>
        <v>3.2523659999999999</v>
      </c>
      <c r="U106" s="36">
        <f t="shared" si="182"/>
        <v>2.9645459999999999</v>
      </c>
      <c r="V106" s="36">
        <f t="shared" si="183"/>
        <v>0.28782000000000002</v>
      </c>
      <c r="W106" s="36">
        <f>+'20'!K10/1000</f>
        <v>2.6760000000000002</v>
      </c>
      <c r="X106" s="37"/>
      <c r="Y106" s="210"/>
      <c r="Z106" s="36"/>
      <c r="AA106" s="36"/>
      <c r="AB106" s="36"/>
      <c r="AC106" s="36">
        <f>K106-T106</f>
        <v>0</v>
      </c>
      <c r="AD106" s="36">
        <f>+AM106+BA106</f>
        <v>0</v>
      </c>
      <c r="AE106" s="229" t="s">
        <v>412</v>
      </c>
      <c r="AF106" s="36"/>
      <c r="AG106" s="36">
        <v>0</v>
      </c>
      <c r="AH106" s="36"/>
      <c r="AI106" s="36"/>
      <c r="AJ106" s="36"/>
      <c r="AK106" s="36"/>
      <c r="AL106" s="36"/>
      <c r="AM106" s="36">
        <f t="shared" si="184"/>
        <v>0</v>
      </c>
      <c r="AN106" s="82"/>
      <c r="AO106" s="36"/>
      <c r="AP106" s="36"/>
      <c r="AQ106" s="36"/>
      <c r="AR106" s="36">
        <f t="shared" ref="AR106:AR107" si="185">SUM(AN106:AQ106)</f>
        <v>0</v>
      </c>
      <c r="AS106" s="36"/>
      <c r="AT106" s="36"/>
      <c r="AU106" s="36"/>
      <c r="AV106" s="36"/>
      <c r="AW106" s="36"/>
      <c r="AX106" s="36"/>
      <c r="AY106" s="36"/>
      <c r="AZ106" s="36"/>
      <c r="BA106" s="36">
        <f>+AR106+AS106+AU106+AW106+AY106+AZ106</f>
        <v>0</v>
      </c>
      <c r="BB106" s="49"/>
      <c r="BC106" s="50">
        <v>0</v>
      </c>
      <c r="BD106" s="50"/>
      <c r="BE106" s="49"/>
      <c r="BF106" s="50"/>
    </row>
    <row r="107" spans="1:58" ht="12.95" customHeight="1">
      <c r="A107" s="39"/>
      <c r="B107" s="40" t="s">
        <v>7</v>
      </c>
      <c r="C107" s="414">
        <f t="shared" si="176"/>
        <v>39.750777919999997</v>
      </c>
      <c r="D107" s="40" t="s">
        <v>302</v>
      </c>
      <c r="E107" s="41">
        <v>14.5</v>
      </c>
      <c r="F107" s="41">
        <v>1</v>
      </c>
      <c r="G107" s="499">
        <f>+L107</f>
        <v>1146.776263031275</v>
      </c>
      <c r="H107" s="43">
        <f>+N107</f>
        <v>0.2511539967692985</v>
      </c>
      <c r="I107" s="44">
        <v>0.88</v>
      </c>
      <c r="J107" s="81">
        <f t="shared" si="177"/>
        <v>49.130622669767448</v>
      </c>
      <c r="K107" s="81">
        <f t="shared" si="178"/>
        <v>39.750777919999997</v>
      </c>
      <c r="L107" s="34">
        <v>1146.776263031275</v>
      </c>
      <c r="M107" s="34">
        <v>858.75882117080994</v>
      </c>
      <c r="N107" s="45">
        <f t="shared" si="179"/>
        <v>0.2511539967692985</v>
      </c>
      <c r="O107" s="46">
        <f>+'Trim Rwd'!H56</f>
        <v>256</v>
      </c>
      <c r="P107" s="47">
        <f t="shared" si="180"/>
        <v>306176</v>
      </c>
      <c r="Q107" s="46">
        <v>1247</v>
      </c>
      <c r="R107" s="500">
        <v>0</v>
      </c>
      <c r="S107" s="500">
        <f>66-S105-S106</f>
        <v>51</v>
      </c>
      <c r="T107" s="36">
        <f t="shared" si="181"/>
        <v>39.750777919999997</v>
      </c>
      <c r="U107" s="36">
        <f t="shared" si="182"/>
        <v>38.125044420465116</v>
      </c>
      <c r="V107" s="36">
        <f t="shared" si="183"/>
        <v>1.6257334995348838</v>
      </c>
      <c r="W107" s="36">
        <f>+'20'!K18/1000</f>
        <v>32.619</v>
      </c>
      <c r="X107" s="37"/>
      <c r="Y107" s="210"/>
      <c r="Z107" s="36">
        <f>+'20'!D9/1000</f>
        <v>0.32200000000000001</v>
      </c>
      <c r="AA107" s="36"/>
      <c r="AB107" s="36"/>
      <c r="AC107" s="36">
        <f>K107-T107</f>
        <v>0</v>
      </c>
      <c r="AD107" s="36">
        <f>+AM107+BA107</f>
        <v>54</v>
      </c>
      <c r="AE107" s="229" t="s">
        <v>429</v>
      </c>
      <c r="AF107" s="32"/>
      <c r="AG107" s="32"/>
      <c r="AH107" s="32">
        <v>54</v>
      </c>
      <c r="AI107" s="32"/>
      <c r="AJ107" s="36"/>
      <c r="AK107" s="36"/>
      <c r="AL107" s="36"/>
      <c r="AM107" s="36">
        <f t="shared" si="184"/>
        <v>54</v>
      </c>
      <c r="AN107" s="36"/>
      <c r="AO107" s="36"/>
      <c r="AP107" s="36"/>
      <c r="AQ107" s="36"/>
      <c r="AR107" s="36">
        <f t="shared" si="185"/>
        <v>0</v>
      </c>
      <c r="AS107" s="36"/>
      <c r="AT107" s="36"/>
      <c r="AU107" s="36"/>
      <c r="AV107" s="36"/>
      <c r="AW107" s="36"/>
      <c r="AX107" s="36"/>
      <c r="AY107" s="36"/>
      <c r="AZ107" s="36"/>
      <c r="BA107" s="36">
        <f>+AR107+AS107+AU107+AW107+AY107+AZ107</f>
        <v>0</v>
      </c>
      <c r="BB107" s="32"/>
      <c r="BC107" s="503"/>
      <c r="BD107" s="503"/>
      <c r="BE107" s="32"/>
      <c r="BF107" s="503"/>
    </row>
    <row r="108" spans="1:58" ht="12.95" customHeight="1">
      <c r="A108" s="39"/>
      <c r="B108" s="40"/>
      <c r="C108" s="414"/>
      <c r="D108" s="40"/>
      <c r="E108" s="41"/>
      <c r="F108" s="41"/>
      <c r="G108" s="42"/>
      <c r="H108" s="43"/>
      <c r="I108" s="44"/>
      <c r="J108" s="81"/>
      <c r="K108" s="81"/>
      <c r="L108" s="34"/>
      <c r="M108" s="34"/>
      <c r="N108" s="45"/>
      <c r="O108" s="46"/>
      <c r="P108" s="47"/>
      <c r="Q108" s="46"/>
      <c r="R108" s="500"/>
      <c r="S108" s="500"/>
      <c r="T108" s="36"/>
      <c r="U108" s="36"/>
      <c r="V108" s="36"/>
      <c r="W108" s="36"/>
      <c r="X108" s="37"/>
      <c r="Y108" s="210"/>
      <c r="Z108" s="36"/>
      <c r="AA108" s="36"/>
      <c r="AB108" s="36"/>
      <c r="AC108" s="36"/>
      <c r="AD108" s="36">
        <f>+AM108+BA108</f>
        <v>0</v>
      </c>
      <c r="AE108" s="232" t="s">
        <v>378</v>
      </c>
      <c r="AF108" s="32"/>
      <c r="AG108" s="32"/>
      <c r="AH108" s="32"/>
      <c r="AI108" s="32"/>
      <c r="AJ108" s="36"/>
      <c r="AK108" s="36"/>
      <c r="AL108" s="36"/>
      <c r="AM108" s="36">
        <f t="shared" ref="AM108" si="186">SUM(AF108:AL108)+AT108+AV108+AX108</f>
        <v>0</v>
      </c>
      <c r="AN108" s="36"/>
      <c r="AO108" s="36"/>
      <c r="AP108" s="36"/>
      <c r="AQ108" s="36"/>
      <c r="AR108" s="36">
        <f t="shared" ref="AR108" si="187">SUM(AN108:AQ108)</f>
        <v>0</v>
      </c>
      <c r="AS108" s="36"/>
      <c r="AT108" s="36"/>
      <c r="AU108" s="36"/>
      <c r="AV108" s="36"/>
      <c r="AW108" s="36"/>
      <c r="AX108" s="36"/>
      <c r="AY108" s="36"/>
      <c r="AZ108" s="36"/>
      <c r="BA108" s="36">
        <f>+AR108+AS108+AU108+AW108+AY108+AZ108</f>
        <v>0</v>
      </c>
      <c r="BB108" s="32"/>
      <c r="BC108" s="503"/>
      <c r="BD108" s="503"/>
      <c r="BE108" s="32"/>
      <c r="BF108" s="503"/>
    </row>
    <row r="109" spans="1:58" ht="16.5" customHeight="1">
      <c r="A109" s="39"/>
      <c r="B109" s="40"/>
      <c r="C109" s="414"/>
      <c r="D109" s="40"/>
      <c r="E109" s="41"/>
      <c r="F109" s="41"/>
      <c r="G109" s="499"/>
      <c r="H109" s="43"/>
      <c r="I109" s="44"/>
      <c r="J109" s="81"/>
      <c r="K109" s="81"/>
      <c r="L109" s="34"/>
      <c r="M109" s="34"/>
      <c r="N109" s="45"/>
      <c r="O109" s="46"/>
      <c r="P109" s="47"/>
      <c r="Q109" s="46"/>
      <c r="R109" s="500"/>
      <c r="S109" s="500"/>
      <c r="T109" s="36"/>
      <c r="U109" s="36"/>
      <c r="V109" s="36"/>
      <c r="W109" s="36"/>
      <c r="X109" s="501"/>
      <c r="Y109" s="210"/>
      <c r="Z109" s="36"/>
      <c r="AA109" s="48"/>
      <c r="AB109" s="48"/>
      <c r="AC109" s="36"/>
      <c r="AD109" s="36"/>
      <c r="AE109" s="229"/>
      <c r="AF109" s="36"/>
      <c r="AG109" s="36"/>
      <c r="AH109" s="36"/>
      <c r="AI109" s="502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2"/>
      <c r="BC109" s="50"/>
      <c r="BD109" s="50"/>
      <c r="BE109" s="50"/>
      <c r="BF109" s="50"/>
    </row>
    <row r="110" spans="1:58" ht="12.75" customHeight="1">
      <c r="A110" s="39">
        <v>46133</v>
      </c>
      <c r="B110" s="40" t="s">
        <v>7</v>
      </c>
      <c r="C110" s="414">
        <f t="shared" ref="C110" si="188">(M110*E110*O110*Q110)/100000000</f>
        <v>45.791406000000002</v>
      </c>
      <c r="D110" s="40" t="s">
        <v>302</v>
      </c>
      <c r="E110" s="41">
        <v>14.5</v>
      </c>
      <c r="F110" s="41">
        <v>1</v>
      </c>
      <c r="G110" s="499">
        <f>+L110</f>
        <v>1140</v>
      </c>
      <c r="H110" s="43">
        <f>+N110</f>
        <v>0.25</v>
      </c>
      <c r="I110" s="44">
        <v>0.88</v>
      </c>
      <c r="J110" s="81">
        <f t="shared" ref="J110" si="189">E110*G110*(1-H110)*1440/1000000*2.74</f>
        <v>48.915576000000001</v>
      </c>
      <c r="K110" s="81">
        <f t="shared" ref="K110" si="190">(IF(G110&lt;L110,L110,G110)*(1-IF(H110&lt;N110,H110,N110))*E110*O110*Q110)/100000000</f>
        <v>45.791406000000002</v>
      </c>
      <c r="L110" s="34">
        <v>1140</v>
      </c>
      <c r="M110" s="34">
        <v>855</v>
      </c>
      <c r="N110" s="45">
        <f t="shared" ref="N110" si="191">1-(M110/L110)</f>
        <v>0.25</v>
      </c>
      <c r="O110" s="46">
        <f>+'Trim Rwd'!H60</f>
        <v>256.5</v>
      </c>
      <c r="P110" s="47">
        <f t="shared" ref="P110" si="192">O110*(Q110-R110-S110)</f>
        <v>355765.5</v>
      </c>
      <c r="Q110" s="46">
        <v>1440</v>
      </c>
      <c r="R110" s="500">
        <v>0</v>
      </c>
      <c r="S110" s="500">
        <v>53</v>
      </c>
      <c r="T110" s="36">
        <f t="shared" ref="T110" si="193">E110*M110*O110*Q110/100000000</f>
        <v>45.791406000000002</v>
      </c>
      <c r="U110" s="36">
        <f t="shared" ref="U110" si="194">E110*M110*O110*(Q110-R110-S110)/100000000</f>
        <v>44.1060278625</v>
      </c>
      <c r="V110" s="36">
        <f t="shared" ref="V110" si="195">E110*G110*(1-N110)*O110/100*(R110+S110)/1000000</f>
        <v>1.6853781375000001</v>
      </c>
      <c r="W110" s="36">
        <f>+'21'!K18/1000</f>
        <v>43.082999999999998</v>
      </c>
      <c r="X110" s="501">
        <f>SUM(W110:W114)/SUM(K110:K114)</f>
        <v>0.9408533994348196</v>
      </c>
      <c r="Y110" s="210">
        <v>0</v>
      </c>
      <c r="Z110" s="36">
        <f>+'21'!D16/1000</f>
        <v>0.32200000000000001</v>
      </c>
      <c r="AA110" s="48">
        <f>SUM(U110:U114)-SUM(W110:W114)-SUM(Z110:Z114)-SUM(Y110:Y114)</f>
        <v>0.70102786250000104</v>
      </c>
      <c r="AB110" s="48">
        <f>(SUM(K110:K114)-SUM(W110:W114)-SUM(Y110:Y114)-SUM(Z110:Z114)-SUM(AC110:AC114)-SUM(V110:V114))-AA110</f>
        <v>2.4424906541753444E-15</v>
      </c>
      <c r="AC110" s="36">
        <f>K110-T110</f>
        <v>0</v>
      </c>
      <c r="AD110" s="36">
        <f>+AM110+BA110</f>
        <v>4</v>
      </c>
      <c r="AE110" s="229" t="s">
        <v>400</v>
      </c>
      <c r="AF110" s="36">
        <v>4</v>
      </c>
      <c r="AG110" s="36"/>
      <c r="AH110" s="36"/>
      <c r="AI110" s="36"/>
      <c r="AJ110" s="36"/>
      <c r="AK110" s="36"/>
      <c r="AL110" s="36"/>
      <c r="AM110" s="36">
        <f t="shared" ref="AM110:AM112" si="196">SUM(AF110:AL110)+AT110+AV110+AX110</f>
        <v>4</v>
      </c>
      <c r="AN110" s="36"/>
      <c r="AO110" s="36"/>
      <c r="AP110" s="36"/>
      <c r="AQ110" s="36"/>
      <c r="AR110" s="36">
        <f>SUM(AN110:AQ110)</f>
        <v>0</v>
      </c>
      <c r="AS110" s="36"/>
      <c r="AT110" s="36"/>
      <c r="AU110" s="36"/>
      <c r="AV110" s="36"/>
      <c r="AW110" s="36"/>
      <c r="AX110" s="36"/>
      <c r="AY110" s="36"/>
      <c r="AZ110" s="36"/>
      <c r="BA110" s="36">
        <f>+AR110+AS110+AU110+AW110+AY110+AZ110</f>
        <v>0</v>
      </c>
      <c r="BB110" s="32">
        <v>2</v>
      </c>
      <c r="BC110" s="50"/>
      <c r="BD110" s="50"/>
      <c r="BE110" s="32"/>
      <c r="BF110" s="50"/>
    </row>
    <row r="111" spans="1:58" ht="12.95" customHeight="1">
      <c r="A111" s="39"/>
      <c r="B111" s="40"/>
      <c r="C111" s="414"/>
      <c r="D111" s="40"/>
      <c r="E111" s="41"/>
      <c r="F111" s="41"/>
      <c r="G111" s="499"/>
      <c r="H111" s="43"/>
      <c r="I111" s="44"/>
      <c r="J111" s="81"/>
      <c r="K111" s="81"/>
      <c r="L111" s="34"/>
      <c r="M111" s="34"/>
      <c r="N111" s="45"/>
      <c r="O111" s="46"/>
      <c r="P111" s="47"/>
      <c r="Q111" s="46"/>
      <c r="R111" s="500"/>
      <c r="S111" s="500"/>
      <c r="T111" s="36"/>
      <c r="U111" s="36"/>
      <c r="V111" s="36"/>
      <c r="W111" s="36"/>
      <c r="X111" s="37"/>
      <c r="Y111" s="210"/>
      <c r="Z111" s="36">
        <v>0</v>
      </c>
      <c r="AA111" s="36"/>
      <c r="AB111" s="36"/>
      <c r="AC111" s="36">
        <f>K111-T111</f>
        <v>0</v>
      </c>
      <c r="AD111" s="36">
        <f>+AM111+BA111</f>
        <v>0</v>
      </c>
      <c r="AE111" s="229" t="s">
        <v>412</v>
      </c>
      <c r="AF111" s="36"/>
      <c r="AG111" s="36">
        <v>0</v>
      </c>
      <c r="AH111" s="36"/>
      <c r="AI111" s="36"/>
      <c r="AJ111" s="36"/>
      <c r="AK111" s="36"/>
      <c r="AL111" s="36"/>
      <c r="AM111" s="36">
        <f t="shared" si="196"/>
        <v>0</v>
      </c>
      <c r="AN111" s="82"/>
      <c r="AO111" s="36"/>
      <c r="AP111" s="36"/>
      <c r="AQ111" s="36"/>
      <c r="AR111" s="36">
        <f t="shared" ref="AR111:AR112" si="197"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>
        <f>+AR111+AS111+AU111+AW111+AY111+AZ111</f>
        <v>0</v>
      </c>
      <c r="BB111" s="49"/>
      <c r="BC111" s="50">
        <v>0</v>
      </c>
      <c r="BD111" s="50"/>
      <c r="BE111" s="49"/>
      <c r="BF111" s="50"/>
    </row>
    <row r="112" spans="1:58" ht="12.95" customHeight="1">
      <c r="A112" s="39"/>
      <c r="B112" s="40"/>
      <c r="C112" s="414"/>
      <c r="D112" s="40"/>
      <c r="E112" s="41"/>
      <c r="F112" s="41"/>
      <c r="G112" s="499"/>
      <c r="H112" s="43"/>
      <c r="I112" s="44"/>
      <c r="J112" s="81"/>
      <c r="K112" s="81"/>
      <c r="L112" s="34"/>
      <c r="M112" s="34"/>
      <c r="N112" s="45"/>
      <c r="O112" s="46"/>
      <c r="P112" s="47"/>
      <c r="Q112" s="46"/>
      <c r="R112" s="500"/>
      <c r="S112" s="500"/>
      <c r="T112" s="36"/>
      <c r="U112" s="36"/>
      <c r="V112" s="36"/>
      <c r="W112" s="36"/>
      <c r="X112" s="37"/>
      <c r="Y112" s="210"/>
      <c r="Z112" s="36">
        <v>0</v>
      </c>
      <c r="AA112" s="36"/>
      <c r="AB112" s="36"/>
      <c r="AC112" s="36">
        <f>K112-T112</f>
        <v>0</v>
      </c>
      <c r="AD112" s="36">
        <f>+AM112+BA112</f>
        <v>49</v>
      </c>
      <c r="AE112" s="229" t="s">
        <v>680</v>
      </c>
      <c r="AF112" s="32"/>
      <c r="AG112" s="32"/>
      <c r="AH112" s="32">
        <v>49</v>
      </c>
      <c r="AI112" s="32"/>
      <c r="AJ112" s="36"/>
      <c r="AK112" s="36"/>
      <c r="AL112" s="36"/>
      <c r="AM112" s="36">
        <f t="shared" si="196"/>
        <v>49</v>
      </c>
      <c r="AN112" s="36"/>
      <c r="AO112" s="36"/>
      <c r="AP112" s="36"/>
      <c r="AQ112" s="36"/>
      <c r="AR112" s="36">
        <f t="shared" si="197"/>
        <v>0</v>
      </c>
      <c r="AS112" s="36"/>
      <c r="AT112" s="36"/>
      <c r="AU112" s="36"/>
      <c r="AV112" s="36"/>
      <c r="AW112" s="36"/>
      <c r="AX112" s="36"/>
      <c r="AY112" s="36"/>
      <c r="AZ112" s="36"/>
      <c r="BA112" s="36">
        <f>+AR112+AS112+AU112+AW112+AY112+AZ112</f>
        <v>0</v>
      </c>
      <c r="BB112" s="32"/>
      <c r="BC112" s="503"/>
      <c r="BD112" s="503"/>
      <c r="BE112" s="32"/>
      <c r="BF112" s="503"/>
    </row>
    <row r="113" spans="1:58" ht="12.95" customHeight="1">
      <c r="A113" s="39"/>
      <c r="B113" s="40"/>
      <c r="C113" s="414"/>
      <c r="D113" s="40"/>
      <c r="E113" s="41"/>
      <c r="F113" s="41"/>
      <c r="G113" s="42"/>
      <c r="H113" s="43"/>
      <c r="I113" s="44"/>
      <c r="J113" s="81"/>
      <c r="K113" s="81"/>
      <c r="L113" s="34"/>
      <c r="M113" s="34"/>
      <c r="N113" s="45"/>
      <c r="O113" s="46"/>
      <c r="P113" s="47"/>
      <c r="Q113" s="46"/>
      <c r="R113" s="500"/>
      <c r="S113" s="500"/>
      <c r="T113" s="36"/>
      <c r="U113" s="36"/>
      <c r="V113" s="36"/>
      <c r="W113" s="36"/>
      <c r="X113" s="37"/>
      <c r="Y113" s="210"/>
      <c r="Z113" s="36"/>
      <c r="AA113" s="36"/>
      <c r="AB113" s="36"/>
      <c r="AC113" s="36"/>
      <c r="AD113" s="36">
        <f>+AM113+BA113</f>
        <v>0</v>
      </c>
      <c r="AE113" s="232" t="s">
        <v>378</v>
      </c>
      <c r="AF113" s="32"/>
      <c r="AG113" s="32"/>
      <c r="AH113" s="32"/>
      <c r="AI113" s="32"/>
      <c r="AJ113" s="36"/>
      <c r="AK113" s="36"/>
      <c r="AL113" s="36"/>
      <c r="AM113" s="36">
        <f t="shared" ref="AM113" si="198">SUM(AF113:AL113)+AT113+AV113+AX113</f>
        <v>0</v>
      </c>
      <c r="AN113" s="36"/>
      <c r="AO113" s="36"/>
      <c r="AP113" s="36"/>
      <c r="AQ113" s="36"/>
      <c r="AR113" s="36">
        <f t="shared" ref="AR113" si="199">SUM(AN113:AQ113)</f>
        <v>0</v>
      </c>
      <c r="AS113" s="36"/>
      <c r="AT113" s="36"/>
      <c r="AU113" s="36"/>
      <c r="AV113" s="36"/>
      <c r="AW113" s="36"/>
      <c r="AX113" s="36"/>
      <c r="AY113" s="36"/>
      <c r="AZ113" s="36"/>
      <c r="BA113" s="36">
        <f>+AR113+AS113+AU113+AW113+AY113+AZ113</f>
        <v>0</v>
      </c>
      <c r="BB113" s="32"/>
      <c r="BC113" s="503"/>
      <c r="BD113" s="503"/>
      <c r="BE113" s="32"/>
      <c r="BF113" s="503"/>
    </row>
    <row r="114" spans="1:58" ht="16.5" customHeight="1">
      <c r="A114" s="39"/>
      <c r="B114" s="40"/>
      <c r="C114" s="414"/>
      <c r="D114" s="40"/>
      <c r="E114" s="41"/>
      <c r="F114" s="41"/>
      <c r="G114" s="499"/>
      <c r="H114" s="43"/>
      <c r="I114" s="44"/>
      <c r="J114" s="81"/>
      <c r="K114" s="81"/>
      <c r="L114" s="34"/>
      <c r="M114" s="34"/>
      <c r="N114" s="45"/>
      <c r="O114" s="46"/>
      <c r="P114" s="47"/>
      <c r="Q114" s="46"/>
      <c r="R114" s="500"/>
      <c r="S114" s="500"/>
      <c r="T114" s="36"/>
      <c r="U114" s="36"/>
      <c r="V114" s="36"/>
      <c r="W114" s="36"/>
      <c r="X114" s="501"/>
      <c r="Y114" s="210"/>
      <c r="Z114" s="36"/>
      <c r="AA114" s="48"/>
      <c r="AB114" s="48"/>
      <c r="AC114" s="36"/>
      <c r="AD114" s="36"/>
      <c r="AE114" s="229"/>
      <c r="AF114" s="36"/>
      <c r="AG114" s="36"/>
      <c r="AH114" s="36"/>
      <c r="AI114" s="502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2"/>
      <c r="BC114" s="50"/>
      <c r="BD114" s="50"/>
      <c r="BE114" s="50"/>
      <c r="BF114" s="50"/>
    </row>
    <row r="115" spans="1:58" ht="12.75" customHeight="1">
      <c r="A115" s="39">
        <v>46134</v>
      </c>
      <c r="B115" s="40" t="s">
        <v>7</v>
      </c>
      <c r="C115" s="414">
        <f t="shared" ref="C115" si="200">(M115*E115*O115*Q115)/100000000</f>
        <v>45.925299000000003</v>
      </c>
      <c r="D115" s="40" t="s">
        <v>302</v>
      </c>
      <c r="E115" s="41">
        <v>14.5</v>
      </c>
      <c r="F115" s="41">
        <v>1</v>
      </c>
      <c r="G115" s="499">
        <f>+L115</f>
        <v>1143.3333333333333</v>
      </c>
      <c r="H115" s="43">
        <f>+N115</f>
        <v>0.25</v>
      </c>
      <c r="I115" s="44">
        <v>0.88</v>
      </c>
      <c r="J115" s="81">
        <f t="shared" ref="J115" si="201">E115*G115*(1-H115)*1440/1000000*2.74</f>
        <v>49.058604000000003</v>
      </c>
      <c r="K115" s="81">
        <f t="shared" ref="K115" si="202">(IF(G115&lt;L115,L115,G115)*(1-IF(H115&lt;N115,H115,N115))*E115*O115*Q115)/100000000</f>
        <v>45.925299000000003</v>
      </c>
      <c r="L115" s="34">
        <v>1143.3333333333333</v>
      </c>
      <c r="M115" s="34">
        <v>857.5</v>
      </c>
      <c r="N115" s="45">
        <f t="shared" ref="N115" si="203">1-(M115/L115)</f>
        <v>0.25</v>
      </c>
      <c r="O115" s="46">
        <f>+'Trim Rwd'!H62</f>
        <v>256.5</v>
      </c>
      <c r="P115" s="47">
        <f t="shared" ref="P115" si="204">O115*(Q115-R115-S115)</f>
        <v>353200.5</v>
      </c>
      <c r="Q115" s="46">
        <v>1440</v>
      </c>
      <c r="R115" s="500">
        <v>0</v>
      </c>
      <c r="S115" s="500">
        <v>63</v>
      </c>
      <c r="T115" s="36">
        <f t="shared" ref="T115" si="205">E115*M115*O115*Q115/100000000</f>
        <v>45.925299000000003</v>
      </c>
      <c r="U115" s="36">
        <f t="shared" ref="U115" si="206">E115*M115*O115*(Q115-R115-S115)/100000000</f>
        <v>43.916067168749997</v>
      </c>
      <c r="V115" s="36">
        <f t="shared" ref="V115" si="207">E115*G115*(1-N115)*O115/100*(R115+S115)/1000000</f>
        <v>2.0092318312499997</v>
      </c>
      <c r="W115" s="36">
        <f>+'22'!K18/1000</f>
        <v>41.222000000000001</v>
      </c>
      <c r="X115" s="501">
        <f>SUM(W115:W119)/SUM(K115:K119)</f>
        <v>0.89758805925248297</v>
      </c>
      <c r="Y115" s="210">
        <v>0</v>
      </c>
      <c r="Z115" s="36">
        <f>+'22'!D16/1000</f>
        <v>0.33800000000000002</v>
      </c>
      <c r="AA115" s="48">
        <f>SUM(U115:U119)-SUM(W115:W119)-SUM(Z115:Z119)-SUM(Y115:Y119)</f>
        <v>2.3560671687499957</v>
      </c>
      <c r="AB115" s="48">
        <f>(SUM(K115:K119)-SUM(W115:W119)-SUM(Y115:Y119)-SUM(Z115:Z119)-SUM(AC115:AC119)-SUM(V115:V119))-AA115</f>
        <v>5.773159728050814E-15</v>
      </c>
      <c r="AC115" s="36">
        <f>K115-T115</f>
        <v>0</v>
      </c>
      <c r="AD115" s="36">
        <f>+AM115+BA115</f>
        <v>18</v>
      </c>
      <c r="AE115" s="229" t="s">
        <v>415</v>
      </c>
      <c r="AF115" s="36">
        <v>18</v>
      </c>
      <c r="AG115" s="36"/>
      <c r="AH115" s="36"/>
      <c r="AI115" s="36"/>
      <c r="AJ115" s="36"/>
      <c r="AK115" s="36"/>
      <c r="AL115" s="36"/>
      <c r="AM115" s="36">
        <f t="shared" ref="AM115:AM117" si="208">SUM(AF115:AL115)+AT115+AV115+AX115</f>
        <v>18</v>
      </c>
      <c r="AN115" s="36"/>
      <c r="AO115" s="36"/>
      <c r="AP115" s="36"/>
      <c r="AQ115" s="36"/>
      <c r="AR115" s="36">
        <f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>
        <f>+AR115+AS115+AU115+AW115+AY115+AZ115</f>
        <v>0</v>
      </c>
      <c r="BB115" s="32">
        <v>6</v>
      </c>
      <c r="BC115" s="50"/>
      <c r="BD115" s="50"/>
      <c r="BE115" s="32"/>
      <c r="BF115" s="50"/>
    </row>
    <row r="116" spans="1:58" ht="12.95" customHeight="1">
      <c r="A116" s="39"/>
      <c r="B116" s="40"/>
      <c r="C116" s="414"/>
      <c r="D116" s="40"/>
      <c r="E116" s="41"/>
      <c r="F116" s="41"/>
      <c r="G116" s="499"/>
      <c r="H116" s="43"/>
      <c r="I116" s="44"/>
      <c r="J116" s="81"/>
      <c r="K116" s="81"/>
      <c r="L116" s="34"/>
      <c r="M116" s="34"/>
      <c r="N116" s="45"/>
      <c r="O116" s="46"/>
      <c r="P116" s="47"/>
      <c r="Q116" s="46"/>
      <c r="R116" s="500"/>
      <c r="S116" s="500"/>
      <c r="T116" s="36"/>
      <c r="U116" s="36"/>
      <c r="V116" s="36"/>
      <c r="W116" s="36"/>
      <c r="X116" s="37"/>
      <c r="Y116" s="210"/>
      <c r="Z116" s="36">
        <v>0</v>
      </c>
      <c r="AA116" s="36"/>
      <c r="AB116" s="36"/>
      <c r="AC116" s="36">
        <f>K116-T116</f>
        <v>0</v>
      </c>
      <c r="AD116" s="36">
        <f>+AM116+BA116</f>
        <v>2</v>
      </c>
      <c r="AE116" s="229" t="s">
        <v>414</v>
      </c>
      <c r="AF116" s="36"/>
      <c r="AG116" s="36">
        <v>2</v>
      </c>
      <c r="AH116" s="36"/>
      <c r="AI116" s="36"/>
      <c r="AJ116" s="36"/>
      <c r="AK116" s="36"/>
      <c r="AL116" s="36"/>
      <c r="AM116" s="36">
        <f t="shared" si="208"/>
        <v>2</v>
      </c>
      <c r="AN116" s="82"/>
      <c r="AO116" s="36"/>
      <c r="AP116" s="36"/>
      <c r="AQ116" s="36"/>
      <c r="AR116" s="36">
        <f t="shared" ref="AR116:AR117" si="209">SUM(AN116:AQ116)</f>
        <v>0</v>
      </c>
      <c r="AS116" s="36"/>
      <c r="AT116" s="36"/>
      <c r="AU116" s="36"/>
      <c r="AV116" s="36"/>
      <c r="AW116" s="36"/>
      <c r="AX116" s="36"/>
      <c r="AY116" s="36"/>
      <c r="AZ116" s="36"/>
      <c r="BA116" s="36">
        <f>+AR116+AS116+AU116+AW116+AY116+AZ116</f>
        <v>0</v>
      </c>
      <c r="BB116" s="49"/>
      <c r="BC116" s="50">
        <v>1</v>
      </c>
      <c r="BD116" s="50"/>
      <c r="BE116" s="49"/>
      <c r="BF116" s="50"/>
    </row>
    <row r="117" spans="1:58" ht="12.95" customHeight="1">
      <c r="A117" s="39"/>
      <c r="B117" s="40"/>
      <c r="C117" s="414"/>
      <c r="D117" s="40"/>
      <c r="E117" s="41"/>
      <c r="F117" s="41"/>
      <c r="G117" s="499"/>
      <c r="H117" s="43"/>
      <c r="I117" s="44"/>
      <c r="J117" s="81"/>
      <c r="K117" s="81"/>
      <c r="L117" s="34"/>
      <c r="M117" s="34"/>
      <c r="N117" s="45"/>
      <c r="O117" s="46"/>
      <c r="P117" s="47"/>
      <c r="Q117" s="46"/>
      <c r="R117" s="500"/>
      <c r="S117" s="500"/>
      <c r="T117" s="36"/>
      <c r="U117" s="36"/>
      <c r="V117" s="36"/>
      <c r="W117" s="36"/>
      <c r="X117" s="37"/>
      <c r="Y117" s="210"/>
      <c r="Z117" s="36">
        <v>0</v>
      </c>
      <c r="AA117" s="36"/>
      <c r="AB117" s="36"/>
      <c r="AC117" s="36">
        <f>K117-T117</f>
        <v>0</v>
      </c>
      <c r="AD117" s="36">
        <f>+AM117+BA117</f>
        <v>43</v>
      </c>
      <c r="AE117" s="229" t="s">
        <v>680</v>
      </c>
      <c r="AF117" s="32"/>
      <c r="AG117" s="32"/>
      <c r="AH117" s="32">
        <v>43</v>
      </c>
      <c r="AI117" s="32"/>
      <c r="AJ117" s="36"/>
      <c r="AK117" s="36"/>
      <c r="AL117" s="36"/>
      <c r="AM117" s="36">
        <f t="shared" si="208"/>
        <v>43</v>
      </c>
      <c r="AN117" s="36"/>
      <c r="AO117" s="36"/>
      <c r="AP117" s="36"/>
      <c r="AQ117" s="36"/>
      <c r="AR117" s="36">
        <f t="shared" si="209"/>
        <v>0</v>
      </c>
      <c r="AS117" s="36"/>
      <c r="AT117" s="36"/>
      <c r="AU117" s="36"/>
      <c r="AV117" s="36"/>
      <c r="AW117" s="36"/>
      <c r="AX117" s="36"/>
      <c r="AY117" s="36"/>
      <c r="AZ117" s="36"/>
      <c r="BA117" s="36">
        <f>+AR117+AS117+AU117+AW117+AY117+AZ117</f>
        <v>0</v>
      </c>
      <c r="BB117" s="32"/>
      <c r="BC117" s="503"/>
      <c r="BD117" s="503"/>
      <c r="BE117" s="32"/>
      <c r="BF117" s="503"/>
    </row>
    <row r="118" spans="1:58" ht="12.95" customHeight="1">
      <c r="A118" s="39"/>
      <c r="B118" s="40"/>
      <c r="C118" s="414"/>
      <c r="D118" s="40"/>
      <c r="E118" s="41"/>
      <c r="F118" s="41"/>
      <c r="G118" s="42"/>
      <c r="H118" s="43"/>
      <c r="I118" s="44"/>
      <c r="J118" s="81"/>
      <c r="K118" s="81"/>
      <c r="L118" s="34"/>
      <c r="M118" s="34"/>
      <c r="N118" s="45"/>
      <c r="O118" s="46"/>
      <c r="P118" s="47"/>
      <c r="Q118" s="46"/>
      <c r="R118" s="500"/>
      <c r="S118" s="500"/>
      <c r="T118" s="36"/>
      <c r="U118" s="36"/>
      <c r="V118" s="36"/>
      <c r="W118" s="36"/>
      <c r="X118" s="37"/>
      <c r="Y118" s="210"/>
      <c r="Z118" s="36"/>
      <c r="AA118" s="36"/>
      <c r="AB118" s="36"/>
      <c r="AC118" s="36"/>
      <c r="AD118" s="36">
        <f>+AM118+BA118</f>
        <v>0</v>
      </c>
      <c r="AE118" s="232" t="s">
        <v>378</v>
      </c>
      <c r="AF118" s="32"/>
      <c r="AG118" s="32"/>
      <c r="AH118" s="32"/>
      <c r="AI118" s="32"/>
      <c r="AJ118" s="36"/>
      <c r="AK118" s="36"/>
      <c r="AL118" s="36"/>
      <c r="AM118" s="36">
        <f t="shared" ref="AM118" si="210">SUM(AF118:AL118)+AT118+AV118+AX118</f>
        <v>0</v>
      </c>
      <c r="AN118" s="36"/>
      <c r="AO118" s="36"/>
      <c r="AP118" s="36"/>
      <c r="AQ118" s="36"/>
      <c r="AR118" s="36">
        <f t="shared" ref="AR118" si="211">SUM(AN118:AQ118)</f>
        <v>0</v>
      </c>
      <c r="AS118" s="36"/>
      <c r="AT118" s="36"/>
      <c r="AU118" s="36"/>
      <c r="AV118" s="36"/>
      <c r="AW118" s="36"/>
      <c r="AX118" s="36"/>
      <c r="AY118" s="36"/>
      <c r="AZ118" s="36"/>
      <c r="BA118" s="36">
        <f>+AR118+AS118+AU118+AW118+AY118+AZ118</f>
        <v>0</v>
      </c>
      <c r="BB118" s="32"/>
      <c r="BC118" s="503"/>
      <c r="BD118" s="503"/>
      <c r="BE118" s="32"/>
      <c r="BF118" s="503"/>
    </row>
    <row r="119" spans="1:58" ht="12.75">
      <c r="A119" s="39"/>
      <c r="B119" s="40"/>
      <c r="C119" s="414"/>
      <c r="D119" s="40"/>
      <c r="E119" s="41"/>
      <c r="F119" s="41"/>
      <c r="G119" s="499"/>
      <c r="H119" s="43"/>
      <c r="I119" s="44"/>
      <c r="J119" s="81"/>
      <c r="K119" s="81"/>
      <c r="L119" s="34"/>
      <c r="M119" s="34"/>
      <c r="N119" s="45"/>
      <c r="O119" s="46"/>
      <c r="P119" s="47"/>
      <c r="Q119" s="46"/>
      <c r="R119" s="500"/>
      <c r="S119" s="500"/>
      <c r="T119" s="36"/>
      <c r="U119" s="36"/>
      <c r="V119" s="36"/>
      <c r="W119" s="36"/>
      <c r="X119" s="501"/>
      <c r="Y119" s="210"/>
      <c r="Z119" s="36"/>
      <c r="AA119" s="48"/>
      <c r="AB119" s="48"/>
      <c r="AC119" s="36"/>
      <c r="AD119" s="36"/>
      <c r="AE119" s="229"/>
      <c r="AF119" s="36"/>
      <c r="AG119" s="36"/>
      <c r="AH119" s="36"/>
      <c r="AI119" s="502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2"/>
      <c r="BC119" s="50"/>
      <c r="BD119" s="50"/>
      <c r="BE119" s="50"/>
      <c r="BF119" s="50"/>
    </row>
    <row r="120" spans="1:58" ht="12.75" customHeight="1">
      <c r="A120" s="39">
        <v>46135</v>
      </c>
      <c r="B120" s="40" t="s">
        <v>7</v>
      </c>
      <c r="C120" s="414">
        <f t="shared" ref="C120:C121" si="212">(M120*E120*O120*Q120)/100000000</f>
        <v>42.600289500000002</v>
      </c>
      <c r="D120" s="40" t="s">
        <v>302</v>
      </c>
      <c r="E120" s="41">
        <v>14.5</v>
      </c>
      <c r="F120" s="41">
        <v>1</v>
      </c>
      <c r="G120" s="499">
        <f>+L120</f>
        <v>1150</v>
      </c>
      <c r="H120" s="43">
        <f>+N120</f>
        <v>0.25</v>
      </c>
      <c r="I120" s="44">
        <v>0.88</v>
      </c>
      <c r="J120" s="81">
        <f t="shared" ref="J120:J121" si="213">E120*G120*(1-H120)*1440/1000000*2.74</f>
        <v>49.344660000000005</v>
      </c>
      <c r="K120" s="81">
        <f t="shared" ref="K120:K121" si="214">(IF(G120&lt;L120,L120,G120)*(1-IF(H120&lt;N120,H120,N120))*E120*O120*Q120)/100000000</f>
        <v>42.600289500000002</v>
      </c>
      <c r="L120" s="34">
        <v>1150</v>
      </c>
      <c r="M120" s="34">
        <v>862.5</v>
      </c>
      <c r="N120" s="45">
        <f t="shared" ref="N120:N121" si="215">1-(M120/L120)</f>
        <v>0.25</v>
      </c>
      <c r="O120" s="46">
        <f>+'Trim Rwd'!H64</f>
        <v>256.5</v>
      </c>
      <c r="P120" s="47">
        <f t="shared" ref="P120:P121" si="216">O120*(Q120-R120-S120)</f>
        <v>327550.5</v>
      </c>
      <c r="Q120" s="46">
        <v>1328</v>
      </c>
      <c r="R120" s="500">
        <v>0</v>
      </c>
      <c r="S120" s="500">
        <v>51</v>
      </c>
      <c r="T120" s="36">
        <f t="shared" ref="T120:T121" si="217">E120*M120*O120*Q120/100000000</f>
        <v>42.600289500000002</v>
      </c>
      <c r="U120" s="36">
        <f t="shared" ref="U120:U121" si="218">E120*M120*O120*(Q120-R120-S120)/100000000</f>
        <v>40.964284406250002</v>
      </c>
      <c r="V120" s="36">
        <f t="shared" ref="V120:V121" si="219">E120*G120*(1-N120)*O120/100*(R120+S120)/1000000</f>
        <v>1.6360050937499999</v>
      </c>
      <c r="W120" s="36">
        <f>+'23'!K18/1000</f>
        <v>41.984000000000002</v>
      </c>
      <c r="X120" s="501">
        <f>SUM(W120:W124)/SUM(K120:K124)</f>
        <v>0.91038940820557634</v>
      </c>
      <c r="Y120" s="210">
        <v>0</v>
      </c>
      <c r="Z120" s="36">
        <f>+'22'!D21/1000</f>
        <v>0</v>
      </c>
      <c r="AA120" s="48">
        <f>SUM(U120:U124)-SUM(W120:W124)-SUM(Z120:Z124)-SUM(Y120:Y124)</f>
        <v>2.1825744062499979</v>
      </c>
      <c r="AB120" s="48">
        <f>(SUM(K120:K124)-SUM(W120:W124)-SUM(Y120:Y124)-SUM(Z120:Z124)-SUM(AC120:AC124)-SUM(V120:V124))-AA120</f>
        <v>0</v>
      </c>
      <c r="AC120" s="36">
        <f>K120-T120</f>
        <v>0</v>
      </c>
      <c r="AD120" s="36">
        <f>+AM120+BA120</f>
        <v>12</v>
      </c>
      <c r="AE120" s="229" t="s">
        <v>415</v>
      </c>
      <c r="AF120" s="36">
        <v>12</v>
      </c>
      <c r="AG120" s="36"/>
      <c r="AH120" s="36"/>
      <c r="AI120" s="36"/>
      <c r="AJ120" s="36"/>
      <c r="AK120" s="36"/>
      <c r="AL120" s="36"/>
      <c r="AM120" s="36">
        <f t="shared" ref="AM120:AM122" si="220">SUM(AF120:AL120)+AT120+AV120+AX120</f>
        <v>12</v>
      </c>
      <c r="AN120" s="36"/>
      <c r="AO120" s="36"/>
      <c r="AP120" s="36"/>
      <c r="AQ120" s="36"/>
      <c r="AR120" s="36">
        <f>SUM(AN120:AQ120)</f>
        <v>0</v>
      </c>
      <c r="AS120" s="36"/>
      <c r="AT120" s="36"/>
      <c r="AU120" s="36"/>
      <c r="AV120" s="36"/>
      <c r="AW120" s="36"/>
      <c r="AX120" s="36"/>
      <c r="AY120" s="36"/>
      <c r="AZ120" s="36"/>
      <c r="BA120" s="36">
        <f>+AR120+AS120+AU120+AW120+AY120+AZ120</f>
        <v>0</v>
      </c>
      <c r="BB120" s="32">
        <v>6</v>
      </c>
      <c r="BC120" s="50"/>
      <c r="BD120" s="50"/>
      <c r="BE120" s="32"/>
      <c r="BF120" s="50"/>
    </row>
    <row r="121" spans="1:58" ht="12.95" customHeight="1">
      <c r="A121" s="39"/>
      <c r="B121" s="40" t="s">
        <v>7</v>
      </c>
      <c r="C121" s="414">
        <f t="shared" si="212"/>
        <v>3.5162399999999998</v>
      </c>
      <c r="D121" s="40" t="s">
        <v>302</v>
      </c>
      <c r="E121" s="41">
        <v>14</v>
      </c>
      <c r="F121" s="41">
        <v>1</v>
      </c>
      <c r="G121" s="499">
        <f>+L121</f>
        <v>1150</v>
      </c>
      <c r="H121" s="43">
        <f>+N121</f>
        <v>0.25</v>
      </c>
      <c r="I121" s="44">
        <v>0.88</v>
      </c>
      <c r="J121" s="81">
        <f t="shared" si="213"/>
        <v>47.64312000000001</v>
      </c>
      <c r="K121" s="81">
        <f t="shared" si="214"/>
        <v>3.5162399999999998</v>
      </c>
      <c r="L121" s="34">
        <v>1150</v>
      </c>
      <c r="M121" s="34">
        <v>862.5</v>
      </c>
      <c r="N121" s="45">
        <f t="shared" si="215"/>
        <v>0.25</v>
      </c>
      <c r="O121" s="46">
        <f>140+120</f>
        <v>260</v>
      </c>
      <c r="P121" s="47">
        <f t="shared" si="216"/>
        <v>26520</v>
      </c>
      <c r="Q121" s="46">
        <v>112</v>
      </c>
      <c r="R121" s="500">
        <v>0</v>
      </c>
      <c r="S121" s="500">
        <v>10</v>
      </c>
      <c r="T121" s="36">
        <f t="shared" si="217"/>
        <v>3.5162399999999998</v>
      </c>
      <c r="U121" s="36">
        <f t="shared" si="218"/>
        <v>3.2022900000000001</v>
      </c>
      <c r="V121" s="36">
        <f t="shared" si="219"/>
        <v>0.31395000000000001</v>
      </c>
      <c r="W121" s="36">
        <f>+'22'!K24/1000</f>
        <v>0</v>
      </c>
      <c r="X121" s="37"/>
      <c r="Y121" s="210"/>
      <c r="Z121" s="36">
        <v>0</v>
      </c>
      <c r="AA121" s="36"/>
      <c r="AB121" s="36"/>
      <c r="AC121" s="36">
        <f>K121-T121</f>
        <v>0</v>
      </c>
      <c r="AD121" s="36">
        <f>+AM121+BA121</f>
        <v>0</v>
      </c>
      <c r="AE121" s="229" t="s">
        <v>412</v>
      </c>
      <c r="AF121" s="36"/>
      <c r="AG121" s="36">
        <v>0</v>
      </c>
      <c r="AH121" s="36"/>
      <c r="AI121" s="36"/>
      <c r="AJ121" s="36"/>
      <c r="AK121" s="36"/>
      <c r="AL121" s="36"/>
      <c r="AM121" s="36">
        <f t="shared" si="220"/>
        <v>0</v>
      </c>
      <c r="AN121" s="82"/>
      <c r="AO121" s="36"/>
      <c r="AP121" s="36"/>
      <c r="AQ121" s="36"/>
      <c r="AR121" s="36">
        <f t="shared" ref="AR121:AR122" si="221">SUM(AN121:AQ121)</f>
        <v>0</v>
      </c>
      <c r="AS121" s="36"/>
      <c r="AT121" s="36"/>
      <c r="AU121" s="36"/>
      <c r="AV121" s="36"/>
      <c r="AW121" s="36"/>
      <c r="AX121" s="36"/>
      <c r="AY121" s="36"/>
      <c r="AZ121" s="36"/>
      <c r="BA121" s="36">
        <f>+AR121+AS121+AU121+AW121+AY121+AZ121</f>
        <v>0</v>
      </c>
      <c r="BB121" s="49"/>
      <c r="BC121" s="50">
        <v>0</v>
      </c>
      <c r="BD121" s="50"/>
      <c r="BE121" s="49"/>
      <c r="BF121" s="50"/>
    </row>
    <row r="122" spans="1:58" ht="12.95" customHeight="1">
      <c r="A122" s="39"/>
      <c r="B122" s="40"/>
      <c r="C122" s="414"/>
      <c r="D122" s="40"/>
      <c r="E122" s="41"/>
      <c r="F122" s="41"/>
      <c r="G122" s="499"/>
      <c r="H122" s="43"/>
      <c r="I122" s="44"/>
      <c r="J122" s="81"/>
      <c r="K122" s="81"/>
      <c r="L122" s="34"/>
      <c r="M122" s="34"/>
      <c r="N122" s="45"/>
      <c r="O122" s="46"/>
      <c r="P122" s="47"/>
      <c r="Q122" s="46"/>
      <c r="R122" s="500"/>
      <c r="S122" s="500"/>
      <c r="T122" s="36"/>
      <c r="U122" s="36"/>
      <c r="V122" s="36"/>
      <c r="W122" s="36"/>
      <c r="X122" s="37"/>
      <c r="Y122" s="210"/>
      <c r="Z122" s="36">
        <v>0</v>
      </c>
      <c r="AA122" s="36"/>
      <c r="AB122" s="36"/>
      <c r="AC122" s="36">
        <f>K122-T122</f>
        <v>0</v>
      </c>
      <c r="AD122" s="36">
        <f>+AM122+BA122</f>
        <v>49</v>
      </c>
      <c r="AE122" s="229" t="s">
        <v>429</v>
      </c>
      <c r="AF122" s="32"/>
      <c r="AG122" s="32"/>
      <c r="AH122" s="32">
        <v>49</v>
      </c>
      <c r="AI122" s="32"/>
      <c r="AJ122" s="36"/>
      <c r="AK122" s="36"/>
      <c r="AL122" s="36"/>
      <c r="AM122" s="36">
        <f t="shared" si="220"/>
        <v>49</v>
      </c>
      <c r="AN122" s="36"/>
      <c r="AO122" s="36"/>
      <c r="AP122" s="36"/>
      <c r="AQ122" s="36"/>
      <c r="AR122" s="36">
        <f t="shared" si="221"/>
        <v>0</v>
      </c>
      <c r="AS122" s="36"/>
      <c r="AT122" s="36"/>
      <c r="AU122" s="36"/>
      <c r="AV122" s="36"/>
      <c r="AW122" s="36"/>
      <c r="AX122" s="36"/>
      <c r="AY122" s="36"/>
      <c r="AZ122" s="36"/>
      <c r="BA122" s="36">
        <f>+AR122+AS122+AU122+AW122+AY122+AZ122</f>
        <v>0</v>
      </c>
      <c r="BB122" s="32"/>
      <c r="BC122" s="503"/>
      <c r="BD122" s="503"/>
      <c r="BE122" s="32"/>
      <c r="BF122" s="503"/>
    </row>
    <row r="123" spans="1:58" ht="12.95" customHeight="1">
      <c r="A123" s="39"/>
      <c r="B123" s="40"/>
      <c r="C123" s="414"/>
      <c r="D123" s="40"/>
      <c r="E123" s="41"/>
      <c r="F123" s="41"/>
      <c r="G123" s="42"/>
      <c r="H123" s="43"/>
      <c r="I123" s="44"/>
      <c r="J123" s="81"/>
      <c r="K123" s="81"/>
      <c r="L123" s="34"/>
      <c r="M123" s="34"/>
      <c r="N123" s="45"/>
      <c r="O123" s="46"/>
      <c r="P123" s="47"/>
      <c r="Q123" s="46"/>
      <c r="R123" s="500"/>
      <c r="S123" s="500"/>
      <c r="T123" s="36"/>
      <c r="U123" s="36"/>
      <c r="V123" s="36"/>
      <c r="W123" s="36"/>
      <c r="X123" s="37"/>
      <c r="Y123" s="210"/>
      <c r="Z123" s="36"/>
      <c r="AA123" s="36"/>
      <c r="AB123" s="36"/>
      <c r="AC123" s="36"/>
      <c r="AD123" s="36">
        <f>+AM123+BA123</f>
        <v>0</v>
      </c>
      <c r="AE123" s="232" t="s">
        <v>378</v>
      </c>
      <c r="AF123" s="32"/>
      <c r="AG123" s="32"/>
      <c r="AH123" s="32"/>
      <c r="AI123" s="32"/>
      <c r="AJ123" s="36"/>
      <c r="AK123" s="36"/>
      <c r="AL123" s="36"/>
      <c r="AM123" s="36">
        <f t="shared" ref="AM123" si="222">SUM(AF123:AL123)+AT123+AV123+AX123</f>
        <v>0</v>
      </c>
      <c r="AN123" s="36"/>
      <c r="AO123" s="36"/>
      <c r="AP123" s="36"/>
      <c r="AQ123" s="36"/>
      <c r="AR123" s="36">
        <f t="shared" ref="AR123" si="223"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>
        <f>+AR123+AS123+AU123+AW123+AY123+AZ123</f>
        <v>0</v>
      </c>
      <c r="BB123" s="32"/>
      <c r="BC123" s="503"/>
      <c r="BD123" s="503"/>
      <c r="BE123" s="32"/>
      <c r="BF123" s="503"/>
    </row>
    <row r="124" spans="1:58" ht="16.5" customHeight="1">
      <c r="A124" s="39"/>
      <c r="B124" s="40"/>
      <c r="C124" s="414"/>
      <c r="D124" s="40"/>
      <c r="E124" s="41"/>
      <c r="F124" s="41"/>
      <c r="G124" s="499"/>
      <c r="H124" s="43"/>
      <c r="I124" s="44"/>
      <c r="J124" s="81"/>
      <c r="K124" s="81"/>
      <c r="L124" s="34"/>
      <c r="M124" s="34"/>
      <c r="N124" s="45"/>
      <c r="O124" s="46"/>
      <c r="P124" s="47"/>
      <c r="Q124" s="46"/>
      <c r="R124" s="500"/>
      <c r="S124" s="500"/>
      <c r="T124" s="36"/>
      <c r="U124" s="36"/>
      <c r="V124" s="36"/>
      <c r="W124" s="36"/>
      <c r="X124" s="501"/>
      <c r="Y124" s="210"/>
      <c r="Z124" s="36"/>
      <c r="AA124" s="48"/>
      <c r="AB124" s="48"/>
      <c r="AC124" s="36"/>
      <c r="AD124" s="36"/>
      <c r="AE124" s="229"/>
      <c r="AF124" s="36"/>
      <c r="AG124" s="36"/>
      <c r="AH124" s="36"/>
      <c r="AI124" s="502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2"/>
      <c r="BC124" s="50"/>
      <c r="BD124" s="50"/>
      <c r="BE124" s="50"/>
      <c r="BF124" s="50"/>
    </row>
    <row r="125" spans="1:58" ht="12.75" customHeight="1">
      <c r="A125" s="39">
        <v>46136</v>
      </c>
      <c r="B125" s="40" t="s">
        <v>7</v>
      </c>
      <c r="C125" s="414">
        <f t="shared" ref="C125:C126" si="224">(M125*E125*O125*Q125)/100000000</f>
        <v>8.1626999999999992</v>
      </c>
      <c r="D125" s="40" t="s">
        <v>302</v>
      </c>
      <c r="E125" s="41">
        <v>14</v>
      </c>
      <c r="F125" s="41">
        <v>1</v>
      </c>
      <c r="G125" s="499">
        <f>+L125</f>
        <v>1150</v>
      </c>
      <c r="H125" s="43">
        <f>+N125</f>
        <v>0.25</v>
      </c>
      <c r="I125" s="44">
        <v>0.88</v>
      </c>
      <c r="J125" s="81">
        <f t="shared" ref="J125:J126" si="225">E125*G125*(1-H125)*1440/1000000*2.74</f>
        <v>47.64312000000001</v>
      </c>
      <c r="K125" s="81">
        <f t="shared" ref="K125:K126" si="226">(IF(G125&lt;L125,L125,G125)*(1-IF(H125&lt;N125,H125,N125))*E125*O125*Q125)/100000000</f>
        <v>8.1626999999999992</v>
      </c>
      <c r="L125" s="34">
        <v>1150</v>
      </c>
      <c r="M125" s="34">
        <v>862.5</v>
      </c>
      <c r="N125" s="45">
        <f t="shared" ref="N125:N126" si="227">1-(M125/L125)</f>
        <v>0.25</v>
      </c>
      <c r="O125" s="46">
        <f>+'Trim Rwd'!H66</f>
        <v>260</v>
      </c>
      <c r="P125" s="47">
        <f t="shared" ref="P125:P126" si="228">O125*(Q125-R125-S125)</f>
        <v>65000</v>
      </c>
      <c r="Q125" s="46">
        <v>260</v>
      </c>
      <c r="R125" s="500">
        <v>0</v>
      </c>
      <c r="S125" s="500">
        <v>10</v>
      </c>
      <c r="T125" s="36">
        <f t="shared" ref="T125:T126" si="229">E125*M125*O125*Q125/100000000</f>
        <v>8.1626999999999992</v>
      </c>
      <c r="U125" s="36">
        <f t="shared" ref="U125:U126" si="230">E125*M125*O125*(Q125-R125-S125)/100000000</f>
        <v>7.8487499999999999</v>
      </c>
      <c r="V125" s="36">
        <f t="shared" ref="V125:V126" si="231">E125*G125*(1-N125)*O125/100*(R125+S125)/1000000</f>
        <v>0.31395000000000001</v>
      </c>
      <c r="W125" s="36">
        <f>+'24'!K8/1000</f>
        <v>11.933</v>
      </c>
      <c r="X125" s="501">
        <f>SUM(W125:W129)/SUM(K125:K129)</f>
        <v>0.85492535703840178</v>
      </c>
      <c r="Y125" s="210">
        <v>0</v>
      </c>
      <c r="Z125" s="36">
        <f>+'24'!D7/1000</f>
        <v>0.4</v>
      </c>
      <c r="AA125" s="48">
        <f>SUM(U125:U129)-SUM(W125:W129)-SUM(Z125:Z129)-SUM(Y125:Y129)</f>
        <v>1.3307270752118712</v>
      </c>
      <c r="AB125" s="48">
        <f>(SUM(K125:K129)-SUM(W125:W129)-SUM(Y125:Y129)-SUM(Z125:Z129)-SUM(AC125:AC129)-SUM(V125:V129))-AA125</f>
        <v>-7.8809356542131725E-2</v>
      </c>
      <c r="AC125" s="36">
        <f>K125-T125</f>
        <v>0</v>
      </c>
      <c r="AD125" s="36">
        <f>+AM125+BA125</f>
        <v>22</v>
      </c>
      <c r="AE125" s="229" t="s">
        <v>692</v>
      </c>
      <c r="AF125" s="36">
        <v>22</v>
      </c>
      <c r="AG125" s="36"/>
      <c r="AH125" s="36"/>
      <c r="AI125" s="36"/>
      <c r="AJ125" s="36"/>
      <c r="AK125" s="36"/>
      <c r="AL125" s="36"/>
      <c r="AM125" s="36">
        <f t="shared" ref="AM125:AM127" si="232">SUM(AF125:AL125)+AT125+AV125+AX125</f>
        <v>22</v>
      </c>
      <c r="AN125" s="36"/>
      <c r="AO125" s="36"/>
      <c r="AP125" s="36"/>
      <c r="AQ125" s="36"/>
      <c r="AR125" s="36">
        <f>SUM(AN125:AQ125)</f>
        <v>0</v>
      </c>
      <c r="AS125" s="36"/>
      <c r="AT125" s="36"/>
      <c r="AU125" s="36"/>
      <c r="AV125" s="36"/>
      <c r="AW125" s="36"/>
      <c r="AX125" s="36"/>
      <c r="AY125" s="36"/>
      <c r="AZ125" s="36"/>
      <c r="BA125" s="36">
        <f>+AR125+AS125+AU125+AW125+AY125+AZ125</f>
        <v>0</v>
      </c>
      <c r="BB125" s="32">
        <v>8</v>
      </c>
      <c r="BC125" s="50"/>
      <c r="BD125" s="50"/>
      <c r="BE125" s="32"/>
      <c r="BF125" s="50"/>
    </row>
    <row r="126" spans="1:58" ht="12.95" customHeight="1">
      <c r="A126" s="39"/>
      <c r="B126" s="40" t="s">
        <v>7</v>
      </c>
      <c r="C126" s="414">
        <f t="shared" si="224"/>
        <v>34.082571510000008</v>
      </c>
      <c r="D126" s="40" t="s">
        <v>302</v>
      </c>
      <c r="E126" s="41">
        <v>13</v>
      </c>
      <c r="F126" s="41">
        <v>1</v>
      </c>
      <c r="G126" s="499">
        <v>1230</v>
      </c>
      <c r="H126" s="43">
        <v>0.24</v>
      </c>
      <c r="I126" s="44">
        <v>0.88</v>
      </c>
      <c r="J126" s="81">
        <f t="shared" si="225"/>
        <v>47.948509440000002</v>
      </c>
      <c r="K126" s="81">
        <f t="shared" si="226"/>
        <v>36.942992189999998</v>
      </c>
      <c r="L126" s="34">
        <v>1171.8644067796611</v>
      </c>
      <c r="M126" s="34">
        <v>862.4203389830509</v>
      </c>
      <c r="N126" s="45">
        <f t="shared" si="227"/>
        <v>0.26406132484813416</v>
      </c>
      <c r="O126" s="46">
        <f>+'Trim Rwd'!H67</f>
        <v>257.625</v>
      </c>
      <c r="P126" s="47">
        <f t="shared" si="228"/>
        <v>289828.125</v>
      </c>
      <c r="Q126" s="46">
        <v>1180</v>
      </c>
      <c r="R126" s="500">
        <v>0</v>
      </c>
      <c r="S126" s="500">
        <f>65-S125</f>
        <v>55</v>
      </c>
      <c r="T126" s="36">
        <f t="shared" si="229"/>
        <v>34.082571510000008</v>
      </c>
      <c r="U126" s="36">
        <f t="shared" si="230"/>
        <v>32.493977075211866</v>
      </c>
      <c r="V126" s="36">
        <f t="shared" si="231"/>
        <v>1.6674037913302719</v>
      </c>
      <c r="W126" s="36">
        <f>+'24'!K9/1000</f>
        <v>26.629000000000001</v>
      </c>
      <c r="X126" s="37"/>
      <c r="Y126" s="210"/>
      <c r="Z126" s="36">
        <f>+'24'!D8/1000</f>
        <v>0.05</v>
      </c>
      <c r="AA126" s="36"/>
      <c r="AB126" s="36"/>
      <c r="AC126" s="36">
        <f>K126-T126</f>
        <v>2.8604206799999901</v>
      </c>
      <c r="AD126" s="36">
        <f>+AM126+BA126</f>
        <v>2</v>
      </c>
      <c r="AE126" s="229" t="s">
        <v>414</v>
      </c>
      <c r="AF126" s="36"/>
      <c r="AG126" s="36">
        <v>2</v>
      </c>
      <c r="AH126" s="36"/>
      <c r="AI126" s="36"/>
      <c r="AJ126" s="36"/>
      <c r="AK126" s="36"/>
      <c r="AL126" s="36"/>
      <c r="AM126" s="36">
        <f t="shared" si="232"/>
        <v>2</v>
      </c>
      <c r="AN126" s="82"/>
      <c r="AO126" s="36"/>
      <c r="AP126" s="36"/>
      <c r="AQ126" s="36"/>
      <c r="AR126" s="36">
        <f t="shared" ref="AR126:AR127" si="233">SUM(AN126:AQ126)</f>
        <v>0</v>
      </c>
      <c r="AS126" s="36"/>
      <c r="AT126" s="36"/>
      <c r="AU126" s="36"/>
      <c r="AV126" s="36"/>
      <c r="AW126" s="36"/>
      <c r="AX126" s="36"/>
      <c r="AY126" s="36"/>
      <c r="AZ126" s="36"/>
      <c r="BA126" s="36">
        <f>+AR126+AS126+AU126+AW126+AY126+AZ126</f>
        <v>0</v>
      </c>
      <c r="BB126" s="49"/>
      <c r="BC126" s="50">
        <v>1</v>
      </c>
      <c r="BD126" s="50"/>
      <c r="BE126" s="49"/>
      <c r="BF126" s="50"/>
    </row>
    <row r="127" spans="1:58" ht="12.95" customHeight="1">
      <c r="A127" s="39"/>
      <c r="B127" s="40"/>
      <c r="C127" s="414"/>
      <c r="D127" s="40"/>
      <c r="E127" s="41"/>
      <c r="F127" s="41"/>
      <c r="G127" s="499"/>
      <c r="H127" s="43"/>
      <c r="I127" s="44"/>
      <c r="J127" s="81"/>
      <c r="K127" s="81"/>
      <c r="L127" s="34"/>
      <c r="M127" s="34"/>
      <c r="N127" s="45"/>
      <c r="O127" s="46"/>
      <c r="P127" s="47"/>
      <c r="Q127" s="46"/>
      <c r="R127" s="500"/>
      <c r="S127" s="500"/>
      <c r="T127" s="36"/>
      <c r="U127" s="36"/>
      <c r="V127" s="36"/>
      <c r="W127" s="36"/>
      <c r="X127" s="37"/>
      <c r="Y127" s="210"/>
      <c r="Z127" s="36">
        <v>0</v>
      </c>
      <c r="AA127" s="36"/>
      <c r="AB127" s="36"/>
      <c r="AC127" s="36">
        <f>K127-T127</f>
        <v>0</v>
      </c>
      <c r="AD127" s="36">
        <f>+AM127+BA127</f>
        <v>41</v>
      </c>
      <c r="AE127" s="229" t="s">
        <v>467</v>
      </c>
      <c r="AF127" s="32"/>
      <c r="AG127" s="32"/>
      <c r="AH127" s="32">
        <v>41</v>
      </c>
      <c r="AI127" s="32"/>
      <c r="AJ127" s="36"/>
      <c r="AK127" s="36"/>
      <c r="AL127" s="36"/>
      <c r="AM127" s="36">
        <f t="shared" si="232"/>
        <v>41</v>
      </c>
      <c r="AN127" s="36"/>
      <c r="AO127" s="36"/>
      <c r="AP127" s="36"/>
      <c r="AQ127" s="36"/>
      <c r="AR127" s="36">
        <f t="shared" si="233"/>
        <v>0</v>
      </c>
      <c r="AS127" s="36"/>
      <c r="AT127" s="36"/>
      <c r="AU127" s="36"/>
      <c r="AV127" s="36"/>
      <c r="AW127" s="36"/>
      <c r="AX127" s="36"/>
      <c r="AY127" s="36"/>
      <c r="AZ127" s="36"/>
      <c r="BA127" s="36">
        <f>+AR127+AS127+AU127+AW127+AY127+AZ127</f>
        <v>0</v>
      </c>
      <c r="BB127" s="32"/>
      <c r="BC127" s="503"/>
      <c r="BD127" s="503"/>
      <c r="BE127" s="32"/>
      <c r="BF127" s="503"/>
    </row>
    <row r="128" spans="1:58" ht="12.95" customHeight="1">
      <c r="A128" s="39"/>
      <c r="B128" s="40"/>
      <c r="C128" s="414"/>
      <c r="D128" s="40"/>
      <c r="E128" s="41"/>
      <c r="F128" s="41"/>
      <c r="G128" s="42"/>
      <c r="H128" s="43"/>
      <c r="I128" s="44"/>
      <c r="J128" s="81"/>
      <c r="K128" s="81"/>
      <c r="L128" s="34"/>
      <c r="M128" s="34"/>
      <c r="N128" s="45"/>
      <c r="O128" s="46"/>
      <c r="P128" s="47"/>
      <c r="Q128" s="46"/>
      <c r="R128" s="500"/>
      <c r="S128" s="500"/>
      <c r="T128" s="36"/>
      <c r="U128" s="36"/>
      <c r="V128" s="36"/>
      <c r="W128" s="36"/>
      <c r="X128" s="37"/>
      <c r="Y128" s="210"/>
      <c r="Z128" s="36"/>
      <c r="AA128" s="36"/>
      <c r="AB128" s="36"/>
      <c r="AC128" s="36"/>
      <c r="AD128" s="36">
        <f>+AM128+BA128</f>
        <v>0</v>
      </c>
      <c r="AE128" s="232" t="s">
        <v>378</v>
      </c>
      <c r="AF128" s="32"/>
      <c r="AG128" s="32"/>
      <c r="AH128" s="32"/>
      <c r="AI128" s="32"/>
      <c r="AJ128" s="36"/>
      <c r="AK128" s="36"/>
      <c r="AL128" s="36"/>
      <c r="AM128" s="36">
        <f t="shared" ref="AM128" si="234">SUM(AF128:AL128)+AT128+AV128+AX128</f>
        <v>0</v>
      </c>
      <c r="AN128" s="36"/>
      <c r="AO128" s="36"/>
      <c r="AP128" s="36"/>
      <c r="AQ128" s="36"/>
      <c r="AR128" s="36">
        <f t="shared" ref="AR128" si="235">SUM(AN128:AQ128)</f>
        <v>0</v>
      </c>
      <c r="AS128" s="36"/>
      <c r="AT128" s="36"/>
      <c r="AU128" s="36"/>
      <c r="AV128" s="36"/>
      <c r="AW128" s="36"/>
      <c r="AX128" s="36"/>
      <c r="AY128" s="36"/>
      <c r="AZ128" s="36"/>
      <c r="BA128" s="36">
        <f>+AR128+AS128+AU128+AW128+AY128+AZ128</f>
        <v>0</v>
      </c>
      <c r="BB128" s="32"/>
      <c r="BC128" s="503"/>
      <c r="BD128" s="503"/>
      <c r="BE128" s="32"/>
      <c r="BF128" s="503"/>
    </row>
    <row r="129" spans="1:58" ht="16.5" customHeight="1">
      <c r="A129" s="39"/>
      <c r="B129" s="40"/>
      <c r="C129" s="414"/>
      <c r="D129" s="40"/>
      <c r="E129" s="41"/>
      <c r="F129" s="41"/>
      <c r="G129" s="499"/>
      <c r="H129" s="43"/>
      <c r="I129" s="44"/>
      <c r="J129" s="81"/>
      <c r="K129" s="81"/>
      <c r="L129" s="34"/>
      <c r="M129" s="34"/>
      <c r="N129" s="45"/>
      <c r="O129" s="46"/>
      <c r="P129" s="47"/>
      <c r="Q129" s="46"/>
      <c r="R129" s="500"/>
      <c r="S129" s="500"/>
      <c r="T129" s="36"/>
      <c r="U129" s="36"/>
      <c r="V129" s="36"/>
      <c r="W129" s="36"/>
      <c r="X129" s="501"/>
      <c r="Y129" s="210"/>
      <c r="Z129" s="36"/>
      <c r="AA129" s="48"/>
      <c r="AB129" s="48"/>
      <c r="AC129" s="36"/>
      <c r="AD129" s="36"/>
      <c r="AE129" s="229"/>
      <c r="AF129" s="36"/>
      <c r="AG129" s="36"/>
      <c r="AH129" s="36"/>
      <c r="AI129" s="502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2"/>
      <c r="BC129" s="50"/>
      <c r="BD129" s="50"/>
      <c r="BE129" s="50"/>
      <c r="BF129" s="50"/>
    </row>
    <row r="130" spans="1:58" ht="12.75" customHeight="1">
      <c r="A130" s="39">
        <v>46137</v>
      </c>
      <c r="B130" s="40" t="s">
        <v>7</v>
      </c>
      <c r="C130" s="414">
        <f t="shared" ref="C130:C131" si="236">(M130*E130*O130*Q130)/100000000</f>
        <v>22.372038592905408</v>
      </c>
      <c r="D130" s="40" t="s">
        <v>302</v>
      </c>
      <c r="E130" s="41">
        <v>13</v>
      </c>
      <c r="F130" s="41">
        <v>1</v>
      </c>
      <c r="G130" s="499">
        <v>1230</v>
      </c>
      <c r="H130" s="43">
        <v>0.24</v>
      </c>
      <c r="I130" s="44">
        <v>0.88</v>
      </c>
      <c r="J130" s="81">
        <f t="shared" ref="J130:J131" si="237">E130*G130*(1-H130)*1440/1000000*2.74</f>
        <v>47.948509440000002</v>
      </c>
      <c r="K130" s="81">
        <f t="shared" ref="K130:K131" si="238">(IF(G130&lt;L130,L130,G130)*(1-IF(H130&lt;N130,H130,N130))*E130*O130*Q130)/100000000</f>
        <v>24.131710410810815</v>
      </c>
      <c r="L130" s="34">
        <v>1187.171052631579</v>
      </c>
      <c r="M130" s="34">
        <v>866.6348684210526</v>
      </c>
      <c r="N130" s="45">
        <f t="shared" ref="N130:N131" si="239">1-(M130/L130)</f>
        <v>0.27</v>
      </c>
      <c r="O130" s="46">
        <f>+'Trim Rwd'!H70</f>
        <v>261.2837837837838</v>
      </c>
      <c r="P130" s="47">
        <f t="shared" ref="P130:P131" si="240">O130*(Q130-R130-S130)</f>
        <v>189953.31081081083</v>
      </c>
      <c r="Q130" s="46">
        <v>760</v>
      </c>
      <c r="R130" s="500">
        <v>0</v>
      </c>
      <c r="S130" s="500">
        <v>33</v>
      </c>
      <c r="T130" s="36">
        <f t="shared" ref="T130:T131" si="241">E130*M130*O130*Q130/100000000</f>
        <v>22.372038592905408</v>
      </c>
      <c r="U130" s="36">
        <f t="shared" ref="U130:U131" si="242">E130*M130*O130*(Q130-R130-S130)/100000000</f>
        <v>21.400621127687145</v>
      </c>
      <c r="V130" s="36">
        <f t="shared" ref="V130:V131" si="243">E130*G130*(1-N130)*O130/100*(R130+S130)/1000000</f>
        <v>1.0064627835810811</v>
      </c>
      <c r="W130" s="36">
        <f>+'25'!K9/1000</f>
        <v>24.201000000000001</v>
      </c>
      <c r="X130" s="501">
        <f>SUM(W130:W134)/SUM(K130:K134)</f>
        <v>0.88028283824555942</v>
      </c>
      <c r="Y130" s="210">
        <v>0</v>
      </c>
      <c r="Z130" s="36">
        <f>+'24'!D12/1000</f>
        <v>0</v>
      </c>
      <c r="AA130" s="48">
        <f>SUM(U130:U134)-SUM(W130:W134)-SUM(Z130:Z134)-SUM(Y130:Y134)</f>
        <v>0.91612362768714206</v>
      </c>
      <c r="AB130" s="48">
        <f>(SUM(K130:K134)-SUM(W130:W134)-SUM(Y130:Y134)-SUM(Z130:Z134)-SUM(AC130:AC134)-SUM(V130:V134))-AA130</f>
        <v>-3.5045318362816991E-2</v>
      </c>
      <c r="AC130" s="36">
        <f>K130-T130</f>
        <v>1.7596718179054065</v>
      </c>
      <c r="AD130" s="36">
        <f>+AM130+BA130</f>
        <v>18</v>
      </c>
      <c r="AE130" s="229" t="s">
        <v>719</v>
      </c>
      <c r="AF130" s="36">
        <v>18</v>
      </c>
      <c r="AG130" s="36"/>
      <c r="AH130" s="36"/>
      <c r="AI130" s="36"/>
      <c r="AJ130" s="36"/>
      <c r="AK130" s="36"/>
      <c r="AL130" s="36"/>
      <c r="AM130" s="36">
        <f t="shared" ref="AM130:AM132" si="244">SUM(AF130:AL130)+AT130+AV130+AX130</f>
        <v>18</v>
      </c>
      <c r="AN130" s="36"/>
      <c r="AO130" s="36"/>
      <c r="AP130" s="36"/>
      <c r="AQ130" s="36"/>
      <c r="AR130" s="36">
        <f>SUM(AN130:AQ130)</f>
        <v>0</v>
      </c>
      <c r="AS130" s="36"/>
      <c r="AT130" s="36"/>
      <c r="AU130" s="36"/>
      <c r="AV130" s="36"/>
      <c r="AW130" s="36"/>
      <c r="AX130" s="36"/>
      <c r="AY130" s="36"/>
      <c r="AZ130" s="36"/>
      <c r="BA130" s="36">
        <f>+AR130+AS130+AU130+AW130+AY130+AZ130</f>
        <v>0</v>
      </c>
      <c r="BB130" s="32">
        <v>9</v>
      </c>
      <c r="BC130" s="50"/>
      <c r="BD130" s="50"/>
      <c r="BE130" s="32"/>
      <c r="BF130" s="50"/>
    </row>
    <row r="131" spans="1:58" ht="12.95" customHeight="1">
      <c r="A131" s="39"/>
      <c r="B131" s="40" t="s">
        <v>7</v>
      </c>
      <c r="C131" s="414">
        <f t="shared" si="236"/>
        <v>19.233018000000001</v>
      </c>
      <c r="D131" s="40" t="s">
        <v>302</v>
      </c>
      <c r="E131" s="41">
        <v>12</v>
      </c>
      <c r="F131" s="41">
        <v>1</v>
      </c>
      <c r="G131" s="499">
        <v>1230</v>
      </c>
      <c r="H131" s="43">
        <v>0.24</v>
      </c>
      <c r="I131" s="44">
        <v>0.88</v>
      </c>
      <c r="J131" s="81">
        <f t="shared" si="237"/>
        <v>44.260162560000005</v>
      </c>
      <c r="K131" s="81">
        <f t="shared" si="238"/>
        <v>20.023415999999997</v>
      </c>
      <c r="L131" s="34">
        <v>1230</v>
      </c>
      <c r="M131" s="34">
        <v>897.9</v>
      </c>
      <c r="N131" s="45">
        <f t="shared" si="239"/>
        <v>0.27</v>
      </c>
      <c r="O131" s="46">
        <f>+'Trim Rwd'!H72</f>
        <v>262.5</v>
      </c>
      <c r="P131" s="47">
        <f t="shared" si="240"/>
        <v>170625</v>
      </c>
      <c r="Q131" s="46">
        <v>680</v>
      </c>
      <c r="R131" s="500">
        <v>0</v>
      </c>
      <c r="S131" s="500">
        <f>63-S130</f>
        <v>30</v>
      </c>
      <c r="T131" s="36">
        <f t="shared" si="241"/>
        <v>19.233018000000001</v>
      </c>
      <c r="U131" s="36">
        <f t="shared" si="242"/>
        <v>18.3845025</v>
      </c>
      <c r="V131" s="36">
        <f t="shared" si="243"/>
        <v>0.84851549999999998</v>
      </c>
      <c r="W131" s="36">
        <f>+'25'!K10/1000</f>
        <v>14.667999999999999</v>
      </c>
      <c r="X131" s="37"/>
      <c r="Y131" s="210"/>
      <c r="Z131" s="36">
        <f>+'24'!D13/1000</f>
        <v>0</v>
      </c>
      <c r="AA131" s="36"/>
      <c r="AB131" s="36"/>
      <c r="AC131" s="36">
        <f>K131-T131</f>
        <v>0.79039799999999616</v>
      </c>
      <c r="AD131" s="36">
        <f>+AM131+BA131</f>
        <v>3</v>
      </c>
      <c r="AE131" s="229" t="s">
        <v>414</v>
      </c>
      <c r="AF131" s="36"/>
      <c r="AG131" s="36">
        <v>3</v>
      </c>
      <c r="AH131" s="36"/>
      <c r="AI131" s="36"/>
      <c r="AJ131" s="36"/>
      <c r="AK131" s="36"/>
      <c r="AL131" s="36"/>
      <c r="AM131" s="36">
        <f t="shared" si="244"/>
        <v>3</v>
      </c>
      <c r="AN131" s="82"/>
      <c r="AO131" s="36"/>
      <c r="AP131" s="36"/>
      <c r="AQ131" s="36"/>
      <c r="AR131" s="36">
        <f t="shared" ref="AR131:AR132" si="245">SUM(AN131:AQ131)</f>
        <v>0</v>
      </c>
      <c r="AS131" s="36"/>
      <c r="AT131" s="36"/>
      <c r="AU131" s="36"/>
      <c r="AV131" s="36"/>
      <c r="AW131" s="36"/>
      <c r="AX131" s="36"/>
      <c r="AY131" s="36"/>
      <c r="AZ131" s="36"/>
      <c r="BA131" s="36">
        <f>+AR131+AS131+AU131+AW131+AY131+AZ131</f>
        <v>0</v>
      </c>
      <c r="BB131" s="49"/>
      <c r="BC131" s="50">
        <v>1</v>
      </c>
      <c r="BD131" s="50"/>
      <c r="BE131" s="49"/>
      <c r="BF131" s="50"/>
    </row>
    <row r="132" spans="1:58" ht="12.95" customHeight="1">
      <c r="A132" s="39"/>
      <c r="B132" s="40"/>
      <c r="C132" s="414"/>
      <c r="D132" s="40"/>
      <c r="E132" s="41"/>
      <c r="F132" s="41"/>
      <c r="G132" s="499"/>
      <c r="H132" s="43"/>
      <c r="I132" s="44"/>
      <c r="J132" s="81"/>
      <c r="K132" s="81"/>
      <c r="L132" s="34"/>
      <c r="M132" s="34"/>
      <c r="N132" s="45"/>
      <c r="O132" s="46"/>
      <c r="P132" s="47"/>
      <c r="Q132" s="46"/>
      <c r="R132" s="500"/>
      <c r="S132" s="500"/>
      <c r="T132" s="36"/>
      <c r="U132" s="36"/>
      <c r="V132" s="36"/>
      <c r="W132" s="36"/>
      <c r="X132" s="37"/>
      <c r="Y132" s="210"/>
      <c r="Z132" s="36">
        <v>0</v>
      </c>
      <c r="AA132" s="36"/>
      <c r="AB132" s="36"/>
      <c r="AC132" s="36">
        <f>K132-T132</f>
        <v>0</v>
      </c>
      <c r="AD132" s="36">
        <f>+AM132+BA132</f>
        <v>42</v>
      </c>
      <c r="AE132" s="229" t="s">
        <v>467</v>
      </c>
      <c r="AF132" s="32"/>
      <c r="AG132" s="32"/>
      <c r="AH132" s="32">
        <v>42</v>
      </c>
      <c r="AI132" s="32"/>
      <c r="AJ132" s="36"/>
      <c r="AK132" s="36"/>
      <c r="AL132" s="36"/>
      <c r="AM132" s="36">
        <f t="shared" si="244"/>
        <v>42</v>
      </c>
      <c r="AN132" s="36"/>
      <c r="AO132" s="36"/>
      <c r="AP132" s="36"/>
      <c r="AQ132" s="36"/>
      <c r="AR132" s="36">
        <f t="shared" si="245"/>
        <v>0</v>
      </c>
      <c r="AS132" s="36"/>
      <c r="AT132" s="36"/>
      <c r="AU132" s="36"/>
      <c r="AV132" s="36"/>
      <c r="AW132" s="36"/>
      <c r="AX132" s="36"/>
      <c r="AY132" s="36"/>
      <c r="AZ132" s="36"/>
      <c r="BA132" s="36">
        <f>+AR132+AS132+AU132+AW132+AY132+AZ132</f>
        <v>0</v>
      </c>
      <c r="BB132" s="32"/>
      <c r="BC132" s="503"/>
      <c r="BD132" s="503"/>
      <c r="BE132" s="32"/>
      <c r="BF132" s="503"/>
    </row>
    <row r="133" spans="1:58" ht="12.95" customHeight="1">
      <c r="A133" s="39"/>
      <c r="B133" s="40"/>
      <c r="C133" s="414"/>
      <c r="D133" s="40"/>
      <c r="E133" s="41"/>
      <c r="F133" s="41"/>
      <c r="G133" s="42"/>
      <c r="H133" s="43"/>
      <c r="I133" s="44"/>
      <c r="J133" s="81"/>
      <c r="K133" s="81"/>
      <c r="L133" s="34"/>
      <c r="M133" s="34"/>
      <c r="N133" s="45"/>
      <c r="O133" s="46"/>
      <c r="P133" s="47"/>
      <c r="Q133" s="46"/>
      <c r="R133" s="500"/>
      <c r="S133" s="500"/>
      <c r="T133" s="36"/>
      <c r="U133" s="36"/>
      <c r="V133" s="36"/>
      <c r="W133" s="36"/>
      <c r="X133" s="37"/>
      <c r="Y133" s="210"/>
      <c r="Z133" s="36"/>
      <c r="AA133" s="36"/>
      <c r="AB133" s="36"/>
      <c r="AC133" s="36"/>
      <c r="AD133" s="36">
        <f>+AM133+BA133</f>
        <v>0</v>
      </c>
      <c r="AE133" s="232" t="s">
        <v>378</v>
      </c>
      <c r="AF133" s="32"/>
      <c r="AG133" s="32"/>
      <c r="AH133" s="32"/>
      <c r="AI133" s="32"/>
      <c r="AJ133" s="36"/>
      <c r="AK133" s="36"/>
      <c r="AL133" s="36"/>
      <c r="AM133" s="36">
        <f t="shared" ref="AM133" si="246">SUM(AF133:AL133)+AT133+AV133+AX133</f>
        <v>0</v>
      </c>
      <c r="AN133" s="36"/>
      <c r="AO133" s="36"/>
      <c r="AP133" s="36"/>
      <c r="AQ133" s="36"/>
      <c r="AR133" s="36">
        <f t="shared" ref="AR133" si="247">SUM(AN133:AQ133)</f>
        <v>0</v>
      </c>
      <c r="AS133" s="36"/>
      <c r="AT133" s="36"/>
      <c r="AU133" s="36"/>
      <c r="AV133" s="36"/>
      <c r="AW133" s="36"/>
      <c r="AX133" s="36"/>
      <c r="AY133" s="36"/>
      <c r="AZ133" s="36"/>
      <c r="BA133" s="36">
        <f>+AR133+AS133+AU133+AW133+AY133+AZ133</f>
        <v>0</v>
      </c>
      <c r="BB133" s="32"/>
      <c r="BC133" s="503"/>
      <c r="BD133" s="503"/>
      <c r="BE133" s="32"/>
      <c r="BF133" s="503"/>
    </row>
    <row r="134" spans="1:58" ht="16.5" customHeight="1">
      <c r="A134" s="39"/>
      <c r="B134" s="40"/>
      <c r="C134" s="414"/>
      <c r="D134" s="40"/>
      <c r="E134" s="41"/>
      <c r="F134" s="41"/>
      <c r="G134" s="499"/>
      <c r="H134" s="43"/>
      <c r="I134" s="44"/>
      <c r="J134" s="81"/>
      <c r="K134" s="81"/>
      <c r="L134" s="34"/>
      <c r="M134" s="34"/>
      <c r="N134" s="45"/>
      <c r="O134" s="46"/>
      <c r="P134" s="47"/>
      <c r="Q134" s="46"/>
      <c r="R134" s="500"/>
      <c r="S134" s="500"/>
      <c r="T134" s="36"/>
      <c r="U134" s="36"/>
      <c r="V134" s="36"/>
      <c r="W134" s="36"/>
      <c r="X134" s="501"/>
      <c r="Y134" s="210"/>
      <c r="Z134" s="36"/>
      <c r="AA134" s="48"/>
      <c r="AB134" s="48"/>
      <c r="AC134" s="36"/>
      <c r="AD134" s="36"/>
      <c r="AE134" s="229"/>
      <c r="AF134" s="36"/>
      <c r="AG134" s="36"/>
      <c r="AH134" s="36"/>
      <c r="AI134" s="502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2"/>
      <c r="BC134" s="50"/>
      <c r="BD134" s="503"/>
      <c r="BE134" s="32"/>
      <c r="BF134" s="503"/>
    </row>
    <row r="135" spans="1:58" ht="12.75" customHeight="1">
      <c r="A135" s="39">
        <v>46138</v>
      </c>
      <c r="B135" s="40" t="s">
        <v>7</v>
      </c>
      <c r="C135" s="414">
        <f t="shared" ref="C135:C136" si="248">(M135*E135*O135*Q135)/100000000</f>
        <v>20.058473879999998</v>
      </c>
      <c r="D135" s="40" t="s">
        <v>302</v>
      </c>
      <c r="E135" s="41">
        <v>12</v>
      </c>
      <c r="F135" s="41">
        <v>1</v>
      </c>
      <c r="G135" s="499">
        <v>1230</v>
      </c>
      <c r="H135" s="43">
        <v>0.24</v>
      </c>
      <c r="I135" s="44">
        <v>0.88</v>
      </c>
      <c r="J135" s="81">
        <f t="shared" ref="J135:J136" si="249">E135*G135*(1-H135)*1440/1000000*2.74</f>
        <v>44.260162560000005</v>
      </c>
      <c r="K135" s="81">
        <f t="shared" ref="K135:K136" si="250">(IF(G135&lt;L135,L135,G135)*(1-IF(H135&lt;N135,H135,N135))*E135*O135*Q135)/100000000</f>
        <v>20.917739159999996</v>
      </c>
      <c r="L135" s="34">
        <v>1223.1914893617022</v>
      </c>
      <c r="M135" s="34">
        <v>896.4</v>
      </c>
      <c r="N135" s="45">
        <f t="shared" ref="N135:N136" si="251">1-(M135/L135)</f>
        <v>0.26716298486693346</v>
      </c>
      <c r="O135" s="46">
        <f>+'Trim Rwd'!H74</f>
        <v>264.5</v>
      </c>
      <c r="P135" s="47">
        <f t="shared" ref="P135:P136" si="252">O135*(Q135-R135-S135)</f>
        <v>179066.5</v>
      </c>
      <c r="Q135" s="46">
        <v>705</v>
      </c>
      <c r="R135" s="500">
        <v>0</v>
      </c>
      <c r="S135" s="500">
        <v>28</v>
      </c>
      <c r="T135" s="36">
        <f t="shared" ref="T135:T136" si="253">E135*M135*O135*Q135/100000000</f>
        <v>20.058473879999998</v>
      </c>
      <c r="U135" s="36">
        <f t="shared" ref="U135:U136" si="254">E135*M135*O135*(Q135-R135-S135)/100000000</f>
        <v>19.261825271999999</v>
      </c>
      <c r="V135" s="36">
        <f t="shared" ref="V135:V136" si="255">E135*G135*(1-N135)*O135/100*(R135+S135)/1000000</f>
        <v>0.80108290186954245</v>
      </c>
      <c r="W135" s="36">
        <f>+'26'!K10/1000</f>
        <v>21.512</v>
      </c>
      <c r="X135" s="501">
        <f>SUM(W135:W139)/SUM(K135:K139)</f>
        <v>0.83985882015978752</v>
      </c>
      <c r="Y135" s="210">
        <v>0</v>
      </c>
      <c r="Z135" s="36">
        <f>+'24'!D17/1000</f>
        <v>0</v>
      </c>
      <c r="AA135" s="48">
        <f>SUM(U135:U139)-SUM(W135:W139)-SUM(Z135:Z139)-SUM(Y135:Y139)</f>
        <v>1.5069997638367383</v>
      </c>
      <c r="AB135" s="48">
        <f>(SUM(K135:K139)-SUM(W135:W139)-SUM(Y135:Y139)-SUM(Z135:Z139)-SUM(AC135:AC139)-SUM(V135:V139))-AA135</f>
        <v>-0.14318828570628139</v>
      </c>
      <c r="AC135" s="36">
        <f>K135-T135</f>
        <v>0.85926527999999891</v>
      </c>
      <c r="AD135" s="36">
        <f>+AM135+BA135</f>
        <v>8</v>
      </c>
      <c r="AE135" s="229" t="s">
        <v>493</v>
      </c>
      <c r="AF135" s="36">
        <v>8</v>
      </c>
      <c r="AG135" s="36"/>
      <c r="AH135" s="36"/>
      <c r="AI135" s="36"/>
      <c r="AJ135" s="36"/>
      <c r="AK135" s="36"/>
      <c r="AL135" s="36"/>
      <c r="AM135" s="36">
        <f t="shared" ref="AM135:AM137" si="256">SUM(AF135:AL135)+AT135+AV135+AX135</f>
        <v>8</v>
      </c>
      <c r="AN135" s="36"/>
      <c r="AO135" s="36"/>
      <c r="AP135" s="36"/>
      <c r="AQ135" s="36"/>
      <c r="AR135" s="36">
        <f>SUM(AN135:AQ135)</f>
        <v>0</v>
      </c>
      <c r="AS135" s="36"/>
      <c r="AT135" s="36"/>
      <c r="AU135" s="36"/>
      <c r="AV135" s="36"/>
      <c r="AW135" s="36"/>
      <c r="AX135" s="36"/>
      <c r="AY135" s="36"/>
      <c r="AZ135" s="36"/>
      <c r="BA135" s="36">
        <f>+AR135+AS135+AU135+AW135+AY135+AZ135</f>
        <v>0</v>
      </c>
      <c r="BB135" s="32">
        <v>3</v>
      </c>
      <c r="BC135" s="50"/>
      <c r="BD135" s="50"/>
      <c r="BE135" s="32"/>
      <c r="BF135" s="50"/>
    </row>
    <row r="136" spans="1:58" ht="12.95" customHeight="1">
      <c r="A136" s="39"/>
      <c r="B136" s="40" t="s">
        <v>513</v>
      </c>
      <c r="C136" s="414">
        <f t="shared" si="248"/>
        <v>23.959300500000001</v>
      </c>
      <c r="D136" s="40" t="s">
        <v>302</v>
      </c>
      <c r="E136" s="41">
        <v>15</v>
      </c>
      <c r="F136" s="41">
        <v>1</v>
      </c>
      <c r="G136" s="499">
        <v>1225</v>
      </c>
      <c r="H136" s="43">
        <v>0.24</v>
      </c>
      <c r="I136" s="44">
        <v>0.88</v>
      </c>
      <c r="J136" s="81">
        <f t="shared" si="249"/>
        <v>55.100304000000008</v>
      </c>
      <c r="K136" s="81">
        <f t="shared" si="250"/>
        <v>27.508257</v>
      </c>
      <c r="L136" s="34">
        <v>1081.1836734693877</v>
      </c>
      <c r="M136" s="34">
        <v>810.88775510204084</v>
      </c>
      <c r="N136" s="45">
        <f t="shared" si="251"/>
        <v>0.25</v>
      </c>
      <c r="O136" s="46">
        <f>+'Trim Rwd'!H76</f>
        <v>268</v>
      </c>
      <c r="P136" s="47">
        <f t="shared" si="252"/>
        <v>188404</v>
      </c>
      <c r="Q136" s="46">
        <v>735</v>
      </c>
      <c r="R136" s="500">
        <v>0</v>
      </c>
      <c r="S136" s="500">
        <v>32</v>
      </c>
      <c r="T136" s="36">
        <f t="shared" si="253"/>
        <v>23.959300500000001</v>
      </c>
      <c r="U136" s="36">
        <f t="shared" si="254"/>
        <v>22.916174491836735</v>
      </c>
      <c r="V136" s="36">
        <f t="shared" si="255"/>
        <v>1.18188</v>
      </c>
      <c r="W136" s="36">
        <f>+'26'!K19/1000</f>
        <v>19.158999999999999</v>
      </c>
      <c r="X136" s="37"/>
      <c r="Y136" s="210"/>
      <c r="Z136" s="36">
        <f>+'24'!D18/1000</f>
        <v>0</v>
      </c>
      <c r="AA136" s="36"/>
      <c r="AB136" s="36"/>
      <c r="AC136" s="36">
        <f>K136-T136</f>
        <v>3.5489564999999992</v>
      </c>
      <c r="AD136" s="36">
        <f>+AM136+BA136</f>
        <v>0</v>
      </c>
      <c r="AE136" s="229" t="s">
        <v>412</v>
      </c>
      <c r="AF136" s="36"/>
      <c r="AG136" s="36">
        <v>0</v>
      </c>
      <c r="AH136" s="36"/>
      <c r="AI136" s="36"/>
      <c r="AJ136" s="36"/>
      <c r="AK136" s="36"/>
      <c r="AL136" s="36"/>
      <c r="AM136" s="36">
        <f t="shared" si="256"/>
        <v>0</v>
      </c>
      <c r="AN136" s="82"/>
      <c r="AO136" s="36"/>
      <c r="AP136" s="36"/>
      <c r="AQ136" s="36"/>
      <c r="AR136" s="36">
        <f t="shared" ref="AR136:AR137" si="257">SUM(AN136:AQ136)</f>
        <v>0</v>
      </c>
      <c r="AS136" s="36"/>
      <c r="AT136" s="36"/>
      <c r="AU136" s="36"/>
      <c r="AV136" s="36"/>
      <c r="AW136" s="36"/>
      <c r="AX136" s="36"/>
      <c r="AY136" s="36"/>
      <c r="AZ136" s="36"/>
      <c r="BA136" s="36">
        <f>+AR136+AS136+AU136+AW136+AY136+AZ136</f>
        <v>0</v>
      </c>
      <c r="BB136" s="49"/>
      <c r="BC136" s="50">
        <v>0</v>
      </c>
      <c r="BD136" s="50"/>
      <c r="BE136" s="49"/>
      <c r="BF136" s="50"/>
    </row>
    <row r="137" spans="1:58" ht="12.95" customHeight="1">
      <c r="A137" s="39"/>
      <c r="B137" s="40"/>
      <c r="C137" s="414"/>
      <c r="D137" s="40"/>
      <c r="E137" s="41"/>
      <c r="F137" s="41"/>
      <c r="G137" s="499"/>
      <c r="H137" s="43"/>
      <c r="I137" s="44"/>
      <c r="J137" s="81"/>
      <c r="K137" s="81"/>
      <c r="L137" s="34"/>
      <c r="M137" s="34"/>
      <c r="N137" s="45"/>
      <c r="O137" s="46"/>
      <c r="P137" s="47"/>
      <c r="Q137" s="46"/>
      <c r="R137" s="500"/>
      <c r="S137" s="500"/>
      <c r="T137" s="36"/>
      <c r="U137" s="36"/>
      <c r="V137" s="36"/>
      <c r="W137" s="36"/>
      <c r="X137" s="37"/>
      <c r="Y137" s="210"/>
      <c r="Z137" s="36">
        <v>0</v>
      </c>
      <c r="AA137" s="36"/>
      <c r="AB137" s="36"/>
      <c r="AC137" s="36">
        <f>K137-T137</f>
        <v>0</v>
      </c>
      <c r="AD137" s="36">
        <f>+AM137+BA137</f>
        <v>52</v>
      </c>
      <c r="AE137" s="229" t="s">
        <v>720</v>
      </c>
      <c r="AF137" s="32"/>
      <c r="AG137" s="32"/>
      <c r="AH137" s="32">
        <v>52</v>
      </c>
      <c r="AI137" s="32"/>
      <c r="AJ137" s="36"/>
      <c r="AK137" s="36"/>
      <c r="AL137" s="36"/>
      <c r="AM137" s="36">
        <f t="shared" si="256"/>
        <v>52</v>
      </c>
      <c r="AN137" s="36"/>
      <c r="AO137" s="36"/>
      <c r="AP137" s="36"/>
      <c r="AQ137" s="36"/>
      <c r="AR137" s="36">
        <f t="shared" si="257"/>
        <v>0</v>
      </c>
      <c r="AS137" s="36"/>
      <c r="AT137" s="36"/>
      <c r="AU137" s="36"/>
      <c r="AV137" s="36"/>
      <c r="AW137" s="36"/>
      <c r="AX137" s="36"/>
      <c r="AY137" s="36"/>
      <c r="AZ137" s="36"/>
      <c r="BA137" s="36">
        <f>+AR137+AS137+AU137+AW137+AY137+AZ137</f>
        <v>0</v>
      </c>
      <c r="BB137" s="32"/>
      <c r="BC137" s="503"/>
      <c r="BD137" s="503"/>
      <c r="BE137" s="32"/>
      <c r="BF137" s="503"/>
    </row>
    <row r="138" spans="1:58" ht="12.95" customHeight="1">
      <c r="A138" s="39"/>
      <c r="B138" s="40"/>
      <c r="C138" s="414"/>
      <c r="D138" s="40"/>
      <c r="E138" s="41"/>
      <c r="F138" s="41"/>
      <c r="G138" s="42"/>
      <c r="H138" s="43"/>
      <c r="I138" s="44"/>
      <c r="J138" s="81"/>
      <c r="K138" s="81"/>
      <c r="L138" s="34"/>
      <c r="M138" s="34"/>
      <c r="N138" s="45"/>
      <c r="O138" s="46"/>
      <c r="P138" s="47"/>
      <c r="Q138" s="46"/>
      <c r="R138" s="500"/>
      <c r="S138" s="500"/>
      <c r="T138" s="36"/>
      <c r="U138" s="36"/>
      <c r="V138" s="36"/>
      <c r="W138" s="36"/>
      <c r="X138" s="37"/>
      <c r="Y138" s="210"/>
      <c r="Z138" s="36"/>
      <c r="AA138" s="36"/>
      <c r="AB138" s="36"/>
      <c r="AC138" s="36"/>
      <c r="AD138" s="36">
        <f>+AM138+BA138</f>
        <v>0</v>
      </c>
      <c r="AE138" s="232" t="s">
        <v>378</v>
      </c>
      <c r="AF138" s="32"/>
      <c r="AG138" s="32"/>
      <c r="AH138" s="32"/>
      <c r="AI138" s="32"/>
      <c r="AJ138" s="36"/>
      <c r="AK138" s="36"/>
      <c r="AL138" s="36"/>
      <c r="AM138" s="36">
        <f t="shared" ref="AM138" si="258">SUM(AF138:AL138)+AT138+AV138+AX138</f>
        <v>0</v>
      </c>
      <c r="AN138" s="36"/>
      <c r="AO138" s="36"/>
      <c r="AP138" s="36"/>
      <c r="AQ138" s="36"/>
      <c r="AR138" s="36">
        <f t="shared" ref="AR138" si="259">SUM(AN138:AQ138)</f>
        <v>0</v>
      </c>
      <c r="AS138" s="36"/>
      <c r="AT138" s="36"/>
      <c r="AU138" s="36"/>
      <c r="AV138" s="36"/>
      <c r="AW138" s="36"/>
      <c r="AX138" s="36"/>
      <c r="AY138" s="36"/>
      <c r="AZ138" s="36"/>
      <c r="BA138" s="36">
        <f>+AR138+AS138+AU138+AW138+AY138+AZ138</f>
        <v>0</v>
      </c>
      <c r="BB138" s="32"/>
      <c r="BC138" s="503"/>
      <c r="BD138" s="503"/>
      <c r="BE138" s="32"/>
      <c r="BF138" s="503"/>
    </row>
    <row r="139" spans="1:58" ht="16.5" customHeight="1">
      <c r="A139" s="39"/>
      <c r="B139" s="40"/>
      <c r="C139" s="414"/>
      <c r="D139" s="40"/>
      <c r="E139" s="41"/>
      <c r="F139" s="41"/>
      <c r="G139" s="499"/>
      <c r="H139" s="43"/>
      <c r="I139" s="44"/>
      <c r="J139" s="81"/>
      <c r="K139" s="81"/>
      <c r="L139" s="34"/>
      <c r="M139" s="34"/>
      <c r="N139" s="45"/>
      <c r="O139" s="46"/>
      <c r="P139" s="47"/>
      <c r="Q139" s="46"/>
      <c r="R139" s="500"/>
      <c r="S139" s="500"/>
      <c r="T139" s="36"/>
      <c r="U139" s="36"/>
      <c r="V139" s="36"/>
      <c r="W139" s="36"/>
      <c r="X139" s="501"/>
      <c r="Y139" s="210"/>
      <c r="Z139" s="36"/>
      <c r="AA139" s="48"/>
      <c r="AB139" s="48"/>
      <c r="AC139" s="36"/>
      <c r="AD139" s="36"/>
      <c r="AE139" s="229"/>
      <c r="AF139" s="36"/>
      <c r="AG139" s="36"/>
      <c r="AH139" s="36"/>
      <c r="AI139" s="502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2"/>
      <c r="BC139" s="50"/>
      <c r="BD139" s="503"/>
      <c r="BE139" s="32"/>
      <c r="BF139" s="503"/>
    </row>
    <row r="140" spans="1:58" ht="12.75" customHeight="1">
      <c r="A140" s="39">
        <v>46139</v>
      </c>
      <c r="B140" s="40" t="s">
        <v>513</v>
      </c>
      <c r="C140" s="414">
        <f t="shared" ref="C140:C142" si="260">(M140*E140*O140*Q140)/100000000</f>
        <v>13.778952</v>
      </c>
      <c r="D140" s="40" t="s">
        <v>302</v>
      </c>
      <c r="E140" s="41">
        <v>15</v>
      </c>
      <c r="F140" s="41">
        <v>1</v>
      </c>
      <c r="G140" s="499">
        <v>1225</v>
      </c>
      <c r="H140" s="43">
        <v>0.24</v>
      </c>
      <c r="I140" s="44">
        <v>0.88</v>
      </c>
      <c r="J140" s="81">
        <f t="shared" ref="J140:J142" si="261">E140*G140*(1-H140)*1440/1000000*2.74</f>
        <v>55.100304000000008</v>
      </c>
      <c r="K140" s="81">
        <f t="shared" ref="K140:K142" si="262">(IF(G140&lt;L140,L140,G140)*(1-IF(H140&lt;N140,H140,N140))*E140*O140*Q140)/100000000</f>
        <v>15.344742</v>
      </c>
      <c r="L140" s="34">
        <v>1100</v>
      </c>
      <c r="M140" s="34">
        <v>836</v>
      </c>
      <c r="N140" s="45">
        <f t="shared" ref="N140:N142" si="263">1-(M140/L140)</f>
        <v>0.24</v>
      </c>
      <c r="O140" s="46">
        <f>+'Trim Rwd'!H78</f>
        <v>268</v>
      </c>
      <c r="P140" s="47">
        <f t="shared" ref="P140:P142" si="264">O140*(Q140-R140-S140)</f>
        <v>103180</v>
      </c>
      <c r="Q140" s="46">
        <v>410</v>
      </c>
      <c r="R140" s="500">
        <v>0</v>
      </c>
      <c r="S140" s="500">
        <v>25</v>
      </c>
      <c r="T140" s="36">
        <f t="shared" ref="T140:T142" si="265">E140*M140*O140*Q140/100000000</f>
        <v>13.778952</v>
      </c>
      <c r="U140" s="36">
        <f t="shared" ref="U140:U142" si="266">E140*M140*O140*(Q140-R140-S140)/100000000</f>
        <v>12.938772</v>
      </c>
      <c r="V140" s="36">
        <f t="shared" ref="V140:V142" si="267">E140*G140*(1-N140)*O140/100*(R140+S140)/1000000</f>
        <v>0.9356549999999999</v>
      </c>
      <c r="W140" s="36">
        <f>+'27'!K19/1000</f>
        <v>14.476000000000001</v>
      </c>
      <c r="X140" s="501">
        <f>SUM(W140:W144)/SUM(K140:K144)</f>
        <v>0.80918162988148223</v>
      </c>
      <c r="Y140" s="210">
        <v>0</v>
      </c>
      <c r="Z140" s="36">
        <f>+'27'!D7/1000</f>
        <v>0.34699999999999998</v>
      </c>
      <c r="AA140" s="48">
        <f>SUM(U140:U144)-SUM(W140:W144)-SUM(Z140:Z144)-SUM(Y140:Y144)</f>
        <v>4.6639089513684144</v>
      </c>
      <c r="AB140" s="48">
        <f>(SUM(K140:K144)-SUM(W140:W144)-SUM(Y140:Y144)-SUM(Z140:Z144)-SUM(AC140:AC144)-SUM(V140:V144))-AA140</f>
        <v>-0.11686792146703073</v>
      </c>
      <c r="AC140" s="36">
        <f>K140-T140</f>
        <v>1.5657899999999998</v>
      </c>
      <c r="AD140" s="36">
        <f>+AM140+BA140</f>
        <v>15</v>
      </c>
      <c r="AE140" s="229" t="s">
        <v>415</v>
      </c>
      <c r="AF140" s="36">
        <v>15</v>
      </c>
      <c r="AG140" s="36"/>
      <c r="AH140" s="36"/>
      <c r="AI140" s="36"/>
      <c r="AJ140" s="36"/>
      <c r="AK140" s="36"/>
      <c r="AL140" s="36"/>
      <c r="AM140" s="36">
        <f t="shared" ref="AM140:AM142" si="268">SUM(AF140:AL140)+AT140+AV140+AX140</f>
        <v>15</v>
      </c>
      <c r="AN140" s="36"/>
      <c r="AO140" s="36"/>
      <c r="AP140" s="36"/>
      <c r="AQ140" s="36"/>
      <c r="AR140" s="36">
        <f>SUM(AN140:AQ140)</f>
        <v>0</v>
      </c>
      <c r="AS140" s="36"/>
      <c r="AT140" s="36"/>
      <c r="AU140" s="36"/>
      <c r="AV140" s="36"/>
      <c r="AW140" s="36"/>
      <c r="AX140" s="36"/>
      <c r="AY140" s="36"/>
      <c r="AZ140" s="36"/>
      <c r="BA140" s="36">
        <f>+AR140+AS140+AU140+AW140+AY140+AZ140</f>
        <v>0</v>
      </c>
      <c r="BB140" s="32">
        <v>6</v>
      </c>
      <c r="BC140" s="50"/>
      <c r="BD140" s="50"/>
      <c r="BE140" s="32"/>
      <c r="BF140" s="50"/>
    </row>
    <row r="141" spans="1:58" ht="12.95" customHeight="1">
      <c r="A141" s="39"/>
      <c r="B141" s="40" t="s">
        <v>513</v>
      </c>
      <c r="C141" s="414">
        <f t="shared" si="260"/>
        <v>31.4109333</v>
      </c>
      <c r="D141" s="40" t="s">
        <v>302</v>
      </c>
      <c r="E141" s="41">
        <v>13.5</v>
      </c>
      <c r="F141" s="41">
        <v>1</v>
      </c>
      <c r="G141" s="499">
        <v>1230</v>
      </c>
      <c r="H141" s="43">
        <v>0.24</v>
      </c>
      <c r="I141" s="44">
        <v>0.88</v>
      </c>
      <c r="J141" s="81">
        <f t="shared" si="261"/>
        <v>49.792682880000008</v>
      </c>
      <c r="K141" s="81">
        <f t="shared" si="262"/>
        <v>32.130010800000001</v>
      </c>
      <c r="L141" s="34">
        <v>1210.421052631579</v>
      </c>
      <c r="M141" s="34">
        <v>913.87894736842111</v>
      </c>
      <c r="N141" s="45">
        <f t="shared" si="263"/>
        <v>0.24499086877119747</v>
      </c>
      <c r="O141" s="46">
        <f>+'Trim Rwd'!H80</f>
        <v>268</v>
      </c>
      <c r="P141" s="47">
        <f t="shared" si="264"/>
        <v>243880</v>
      </c>
      <c r="Q141" s="46">
        <v>950</v>
      </c>
      <c r="R141" s="500">
        <v>0</v>
      </c>
      <c r="S141" s="500">
        <v>40</v>
      </c>
      <c r="T141" s="36">
        <f t="shared" si="265"/>
        <v>31.4109333</v>
      </c>
      <c r="U141" s="36">
        <f t="shared" si="266"/>
        <v>30.088367687368422</v>
      </c>
      <c r="V141" s="36">
        <f t="shared" si="267"/>
        <v>1.3439585340986173</v>
      </c>
      <c r="W141" s="36">
        <f>+'27'!K17/1000</f>
        <v>26.047999999999998</v>
      </c>
      <c r="X141" s="37"/>
      <c r="Y141" s="210"/>
      <c r="Z141" s="36">
        <f>+'24'!D23/1000</f>
        <v>0</v>
      </c>
      <c r="AA141" s="36"/>
      <c r="AB141" s="36"/>
      <c r="AC141" s="36">
        <f>K141-T141</f>
        <v>0.71907750000000092</v>
      </c>
      <c r="AD141" s="36">
        <f>+AM141+BA141</f>
        <v>0</v>
      </c>
      <c r="AE141" s="229" t="s">
        <v>412</v>
      </c>
      <c r="AF141" s="36"/>
      <c r="AG141" s="36">
        <v>0</v>
      </c>
      <c r="AH141" s="36"/>
      <c r="AI141" s="36"/>
      <c r="AJ141" s="36"/>
      <c r="AK141" s="36"/>
      <c r="AL141" s="36"/>
      <c r="AM141" s="36">
        <f t="shared" si="268"/>
        <v>0</v>
      </c>
      <c r="AN141" s="82"/>
      <c r="AO141" s="36"/>
      <c r="AP141" s="36"/>
      <c r="AQ141" s="36"/>
      <c r="AR141" s="36">
        <f t="shared" ref="AR141:AR142" si="269">SUM(AN141:AQ141)</f>
        <v>0</v>
      </c>
      <c r="AS141" s="36"/>
      <c r="AT141" s="36"/>
      <c r="AU141" s="36"/>
      <c r="AV141" s="36"/>
      <c r="AW141" s="36"/>
      <c r="AX141" s="36"/>
      <c r="AY141" s="36"/>
      <c r="AZ141" s="36"/>
      <c r="BA141" s="36">
        <f>+AR141+AS141+AU141+AW141+AY141+AZ141</f>
        <v>0</v>
      </c>
      <c r="BB141" s="49"/>
      <c r="BC141" s="50">
        <v>0</v>
      </c>
      <c r="BD141" s="50"/>
      <c r="BE141" s="49"/>
      <c r="BF141" s="50"/>
    </row>
    <row r="142" spans="1:58" ht="12.95" customHeight="1">
      <c r="A142" s="39"/>
      <c r="B142" s="40" t="s">
        <v>513</v>
      </c>
      <c r="C142" s="414">
        <f t="shared" si="260"/>
        <v>2.6054745599999998</v>
      </c>
      <c r="D142" s="40" t="s">
        <v>302</v>
      </c>
      <c r="E142" s="41">
        <v>13</v>
      </c>
      <c r="F142" s="41">
        <v>1</v>
      </c>
      <c r="G142" s="499">
        <v>1230</v>
      </c>
      <c r="H142" s="43">
        <v>0.24</v>
      </c>
      <c r="I142" s="44">
        <v>0.88</v>
      </c>
      <c r="J142" s="81">
        <f t="shared" si="261"/>
        <v>47.948509440000002</v>
      </c>
      <c r="K142" s="81">
        <f t="shared" si="262"/>
        <v>2.6054745599999998</v>
      </c>
      <c r="L142" s="34">
        <v>1230</v>
      </c>
      <c r="M142" s="34">
        <v>934.8</v>
      </c>
      <c r="N142" s="45">
        <f t="shared" si="263"/>
        <v>0.24</v>
      </c>
      <c r="O142" s="46">
        <f>+'Trim Rwd'!H81</f>
        <v>268</v>
      </c>
      <c r="P142" s="47">
        <f t="shared" si="264"/>
        <v>20636</v>
      </c>
      <c r="Q142" s="46">
        <v>80</v>
      </c>
      <c r="R142" s="500">
        <v>0</v>
      </c>
      <c r="S142" s="500">
        <f>68-S140-S141</f>
        <v>3</v>
      </c>
      <c r="T142" s="36">
        <f t="shared" si="265"/>
        <v>2.6054745599999998</v>
      </c>
      <c r="U142" s="36">
        <f t="shared" si="266"/>
        <v>2.5077692639999998</v>
      </c>
      <c r="V142" s="36">
        <f t="shared" si="267"/>
        <v>9.7705295999999983E-2</v>
      </c>
      <c r="W142" s="36">
        <f>+'26'!K17/1000</f>
        <v>0</v>
      </c>
      <c r="X142" s="37"/>
      <c r="Y142" s="210"/>
      <c r="Z142" s="36">
        <v>0</v>
      </c>
      <c r="AA142" s="36"/>
      <c r="AB142" s="36"/>
      <c r="AC142" s="36">
        <f>K142-T142</f>
        <v>0</v>
      </c>
      <c r="AD142" s="36">
        <f>+AM142+BA142</f>
        <v>53</v>
      </c>
      <c r="AE142" s="229" t="s">
        <v>720</v>
      </c>
      <c r="AF142" s="32"/>
      <c r="AG142" s="32"/>
      <c r="AH142" s="32">
        <v>53</v>
      </c>
      <c r="AI142" s="32"/>
      <c r="AJ142" s="36"/>
      <c r="AK142" s="36"/>
      <c r="AL142" s="36"/>
      <c r="AM142" s="36">
        <f t="shared" si="268"/>
        <v>53</v>
      </c>
      <c r="AN142" s="36"/>
      <c r="AO142" s="36"/>
      <c r="AP142" s="36"/>
      <c r="AQ142" s="36"/>
      <c r="AR142" s="36">
        <f t="shared" si="269"/>
        <v>0</v>
      </c>
      <c r="AS142" s="36"/>
      <c r="AT142" s="36"/>
      <c r="AU142" s="36"/>
      <c r="AV142" s="36"/>
      <c r="AW142" s="36"/>
      <c r="AX142" s="36"/>
      <c r="AY142" s="36"/>
      <c r="AZ142" s="36"/>
      <c r="BA142" s="36">
        <f>+AR142+AS142+AU142+AW142+AY142+AZ142</f>
        <v>0</v>
      </c>
      <c r="BB142" s="32"/>
      <c r="BC142" s="503"/>
      <c r="BD142" s="503"/>
      <c r="BE142" s="32"/>
      <c r="BF142" s="503"/>
    </row>
    <row r="143" spans="1:58" ht="12.95" customHeight="1">
      <c r="A143" s="39"/>
      <c r="B143" s="40"/>
      <c r="C143" s="414"/>
      <c r="D143" s="40"/>
      <c r="E143" s="41"/>
      <c r="F143" s="41"/>
      <c r="G143" s="42"/>
      <c r="H143" s="43"/>
      <c r="I143" s="44"/>
      <c r="J143" s="81"/>
      <c r="K143" s="81"/>
      <c r="L143" s="34"/>
      <c r="M143" s="34"/>
      <c r="N143" s="45"/>
      <c r="O143" s="46"/>
      <c r="P143" s="47"/>
      <c r="Q143" s="46"/>
      <c r="R143" s="500"/>
      <c r="S143" s="500"/>
      <c r="T143" s="36"/>
      <c r="U143" s="36"/>
      <c r="V143" s="36"/>
      <c r="W143" s="36"/>
      <c r="X143" s="37"/>
      <c r="Y143" s="210"/>
      <c r="Z143" s="36"/>
      <c r="AA143" s="36"/>
      <c r="AB143" s="36"/>
      <c r="AC143" s="36"/>
      <c r="AD143" s="36">
        <f>+AM143+BA143</f>
        <v>0</v>
      </c>
      <c r="AE143" s="232" t="s">
        <v>378</v>
      </c>
      <c r="AF143" s="32"/>
      <c r="AG143" s="32"/>
      <c r="AH143" s="32"/>
      <c r="AI143" s="32"/>
      <c r="AJ143" s="36"/>
      <c r="AK143" s="36"/>
      <c r="AL143" s="36"/>
      <c r="AM143" s="36">
        <f t="shared" ref="AM143" si="270">SUM(AF143:AL143)+AT143+AV143+AX143</f>
        <v>0</v>
      </c>
      <c r="AN143" s="36"/>
      <c r="AO143" s="36"/>
      <c r="AP143" s="36"/>
      <c r="AQ143" s="36"/>
      <c r="AR143" s="36">
        <f t="shared" ref="AR143" si="271">SUM(AN143:AQ143)</f>
        <v>0</v>
      </c>
      <c r="AS143" s="36"/>
      <c r="AT143" s="36"/>
      <c r="AU143" s="36"/>
      <c r="AV143" s="36"/>
      <c r="AW143" s="36"/>
      <c r="AX143" s="36"/>
      <c r="AY143" s="36"/>
      <c r="AZ143" s="36"/>
      <c r="BA143" s="36">
        <f>+AR143+AS143+AU143+AW143+AY143+AZ143</f>
        <v>0</v>
      </c>
      <c r="BB143" s="32"/>
      <c r="BC143" s="503"/>
      <c r="BD143" s="503"/>
      <c r="BE143" s="32"/>
      <c r="BF143" s="503"/>
    </row>
    <row r="144" spans="1:58" ht="16.5" customHeight="1">
      <c r="A144" s="39"/>
      <c r="B144" s="40"/>
      <c r="C144" s="414"/>
      <c r="D144" s="40"/>
      <c r="E144" s="41"/>
      <c r="F144" s="41"/>
      <c r="G144" s="499"/>
      <c r="H144" s="43"/>
      <c r="I144" s="44"/>
      <c r="J144" s="81"/>
      <c r="K144" s="81"/>
      <c r="L144" s="34"/>
      <c r="M144" s="34"/>
      <c r="N144" s="45"/>
      <c r="O144" s="46"/>
      <c r="P144" s="47"/>
      <c r="Q144" s="46"/>
      <c r="R144" s="500"/>
      <c r="S144" s="500"/>
      <c r="T144" s="36"/>
      <c r="U144" s="36"/>
      <c r="V144" s="36"/>
      <c r="W144" s="36"/>
      <c r="X144" s="501"/>
      <c r="Y144" s="210"/>
      <c r="Z144" s="36"/>
      <c r="AA144" s="48"/>
      <c r="AB144" s="48"/>
      <c r="AC144" s="36"/>
      <c r="AD144" s="36"/>
      <c r="AE144" s="229"/>
      <c r="AF144" s="36"/>
      <c r="AG144" s="36"/>
      <c r="AH144" s="36"/>
      <c r="AI144" s="502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2"/>
      <c r="BC144" s="50"/>
      <c r="BD144" s="503"/>
      <c r="BE144" s="32"/>
      <c r="BF144" s="503"/>
    </row>
    <row r="145" spans="1:58" ht="12.75" customHeight="1">
      <c r="A145" s="39">
        <v>46140</v>
      </c>
      <c r="B145" s="40" t="s">
        <v>513</v>
      </c>
      <c r="C145" s="414">
        <f t="shared" ref="C145:C146" si="272">(M145*E145*O145*Q145)/100000000</f>
        <v>11.248965</v>
      </c>
      <c r="D145" s="40" t="s">
        <v>302</v>
      </c>
      <c r="E145" s="41">
        <v>13</v>
      </c>
      <c r="F145" s="41">
        <v>1</v>
      </c>
      <c r="G145" s="499">
        <v>1230</v>
      </c>
      <c r="H145" s="43">
        <v>0.24</v>
      </c>
      <c r="I145" s="44">
        <v>0.88</v>
      </c>
      <c r="J145" s="81">
        <f t="shared" ref="J145:J146" si="273">E145*G145*(1-H145)*1440/1000000*2.74</f>
        <v>47.948509440000002</v>
      </c>
      <c r="K145" s="81">
        <f t="shared" ref="K145:K146" si="274">(IF(G145&lt;L145,L145,G145)*(1-IF(H145&lt;N145,H145,N145))*E145*O145*Q145)/100000000</f>
        <v>11.398951200000001</v>
      </c>
      <c r="L145" s="34">
        <v>1230</v>
      </c>
      <c r="M145" s="34">
        <v>922.5</v>
      </c>
      <c r="N145" s="45">
        <f t="shared" ref="N145:N146" si="275">1-(M145/L145)</f>
        <v>0.25</v>
      </c>
      <c r="O145" s="46">
        <f>+'Trim Rwd'!H83</f>
        <v>268</v>
      </c>
      <c r="P145" s="47">
        <f t="shared" ref="P145:P146" si="276">O145*(Q145-R145-S145)</f>
        <v>89512</v>
      </c>
      <c r="Q145" s="46">
        <v>350</v>
      </c>
      <c r="R145" s="500">
        <v>0</v>
      </c>
      <c r="S145" s="500">
        <v>16</v>
      </c>
      <c r="T145" s="36">
        <f t="shared" ref="T145:T146" si="277">E145*M145*O145*Q145/100000000</f>
        <v>11.248965</v>
      </c>
      <c r="U145" s="36">
        <f t="shared" ref="U145:U146" si="278">E145*M145*O145*(Q145-R145-S145)/100000000</f>
        <v>10.7347266</v>
      </c>
      <c r="V145" s="36">
        <f t="shared" ref="V145:V146" si="279">E145*G145*(1-N145)*O145/100*(R145+S145)/1000000</f>
        <v>0.51423839999999998</v>
      </c>
      <c r="W145" s="36">
        <f>+'28'!K14/1000</f>
        <v>13.47</v>
      </c>
      <c r="X145" s="501">
        <f>SUM(W145:W149)/SUM(K145:K149)</f>
        <v>0.93192478293372505</v>
      </c>
      <c r="Y145" s="210">
        <v>0</v>
      </c>
      <c r="Z145" s="36">
        <f>+'28'!D7/1000</f>
        <v>0.28899999999999998</v>
      </c>
      <c r="AA145" s="48">
        <f>SUM(U145:U149)-SUM(W145:W149)-SUM(Z145:Z149)-SUM(Y145:Y149)</f>
        <v>9.8938378348621903E-2</v>
      </c>
      <c r="AB145" s="48">
        <f>(SUM(K145:K149)-SUM(W145:W149)-SUM(Y145:Y149)-SUM(Z145:Z149)-SUM(AC145:AC149)-SUM(V145:V149))-AA145</f>
        <v>-2.0984366972480906E-2</v>
      </c>
      <c r="AC145" s="36">
        <f>K145-T145</f>
        <v>0.14998620000000074</v>
      </c>
      <c r="AD145" s="36">
        <f>+AM145+BA145</f>
        <v>12</v>
      </c>
      <c r="AE145" s="229" t="s">
        <v>494</v>
      </c>
      <c r="AF145" s="36">
        <v>12</v>
      </c>
      <c r="AG145" s="36"/>
      <c r="AH145" s="36"/>
      <c r="AI145" s="36"/>
      <c r="AJ145" s="36"/>
      <c r="AK145" s="36"/>
      <c r="AL145" s="36"/>
      <c r="AM145" s="36">
        <f t="shared" ref="AM145:AM147" si="280">SUM(AF145:AL145)+AT145+AV145+AX145</f>
        <v>12</v>
      </c>
      <c r="AN145" s="36"/>
      <c r="AO145" s="36"/>
      <c r="AP145" s="36"/>
      <c r="AQ145" s="36"/>
      <c r="AR145" s="36">
        <f>SUM(AN145:AQ145)</f>
        <v>0</v>
      </c>
      <c r="AS145" s="36"/>
      <c r="AT145" s="36"/>
      <c r="AU145" s="36"/>
      <c r="AV145" s="36"/>
      <c r="AW145" s="36"/>
      <c r="AX145" s="36"/>
      <c r="AY145" s="36"/>
      <c r="AZ145" s="36"/>
      <c r="BA145" s="36">
        <f>+AR145+AS145+AU145+AW145+AY145+AZ145</f>
        <v>0</v>
      </c>
      <c r="BB145" s="32">
        <v>5</v>
      </c>
      <c r="BC145" s="50"/>
      <c r="BD145" s="50"/>
      <c r="BE145" s="32"/>
      <c r="BF145" s="50"/>
    </row>
    <row r="146" spans="1:58" ht="12.95" customHeight="1">
      <c r="A146" s="39"/>
      <c r="B146" s="40" t="s">
        <v>513</v>
      </c>
      <c r="C146" s="414">
        <f t="shared" si="272"/>
        <v>31.941907411376143</v>
      </c>
      <c r="D146" s="40" t="s">
        <v>302</v>
      </c>
      <c r="E146" s="41">
        <v>12.5</v>
      </c>
      <c r="F146" s="41">
        <v>1</v>
      </c>
      <c r="G146" s="499">
        <v>1230</v>
      </c>
      <c r="H146" s="43">
        <v>0.24</v>
      </c>
      <c r="I146" s="44">
        <v>0.88</v>
      </c>
      <c r="J146" s="81">
        <f t="shared" si="273"/>
        <v>46.104336000000004</v>
      </c>
      <c r="K146" s="81">
        <f t="shared" si="274"/>
        <v>32.396428799999995</v>
      </c>
      <c r="L146" s="34">
        <v>1212.7431192660551</v>
      </c>
      <c r="M146" s="34">
        <v>921.68477064220178</v>
      </c>
      <c r="N146" s="45">
        <f t="shared" si="275"/>
        <v>0.2400000000000001</v>
      </c>
      <c r="O146" s="46">
        <f>+'Trim Rwd'!H85</f>
        <v>256</v>
      </c>
      <c r="P146" s="47">
        <f t="shared" si="276"/>
        <v>264448</v>
      </c>
      <c r="Q146" s="46">
        <f>1090-7</f>
        <v>1083</v>
      </c>
      <c r="R146" s="500">
        <v>0</v>
      </c>
      <c r="S146" s="500">
        <f>57-7</f>
        <v>50</v>
      </c>
      <c r="T146" s="36">
        <f t="shared" si="277"/>
        <v>31.941907411376143</v>
      </c>
      <c r="U146" s="36">
        <f t="shared" si="278"/>
        <v>30.467211778348624</v>
      </c>
      <c r="V146" s="36">
        <f t="shared" si="279"/>
        <v>1.4956799999999997</v>
      </c>
      <c r="W146" s="36">
        <f>+'28'!K16/1000</f>
        <v>27.344000000000001</v>
      </c>
      <c r="X146" s="37"/>
      <c r="Y146" s="210"/>
      <c r="Z146" s="36">
        <f>+'24'!D28/1000</f>
        <v>0</v>
      </c>
      <c r="AA146" s="36"/>
      <c r="AB146" s="36"/>
      <c r="AC146" s="36">
        <f>K146-T146</f>
        <v>0.45452138862385283</v>
      </c>
      <c r="AD146" s="36">
        <f>+AM146+BA146</f>
        <v>2</v>
      </c>
      <c r="AE146" s="229" t="s">
        <v>414</v>
      </c>
      <c r="AF146" s="36"/>
      <c r="AG146" s="36">
        <v>2</v>
      </c>
      <c r="AH146" s="36"/>
      <c r="AI146" s="36"/>
      <c r="AJ146" s="36"/>
      <c r="AK146" s="36"/>
      <c r="AL146" s="36"/>
      <c r="AM146" s="36">
        <f t="shared" si="280"/>
        <v>2</v>
      </c>
      <c r="AN146" s="82"/>
      <c r="AO146" s="36"/>
      <c r="AP146" s="36"/>
      <c r="AQ146" s="36"/>
      <c r="AR146" s="36">
        <f t="shared" ref="AR146:AR147" si="281">SUM(AN146:AQ146)</f>
        <v>0</v>
      </c>
      <c r="AS146" s="36"/>
      <c r="AT146" s="36"/>
      <c r="AU146" s="36"/>
      <c r="AV146" s="36"/>
      <c r="AW146" s="36"/>
      <c r="AX146" s="36"/>
      <c r="AY146" s="36"/>
      <c r="AZ146" s="36"/>
      <c r="BA146" s="36">
        <f>+AR146+AS146+AU146+AW146+AY146+AZ146</f>
        <v>0</v>
      </c>
      <c r="BB146" s="49"/>
      <c r="BC146" s="50">
        <v>1</v>
      </c>
      <c r="BD146" s="50"/>
      <c r="BE146" s="49"/>
      <c r="BF146" s="50"/>
    </row>
    <row r="147" spans="1:58" ht="12.95" customHeight="1">
      <c r="A147" s="39"/>
      <c r="B147" s="40"/>
      <c r="C147" s="414"/>
      <c r="D147" s="40"/>
      <c r="E147" s="41"/>
      <c r="F147" s="41"/>
      <c r="G147" s="499"/>
      <c r="H147" s="43"/>
      <c r="I147" s="44"/>
      <c r="J147" s="81"/>
      <c r="K147" s="81"/>
      <c r="L147" s="34"/>
      <c r="M147" s="34"/>
      <c r="N147" s="45"/>
      <c r="O147" s="46"/>
      <c r="P147" s="47"/>
      <c r="Q147" s="46"/>
      <c r="R147" s="500"/>
      <c r="S147" s="500"/>
      <c r="T147" s="36"/>
      <c r="U147" s="36"/>
      <c r="V147" s="36"/>
      <c r="W147" s="36"/>
      <c r="X147" s="37"/>
      <c r="Y147" s="210"/>
      <c r="Z147" s="36">
        <v>0</v>
      </c>
      <c r="AA147" s="36"/>
      <c r="AB147" s="36"/>
      <c r="AC147" s="36">
        <f>K147-T147</f>
        <v>0</v>
      </c>
      <c r="AD147" s="36">
        <f>+AM147+BA147</f>
        <v>52</v>
      </c>
      <c r="AE147" s="229" t="s">
        <v>429</v>
      </c>
      <c r="AF147" s="32"/>
      <c r="AG147" s="32"/>
      <c r="AH147" s="32">
        <v>52</v>
      </c>
      <c r="AI147" s="32"/>
      <c r="AJ147" s="36"/>
      <c r="AK147" s="36"/>
      <c r="AL147" s="36"/>
      <c r="AM147" s="36">
        <f t="shared" si="280"/>
        <v>52</v>
      </c>
      <c r="AN147" s="36"/>
      <c r="AO147" s="36"/>
      <c r="AP147" s="36"/>
      <c r="AQ147" s="36"/>
      <c r="AR147" s="36">
        <f t="shared" si="281"/>
        <v>0</v>
      </c>
      <c r="AS147" s="36"/>
      <c r="AT147" s="36"/>
      <c r="AU147" s="36"/>
      <c r="AV147" s="36"/>
      <c r="AW147" s="36"/>
      <c r="AX147" s="36"/>
      <c r="AY147" s="36"/>
      <c r="AZ147" s="36"/>
      <c r="BA147" s="36">
        <f>+AR147+AS147+AU147+AW147+AY147+AZ147</f>
        <v>0</v>
      </c>
      <c r="BB147" s="32"/>
      <c r="BC147" s="503"/>
      <c r="BD147" s="503"/>
      <c r="BE147" s="32"/>
      <c r="BF147" s="503"/>
    </row>
    <row r="148" spans="1:58" ht="12.95" customHeight="1">
      <c r="A148" s="39"/>
      <c r="B148" s="40"/>
      <c r="C148" s="414"/>
      <c r="D148" s="40"/>
      <c r="E148" s="41"/>
      <c r="F148" s="41"/>
      <c r="G148" s="42"/>
      <c r="H148" s="43"/>
      <c r="I148" s="44"/>
      <c r="J148" s="81"/>
      <c r="K148" s="81"/>
      <c r="L148" s="34"/>
      <c r="M148" s="34"/>
      <c r="N148" s="45"/>
      <c r="O148" s="46"/>
      <c r="P148" s="47"/>
      <c r="Q148" s="46"/>
      <c r="R148" s="500"/>
      <c r="S148" s="500"/>
      <c r="T148" s="36"/>
      <c r="U148" s="36"/>
      <c r="V148" s="36"/>
      <c r="W148" s="36"/>
      <c r="X148" s="37"/>
      <c r="Y148" s="210"/>
      <c r="Z148" s="36"/>
      <c r="AA148" s="36"/>
      <c r="AB148" s="36"/>
      <c r="AC148" s="36"/>
      <c r="AD148" s="36">
        <f>+AM148+BA148</f>
        <v>0</v>
      </c>
      <c r="AE148" s="232" t="s">
        <v>744</v>
      </c>
      <c r="AF148" s="32"/>
      <c r="AG148" s="32"/>
      <c r="AH148" s="32"/>
      <c r="AI148" s="32"/>
      <c r="AJ148" s="36"/>
      <c r="AK148" s="36"/>
      <c r="AL148" s="36"/>
      <c r="AM148" s="36">
        <f t="shared" ref="AM148" si="282">SUM(AF148:AL148)+AT148+AV148+AX148</f>
        <v>0</v>
      </c>
      <c r="AN148" s="36"/>
      <c r="AO148" s="36"/>
      <c r="AP148" s="36"/>
      <c r="AQ148" s="36"/>
      <c r="AR148" s="36">
        <f t="shared" ref="AR148" si="283">SUM(AN148:AQ148)</f>
        <v>0</v>
      </c>
      <c r="AS148" s="36"/>
      <c r="AT148" s="36"/>
      <c r="AU148" s="36"/>
      <c r="AV148" s="36">
        <f>7-7</f>
        <v>0</v>
      </c>
      <c r="AW148" s="36"/>
      <c r="AX148" s="36"/>
      <c r="AY148" s="36"/>
      <c r="AZ148" s="36"/>
      <c r="BA148" s="36">
        <f>+AR148+AS148+AU148+AW148+AY148+AZ148</f>
        <v>0</v>
      </c>
      <c r="BB148" s="32"/>
      <c r="BC148" s="503"/>
      <c r="BD148" s="503">
        <v>3</v>
      </c>
      <c r="BE148" s="32"/>
      <c r="BF148" s="503"/>
    </row>
    <row r="149" spans="1:58" ht="12.95" customHeight="1">
      <c r="A149" s="39"/>
      <c r="B149" s="40"/>
      <c r="C149" s="414"/>
      <c r="D149" s="40"/>
      <c r="E149" s="41"/>
      <c r="F149" s="41"/>
      <c r="G149" s="499"/>
      <c r="H149" s="43"/>
      <c r="I149" s="44"/>
      <c r="J149" s="81"/>
      <c r="K149" s="81"/>
      <c r="L149" s="34"/>
      <c r="M149" s="34"/>
      <c r="N149" s="45"/>
      <c r="O149" s="46"/>
      <c r="P149" s="47"/>
      <c r="Q149" s="46"/>
      <c r="R149" s="500"/>
      <c r="S149" s="500"/>
      <c r="T149" s="36"/>
      <c r="U149" s="36"/>
      <c r="V149" s="36"/>
      <c r="W149" s="36"/>
      <c r="X149" s="37"/>
      <c r="Y149" s="210"/>
      <c r="Z149" s="36"/>
      <c r="AA149" s="48"/>
      <c r="AB149" s="48"/>
      <c r="AC149" s="36"/>
      <c r="AD149" s="36"/>
      <c r="AE149" s="229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2"/>
      <c r="BC149" s="50"/>
      <c r="BD149" s="50"/>
      <c r="BE149" s="50"/>
      <c r="BF149" s="50"/>
    </row>
    <row r="150" spans="1:58" ht="12.75" customHeight="1">
      <c r="A150" s="39">
        <v>46141</v>
      </c>
      <c r="B150" s="40" t="s">
        <v>513</v>
      </c>
      <c r="C150" s="414">
        <f t="shared" ref="C150" si="284">(M150*E150*O150*Q150)/100000000</f>
        <v>33.701448882874395</v>
      </c>
      <c r="D150" s="40" t="s">
        <v>302</v>
      </c>
      <c r="E150" s="41">
        <v>12.5</v>
      </c>
      <c r="F150" s="41">
        <v>1</v>
      </c>
      <c r="G150" s="499">
        <v>1230</v>
      </c>
      <c r="H150" s="43">
        <v>0.24</v>
      </c>
      <c r="I150" s="44">
        <v>0.88</v>
      </c>
      <c r="J150" s="81">
        <f t="shared" ref="J150" si="285">E150*G150*(1-H150)*1440/1000000*2.74</f>
        <v>46.104336000000004</v>
      </c>
      <c r="K150" s="81">
        <f t="shared" ref="K150" si="286">(IF(G150&lt;L150,L150,G150)*(1-IF(H150&lt;N150,H150,N150))*E150*O150*Q150)/100000000</f>
        <v>35.255370784615387</v>
      </c>
      <c r="L150" s="34">
        <v>1193.7956810631229</v>
      </c>
      <c r="M150" s="34">
        <v>893.5975913621262</v>
      </c>
      <c r="N150" s="45">
        <f t="shared" ref="N150" si="287">1-(M150/L150)</f>
        <v>0.25146521675606859</v>
      </c>
      <c r="O150" s="46">
        <f>+'Trim Rwd'!H87</f>
        <v>259.20512820512823</v>
      </c>
      <c r="P150" s="47">
        <f t="shared" ref="P150" si="288">O150*(Q150-R150-S150)</f>
        <v>286680.87179487181</v>
      </c>
      <c r="Q150" s="46">
        <f>1440-34-236-6</f>
        <v>1164</v>
      </c>
      <c r="R150" s="500">
        <f>236-236</f>
        <v>0</v>
      </c>
      <c r="S150" s="500">
        <f>98-40</f>
        <v>58</v>
      </c>
      <c r="T150" s="36">
        <f t="shared" ref="T150" si="289">E150*M150*O150*Q150/100000000</f>
        <v>33.701448882874395</v>
      </c>
      <c r="U150" s="36">
        <f t="shared" ref="U150" si="290">E150*M150*O150*(Q150-R150-S150)/100000000</f>
        <v>32.022167065686496</v>
      </c>
      <c r="V150" s="36">
        <f t="shared" ref="V150" si="291">E150*G150*(1-N150)*O150/100*(R150+S150)/1000000</f>
        <v>1.7302095056179887</v>
      </c>
      <c r="W150" s="36">
        <f>+'29'!K16/1000</f>
        <v>28.553000000000001</v>
      </c>
      <c r="X150" s="501">
        <f>SUM(W150:W154)/SUM(K150:K154)</f>
        <v>0.80989078726296804</v>
      </c>
      <c r="Y150" s="210">
        <v>0</v>
      </c>
      <c r="Z150" s="36">
        <f>+'28'!D12/1000</f>
        <v>0</v>
      </c>
      <c r="AA150" s="48">
        <f>SUM(U150:U154)-SUM(W150:W154)-SUM(Z150:Z154)-SUM(Y150:Y154)</f>
        <v>3.469167065686495</v>
      </c>
      <c r="AB150" s="48">
        <f>(SUM(K150:K154)-SUM(W150:W154)-SUM(Y150:Y154)-SUM(Z150:Z154)-SUM(AC150:AC154)-SUM(V150:V154))-AA150</f>
        <v>-5.0927688430089546E-2</v>
      </c>
      <c r="AC150" s="36">
        <f>K150-T150</f>
        <v>1.553921901740992</v>
      </c>
      <c r="AD150" s="36">
        <f>+AM150+BA150</f>
        <v>12</v>
      </c>
      <c r="AE150" s="229" t="s">
        <v>453</v>
      </c>
      <c r="AF150" s="36">
        <v>12</v>
      </c>
      <c r="AG150" s="36"/>
      <c r="AH150" s="36"/>
      <c r="AI150" s="36"/>
      <c r="AJ150" s="36"/>
      <c r="AK150" s="36"/>
      <c r="AL150" s="36"/>
      <c r="AM150" s="36">
        <f t="shared" ref="AM150:AM152" si="292">SUM(AF150:AL150)+AT150+AV150+AX150</f>
        <v>12</v>
      </c>
      <c r="AN150" s="36"/>
      <c r="AO150" s="36"/>
      <c r="AP150" s="36"/>
      <c r="AQ150" s="36"/>
      <c r="AR150" s="36">
        <f>SUM(AN150:AQ150)</f>
        <v>0</v>
      </c>
      <c r="AS150" s="36"/>
      <c r="AT150" s="36"/>
      <c r="AU150" s="36"/>
      <c r="AV150" s="36"/>
      <c r="AW150" s="36"/>
      <c r="AX150" s="36"/>
      <c r="AY150" s="36"/>
      <c r="AZ150" s="36"/>
      <c r="BA150" s="36">
        <f>+AR150+AS150+AU150+AW150+AY150+AZ150</f>
        <v>0</v>
      </c>
      <c r="BB150" s="32">
        <v>4</v>
      </c>
      <c r="BC150" s="50"/>
      <c r="BD150" s="50"/>
      <c r="BE150" s="32"/>
      <c r="BF150" s="50"/>
    </row>
    <row r="151" spans="1:58" ht="12.95" customHeight="1">
      <c r="A151" s="39"/>
      <c r="B151" s="40"/>
      <c r="C151" s="414"/>
      <c r="D151" s="40"/>
      <c r="E151" s="41"/>
      <c r="F151" s="41"/>
      <c r="G151" s="499"/>
      <c r="H151" s="43"/>
      <c r="I151" s="44"/>
      <c r="J151" s="81"/>
      <c r="K151" s="81"/>
      <c r="L151" s="34"/>
      <c r="M151" s="34"/>
      <c r="N151" s="45"/>
      <c r="O151" s="46"/>
      <c r="P151" s="47"/>
      <c r="Q151" s="46"/>
      <c r="R151" s="500"/>
      <c r="S151" s="500"/>
      <c r="T151" s="36"/>
      <c r="U151" s="36"/>
      <c r="V151" s="36"/>
      <c r="W151" s="36"/>
      <c r="X151" s="37"/>
      <c r="Y151" s="210"/>
      <c r="Z151" s="36">
        <f>+'24'!D33/1000</f>
        <v>0</v>
      </c>
      <c r="AA151" s="36"/>
      <c r="AB151" s="36"/>
      <c r="AC151" s="36">
        <f>K151-T151</f>
        <v>0</v>
      </c>
      <c r="AD151" s="36">
        <f>+AM151+BA151</f>
        <v>0</v>
      </c>
      <c r="AE151" s="229" t="s">
        <v>412</v>
      </c>
      <c r="AF151" s="36"/>
      <c r="AG151" s="36">
        <v>0</v>
      </c>
      <c r="AH151" s="36"/>
      <c r="AI151" s="36"/>
      <c r="AJ151" s="36"/>
      <c r="AK151" s="36"/>
      <c r="AL151" s="36"/>
      <c r="AM151" s="36">
        <f t="shared" si="292"/>
        <v>0</v>
      </c>
      <c r="AN151" s="82"/>
      <c r="AO151" s="36"/>
      <c r="AP151" s="36"/>
      <c r="AQ151" s="36"/>
      <c r="AR151" s="36">
        <f t="shared" ref="AR151:AR152" si="293">SUM(AN151:AQ151)</f>
        <v>0</v>
      </c>
      <c r="AS151" s="36"/>
      <c r="AT151" s="36"/>
      <c r="AU151" s="36"/>
      <c r="AV151" s="36"/>
      <c r="AW151" s="36"/>
      <c r="AX151" s="36"/>
      <c r="AY151" s="36"/>
      <c r="AZ151" s="36"/>
      <c r="BA151" s="36">
        <f>+AR151+AS151+AU151+AW151+AY151+AZ151</f>
        <v>0</v>
      </c>
      <c r="BB151" s="49"/>
      <c r="BC151" s="50">
        <v>0</v>
      </c>
      <c r="BD151" s="50"/>
      <c r="BE151" s="49"/>
      <c r="BF151" s="50"/>
    </row>
    <row r="152" spans="1:58" ht="12.95" customHeight="1">
      <c r="A152" s="39"/>
      <c r="B152" s="40"/>
      <c r="C152" s="414"/>
      <c r="D152" s="40"/>
      <c r="E152" s="41"/>
      <c r="F152" s="41"/>
      <c r="G152" s="499"/>
      <c r="H152" s="43"/>
      <c r="I152" s="44"/>
      <c r="J152" s="81"/>
      <c r="K152" s="81"/>
      <c r="L152" s="34"/>
      <c r="M152" s="34"/>
      <c r="N152" s="45"/>
      <c r="O152" s="46"/>
      <c r="P152" s="47"/>
      <c r="Q152" s="46"/>
      <c r="R152" s="500"/>
      <c r="S152" s="500"/>
      <c r="T152" s="36"/>
      <c r="U152" s="36"/>
      <c r="V152" s="36"/>
      <c r="W152" s="36"/>
      <c r="X152" s="37"/>
      <c r="Y152" s="210"/>
      <c r="Z152" s="36">
        <v>0</v>
      </c>
      <c r="AA152" s="36"/>
      <c r="AB152" s="36"/>
      <c r="AC152" s="36">
        <f>K152-T152</f>
        <v>0</v>
      </c>
      <c r="AD152" s="36">
        <f>+AM152+BA152</f>
        <v>46</v>
      </c>
      <c r="AE152" s="229" t="s">
        <v>388</v>
      </c>
      <c r="AF152" s="32"/>
      <c r="AG152" s="32"/>
      <c r="AH152" s="32">
        <v>46</v>
      </c>
      <c r="AI152" s="32"/>
      <c r="AJ152" s="36"/>
      <c r="AK152" s="36"/>
      <c r="AL152" s="36"/>
      <c r="AM152" s="36">
        <f t="shared" si="292"/>
        <v>46</v>
      </c>
      <c r="AN152" s="36"/>
      <c r="AO152" s="36"/>
      <c r="AP152" s="36"/>
      <c r="AQ152" s="36"/>
      <c r="AR152" s="36">
        <f t="shared" si="293"/>
        <v>0</v>
      </c>
      <c r="AS152" s="36"/>
      <c r="AT152" s="36"/>
      <c r="AU152" s="36"/>
      <c r="AV152" s="36"/>
      <c r="AW152" s="36"/>
      <c r="AX152" s="36"/>
      <c r="AY152" s="36"/>
      <c r="AZ152" s="36"/>
      <c r="BA152" s="36">
        <f>+AR152+AS152+AU152+AW152+AY152+AZ152</f>
        <v>0</v>
      </c>
      <c r="BB152" s="32"/>
      <c r="BC152" s="503"/>
      <c r="BD152" s="503"/>
      <c r="BE152" s="32"/>
      <c r="BF152" s="503"/>
    </row>
    <row r="153" spans="1:58" ht="12.95" customHeight="1">
      <c r="A153" s="39"/>
      <c r="B153" s="40"/>
      <c r="C153" s="414"/>
      <c r="D153" s="40"/>
      <c r="E153" s="41"/>
      <c r="F153" s="41"/>
      <c r="G153" s="42"/>
      <c r="H153" s="43"/>
      <c r="I153" s="44"/>
      <c r="J153" s="81"/>
      <c r="K153" s="81"/>
      <c r="L153" s="34"/>
      <c r="M153" s="34"/>
      <c r="N153" s="45"/>
      <c r="O153" s="46"/>
      <c r="P153" s="47"/>
      <c r="Q153" s="46"/>
      <c r="R153" s="500"/>
      <c r="S153" s="500"/>
      <c r="T153" s="36"/>
      <c r="U153" s="36"/>
      <c r="V153" s="36"/>
      <c r="W153" s="36"/>
      <c r="X153" s="37"/>
      <c r="Y153" s="210"/>
      <c r="Z153" s="36"/>
      <c r="AA153" s="36"/>
      <c r="AB153" s="36"/>
      <c r="AC153" s="36"/>
      <c r="AD153" s="36">
        <f>+AM153+BA153</f>
        <v>0</v>
      </c>
      <c r="AE153" s="232" t="s">
        <v>767</v>
      </c>
      <c r="AF153" s="32"/>
      <c r="AG153" s="32"/>
      <c r="AH153" s="32"/>
      <c r="AI153" s="32"/>
      <c r="AJ153" s="36"/>
      <c r="AK153" s="36"/>
      <c r="AL153" s="36"/>
      <c r="AM153" s="36">
        <f t="shared" ref="AM153" si="294">SUM(AF153:AL153)+AT153+AV153+AX153</f>
        <v>0</v>
      </c>
      <c r="AN153" s="36"/>
      <c r="AO153" s="36"/>
      <c r="AP153" s="36"/>
      <c r="AQ153" s="36"/>
      <c r="AR153" s="36">
        <f t="shared" ref="AR153" si="295">SUM(AN153:AQ153)</f>
        <v>0</v>
      </c>
      <c r="AS153" s="36"/>
      <c r="AT153" s="36"/>
      <c r="AU153" s="36"/>
      <c r="AV153" s="36"/>
      <c r="AW153" s="36">
        <f>236-236</f>
        <v>0</v>
      </c>
      <c r="AX153" s="36"/>
      <c r="AY153" s="36"/>
      <c r="AZ153" s="36"/>
      <c r="BA153" s="36">
        <f>+AR153+AS153+AU153+AW153+AY153+AZ153</f>
        <v>0</v>
      </c>
      <c r="BB153" s="32"/>
      <c r="BC153" s="503"/>
      <c r="BD153" s="503"/>
      <c r="BE153" s="32"/>
      <c r="BF153" s="503"/>
    </row>
    <row r="154" spans="1:58" ht="12.95" customHeight="1">
      <c r="A154" s="39"/>
      <c r="B154" s="40"/>
      <c r="C154" s="414"/>
      <c r="D154" s="40"/>
      <c r="E154" s="41"/>
      <c r="F154" s="41"/>
      <c r="G154" s="42"/>
      <c r="H154" s="43"/>
      <c r="I154" s="44"/>
      <c r="J154" s="81"/>
      <c r="K154" s="81"/>
      <c r="L154" s="34"/>
      <c r="M154" s="34"/>
      <c r="N154" s="45"/>
      <c r="O154" s="46"/>
      <c r="P154" s="47"/>
      <c r="Q154" s="46"/>
      <c r="R154" s="500"/>
      <c r="S154" s="500"/>
      <c r="T154" s="36"/>
      <c r="U154" s="36"/>
      <c r="V154" s="36"/>
      <c r="W154" s="36"/>
      <c r="X154" s="37"/>
      <c r="Y154" s="210"/>
      <c r="Z154" s="36"/>
      <c r="AA154" s="36"/>
      <c r="AB154" s="36"/>
      <c r="AC154" s="36"/>
      <c r="AD154" s="36">
        <f>+AM154+BA154</f>
        <v>0</v>
      </c>
      <c r="AE154" s="232" t="s">
        <v>766</v>
      </c>
      <c r="AF154" s="32"/>
      <c r="AG154" s="32"/>
      <c r="AH154" s="32"/>
      <c r="AI154" s="32"/>
      <c r="AJ154" s="36"/>
      <c r="AK154" s="36"/>
      <c r="AL154" s="36"/>
      <c r="AM154" s="36">
        <f t="shared" ref="AM154" si="296">SUM(AF154:AL154)+AT154+AV154+AX154</f>
        <v>0</v>
      </c>
      <c r="AN154" s="36"/>
      <c r="AO154" s="36"/>
      <c r="AP154" s="36"/>
      <c r="AQ154" s="36"/>
      <c r="AR154" s="36">
        <f t="shared" ref="AR154" si="297">SUM(AN154:AQ154)</f>
        <v>0</v>
      </c>
      <c r="AS154" s="36"/>
      <c r="AT154" s="36"/>
      <c r="AU154" s="36"/>
      <c r="AV154" s="36">
        <f>40-40</f>
        <v>0</v>
      </c>
      <c r="AW154" s="36"/>
      <c r="AX154" s="36"/>
      <c r="AY154" s="36"/>
      <c r="AZ154" s="36"/>
      <c r="BA154" s="36">
        <f>+AR154+AS154+AU154+AW154+AY154+AZ154</f>
        <v>0</v>
      </c>
      <c r="BB154" s="32"/>
      <c r="BC154" s="503"/>
      <c r="BD154" s="503">
        <v>3</v>
      </c>
      <c r="BE154" s="32"/>
      <c r="BF154" s="503"/>
    </row>
    <row r="155" spans="1:58" ht="16.5" customHeight="1">
      <c r="A155" s="39"/>
      <c r="B155" s="40"/>
      <c r="C155" s="414"/>
      <c r="D155" s="40"/>
      <c r="E155" s="41"/>
      <c r="F155" s="41"/>
      <c r="G155" s="499"/>
      <c r="H155" s="43"/>
      <c r="I155" s="44"/>
      <c r="J155" s="81"/>
      <c r="K155" s="81"/>
      <c r="L155" s="34"/>
      <c r="M155" s="34"/>
      <c r="N155" s="45"/>
      <c r="O155" s="46"/>
      <c r="P155" s="47"/>
      <c r="Q155" s="46"/>
      <c r="R155" s="500"/>
      <c r="S155" s="500"/>
      <c r="T155" s="36"/>
      <c r="U155" s="36"/>
      <c r="V155" s="36"/>
      <c r="W155" s="36"/>
      <c r="X155" s="501"/>
      <c r="Y155" s="210"/>
      <c r="Z155" s="36"/>
      <c r="AA155" s="48"/>
      <c r="AB155" s="48"/>
      <c r="AC155" s="36"/>
      <c r="AD155" s="36"/>
      <c r="AE155" s="229"/>
      <c r="AF155" s="36"/>
      <c r="AG155" s="36"/>
      <c r="AH155" s="36"/>
      <c r="AI155" s="502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2"/>
      <c r="BC155" s="50"/>
      <c r="BD155" s="50"/>
      <c r="BE155" s="50"/>
      <c r="BF155" s="50"/>
    </row>
    <row r="156" spans="1:58" ht="12.75" customHeight="1">
      <c r="A156" s="39">
        <v>46142</v>
      </c>
      <c r="B156" s="40" t="s">
        <v>513</v>
      </c>
      <c r="C156" s="414">
        <f t="shared" ref="C156:C157" si="298">(M156*E156*O156*Q156)/100000000</f>
        <v>7.5577954999999992</v>
      </c>
      <c r="D156" s="40" t="s">
        <v>302</v>
      </c>
      <c r="E156" s="41">
        <v>12.5</v>
      </c>
      <c r="F156" s="41">
        <v>1</v>
      </c>
      <c r="G156" s="499">
        <v>1230</v>
      </c>
      <c r="H156" s="43">
        <v>0.24</v>
      </c>
      <c r="I156" s="44">
        <v>0.88</v>
      </c>
      <c r="J156" s="81">
        <f t="shared" ref="J156:J157" si="299">E156*G156*(1-H156)*1440/1000000*2.74</f>
        <v>46.104336000000004</v>
      </c>
      <c r="K156" s="81">
        <f t="shared" ref="K156:K157" si="300">(IF(G156&lt;L156,L156,G156)*(1-IF(H156&lt;N156,H156,N156))*E156*O156*Q156)/100000000</f>
        <v>8.3314361600000009</v>
      </c>
      <c r="L156" s="34">
        <v>1130.6617647058824</v>
      </c>
      <c r="M156" s="34">
        <v>847.99632352941171</v>
      </c>
      <c r="N156" s="45">
        <f t="shared" ref="N156:N157" si="301">1-(M156/L156)</f>
        <v>0.25000000000000011</v>
      </c>
      <c r="O156" s="46">
        <f>+'Trim Rwd'!H91</f>
        <v>262.13333333333333</v>
      </c>
      <c r="P156" s="47">
        <f t="shared" ref="P156:P157" si="302">O156*(Q156-R156-S156)</f>
        <v>63960.533333333333</v>
      </c>
      <c r="Q156" s="46">
        <f>470-198</f>
        <v>272</v>
      </c>
      <c r="R156" s="500">
        <f>198-198</f>
        <v>0</v>
      </c>
      <c r="S156" s="500">
        <v>28</v>
      </c>
      <c r="T156" s="36">
        <f t="shared" ref="T156:T157" si="303">E156*M156*O156*Q156/100000000</f>
        <v>7.5577954999999992</v>
      </c>
      <c r="U156" s="36">
        <f t="shared" ref="U156:U157" si="304">E156*M156*O156*(Q156-R156-S156)/100000000</f>
        <v>6.7797871397058822</v>
      </c>
      <c r="V156" s="36">
        <f t="shared" ref="V156:V157" si="305">E156*G156*(1-N156)*O156/100*(R156+S156)/1000000</f>
        <v>0.84636299999999987</v>
      </c>
      <c r="W156" s="36">
        <f>+'30'!K16/1000</f>
        <v>10.423999999999999</v>
      </c>
      <c r="X156" s="501">
        <f>SUM(W156:W160)/SUM(K156:K160)</f>
        <v>0.79533679755904152</v>
      </c>
      <c r="Y156" s="210">
        <f>+SUM(RBP!AG3:AG4)</f>
        <v>5.4700000000000006</v>
      </c>
      <c r="Z156" s="36">
        <f>+'30'!D7/1000</f>
        <v>0.69</v>
      </c>
      <c r="AA156" s="48">
        <f>SUM(U156:U160)-SUM(W156:W160)-SUM(Z156:Z160)-SUM(Y156:Y160)</f>
        <v>-1.8373468581291701</v>
      </c>
      <c r="AB156" s="48">
        <f>(SUM(K156:K160)-SUM(W156:W160)-SUM(Y156:Y160)-SUM(Z156:Z160)-SUM(AC156:AC160)-SUM(V156:V160))-AA156</f>
        <v>-6.8550283761186659E-2</v>
      </c>
      <c r="AC156" s="36">
        <f>K156-T156</f>
        <v>0.77364066000000165</v>
      </c>
      <c r="AD156" s="36">
        <f>+AM156+BA156</f>
        <v>21</v>
      </c>
      <c r="AE156" s="229" t="s">
        <v>453</v>
      </c>
      <c r="AF156" s="36">
        <v>21</v>
      </c>
      <c r="AG156" s="36"/>
      <c r="AH156" s="36"/>
      <c r="AI156" s="36"/>
      <c r="AJ156" s="36"/>
      <c r="AK156" s="36"/>
      <c r="AL156" s="36"/>
      <c r="AM156" s="36">
        <f t="shared" ref="AM156:AM158" si="306">SUM(AF156:AL156)+AT156+AV156+AX156</f>
        <v>21</v>
      </c>
      <c r="AN156" s="36"/>
      <c r="AO156" s="36"/>
      <c r="AP156" s="36"/>
      <c r="AQ156" s="36"/>
      <c r="AR156" s="36">
        <f>SUM(AN156:AQ156)</f>
        <v>0</v>
      </c>
      <c r="AS156" s="36"/>
      <c r="AT156" s="36"/>
      <c r="AU156" s="36"/>
      <c r="AV156" s="36"/>
      <c r="AW156" s="36"/>
      <c r="AX156" s="36"/>
      <c r="AY156" s="36"/>
      <c r="AZ156" s="36"/>
      <c r="BA156" s="36">
        <f>+AR156+AS156+AU156+AW156+AY156+AZ156</f>
        <v>0</v>
      </c>
      <c r="BB156" s="32">
        <v>4</v>
      </c>
      <c r="BC156" s="50"/>
      <c r="BD156" s="50"/>
      <c r="BE156" s="32"/>
      <c r="BF156" s="50"/>
    </row>
    <row r="157" spans="1:58" ht="12.95" customHeight="1">
      <c r="A157" s="39"/>
      <c r="B157" s="40" t="s">
        <v>7</v>
      </c>
      <c r="C157" s="414">
        <f t="shared" si="298"/>
        <v>28.297784969999999</v>
      </c>
      <c r="D157" s="40" t="s">
        <v>302</v>
      </c>
      <c r="E157" s="41">
        <v>12</v>
      </c>
      <c r="F157" s="41">
        <v>1</v>
      </c>
      <c r="G157" s="499">
        <v>1230</v>
      </c>
      <c r="H157" s="43">
        <v>0.24</v>
      </c>
      <c r="I157" s="44">
        <v>0.88</v>
      </c>
      <c r="J157" s="81">
        <f t="shared" si="299"/>
        <v>44.260162560000005</v>
      </c>
      <c r="K157" s="81">
        <f t="shared" si="300"/>
        <v>28.870413535384611</v>
      </c>
      <c r="L157" s="34">
        <v>1229.7938144329896</v>
      </c>
      <c r="M157" s="34">
        <v>916.25876288659799</v>
      </c>
      <c r="N157" s="45">
        <f t="shared" si="301"/>
        <v>0.25494928325928401</v>
      </c>
      <c r="O157" s="46">
        <f>+'Trim Rwd'!H93</f>
        <v>265.32692307692309</v>
      </c>
      <c r="P157" s="47">
        <f t="shared" si="302"/>
        <v>246754.03846153847</v>
      </c>
      <c r="Q157" s="46">
        <v>970</v>
      </c>
      <c r="R157" s="500">
        <v>0</v>
      </c>
      <c r="S157" s="500">
        <v>40</v>
      </c>
      <c r="T157" s="36">
        <f t="shared" si="303"/>
        <v>28.297784969999999</v>
      </c>
      <c r="U157" s="36">
        <f t="shared" si="304"/>
        <v>27.13086600216495</v>
      </c>
      <c r="V157" s="36">
        <f t="shared" si="305"/>
        <v>1.1671146118903515</v>
      </c>
      <c r="W157" s="36">
        <f>+'30'!K10/1000</f>
        <v>19.164000000000001</v>
      </c>
      <c r="X157" s="37"/>
      <c r="Y157" s="210"/>
      <c r="Z157" s="36">
        <v>0</v>
      </c>
      <c r="AA157" s="36"/>
      <c r="AB157" s="36"/>
      <c r="AC157" s="36">
        <f>K157-T157</f>
        <v>0.57262856538461193</v>
      </c>
      <c r="AD157" s="36">
        <f>+AM157+BA157</f>
        <v>2</v>
      </c>
      <c r="AE157" s="229" t="s">
        <v>412</v>
      </c>
      <c r="AF157" s="36"/>
      <c r="AG157" s="36">
        <v>2</v>
      </c>
      <c r="AH157" s="36"/>
      <c r="AI157" s="36"/>
      <c r="AJ157" s="36"/>
      <c r="AK157" s="36"/>
      <c r="AL157" s="36"/>
      <c r="AM157" s="36">
        <f t="shared" si="306"/>
        <v>2</v>
      </c>
      <c r="AN157" s="82"/>
      <c r="AO157" s="36"/>
      <c r="AP157" s="36"/>
      <c r="AQ157" s="36"/>
      <c r="AR157" s="36">
        <f t="shared" ref="AR157:AR158" si="307">SUM(AN157:AQ157)</f>
        <v>0</v>
      </c>
      <c r="AS157" s="36"/>
      <c r="AT157" s="36"/>
      <c r="AU157" s="36"/>
      <c r="AV157" s="36"/>
      <c r="AW157" s="36"/>
      <c r="AX157" s="36"/>
      <c r="AY157" s="36"/>
      <c r="AZ157" s="36"/>
      <c r="BA157" s="36">
        <f>+AR157+AS157+AU157+AW157+AY157+AZ157</f>
        <v>0</v>
      </c>
      <c r="BB157" s="49"/>
      <c r="BC157" s="50">
        <v>0</v>
      </c>
      <c r="BD157" s="50"/>
      <c r="BE157" s="49"/>
      <c r="BF157" s="50"/>
    </row>
    <row r="158" spans="1:58" ht="12.95" customHeight="1">
      <c r="A158" s="39"/>
      <c r="B158" s="40"/>
      <c r="C158" s="414"/>
      <c r="D158" s="40"/>
      <c r="E158" s="41"/>
      <c r="F158" s="41"/>
      <c r="G158" s="499"/>
      <c r="H158" s="43"/>
      <c r="I158" s="44"/>
      <c r="J158" s="81"/>
      <c r="K158" s="81"/>
      <c r="L158" s="34"/>
      <c r="M158" s="34"/>
      <c r="N158" s="45"/>
      <c r="O158" s="46"/>
      <c r="P158" s="47"/>
      <c r="Q158" s="46"/>
      <c r="R158" s="500"/>
      <c r="S158" s="500"/>
      <c r="T158" s="36"/>
      <c r="U158" s="36"/>
      <c r="V158" s="36"/>
      <c r="W158" s="36"/>
      <c r="X158" s="37"/>
      <c r="Y158" s="210"/>
      <c r="Z158" s="36">
        <v>0</v>
      </c>
      <c r="AA158" s="36"/>
      <c r="AB158" s="36"/>
      <c r="AC158" s="36">
        <f>K158-T158</f>
        <v>0</v>
      </c>
      <c r="AD158" s="36">
        <f>+AM158+BA158</f>
        <v>45</v>
      </c>
      <c r="AE158" s="229" t="s">
        <v>388</v>
      </c>
      <c r="AF158" s="32"/>
      <c r="AG158" s="32"/>
      <c r="AH158" s="32">
        <v>45</v>
      </c>
      <c r="AI158" s="32"/>
      <c r="AJ158" s="36"/>
      <c r="AK158" s="36"/>
      <c r="AL158" s="36"/>
      <c r="AM158" s="36">
        <f t="shared" si="306"/>
        <v>45</v>
      </c>
      <c r="AN158" s="36"/>
      <c r="AO158" s="36"/>
      <c r="AP158" s="36"/>
      <c r="AQ158" s="36"/>
      <c r="AR158" s="36">
        <f t="shared" si="307"/>
        <v>0</v>
      </c>
      <c r="AS158" s="36"/>
      <c r="AT158" s="36"/>
      <c r="AU158" s="36"/>
      <c r="AV158" s="36"/>
      <c r="AW158" s="36"/>
      <c r="AX158" s="36"/>
      <c r="AY158" s="36"/>
      <c r="AZ158" s="36"/>
      <c r="BA158" s="36">
        <f>+AR158+AS158+AU158+AW158+AY158+AZ158</f>
        <v>0</v>
      </c>
      <c r="BB158" s="32"/>
      <c r="BC158" s="503"/>
      <c r="BD158" s="503"/>
      <c r="BE158" s="32"/>
      <c r="BF158" s="503"/>
    </row>
    <row r="159" spans="1:58" ht="12.95" customHeight="1">
      <c r="A159" s="39"/>
      <c r="B159" s="40"/>
      <c r="C159" s="414"/>
      <c r="D159" s="40"/>
      <c r="E159" s="41"/>
      <c r="F159" s="41"/>
      <c r="G159" s="42"/>
      <c r="H159" s="43"/>
      <c r="I159" s="44"/>
      <c r="J159" s="81"/>
      <c r="K159" s="81"/>
      <c r="L159" s="34"/>
      <c r="M159" s="34"/>
      <c r="N159" s="45"/>
      <c r="O159" s="46"/>
      <c r="P159" s="47"/>
      <c r="Q159" s="46"/>
      <c r="R159" s="500"/>
      <c r="S159" s="500"/>
      <c r="T159" s="36"/>
      <c r="U159" s="36"/>
      <c r="V159" s="36"/>
      <c r="W159" s="36"/>
      <c r="X159" s="37"/>
      <c r="Y159" s="210"/>
      <c r="Z159" s="36"/>
      <c r="AA159" s="36"/>
      <c r="AB159" s="36"/>
      <c r="AC159" s="36"/>
      <c r="AD159" s="36">
        <f>+AM159+BA159</f>
        <v>0</v>
      </c>
      <c r="AE159" s="232" t="s">
        <v>815</v>
      </c>
      <c r="AF159" s="32"/>
      <c r="AG159" s="32"/>
      <c r="AH159" s="32"/>
      <c r="AI159" s="32"/>
      <c r="AJ159" s="36"/>
      <c r="AK159" s="36"/>
      <c r="AL159" s="36"/>
      <c r="AM159" s="36">
        <f t="shared" ref="AM159" si="308">SUM(AF159:AL159)+AT159+AV159+AX159</f>
        <v>0</v>
      </c>
      <c r="AN159" s="36"/>
      <c r="AO159" s="36"/>
      <c r="AP159" s="36"/>
      <c r="AQ159" s="36"/>
      <c r="AR159" s="36">
        <f t="shared" ref="AR159" si="309">SUM(AN159:AQ159)</f>
        <v>0</v>
      </c>
      <c r="AS159" s="36"/>
      <c r="AT159" s="36"/>
      <c r="AU159" s="36"/>
      <c r="AV159" s="36"/>
      <c r="AW159" s="36">
        <f>198-198</f>
        <v>0</v>
      </c>
      <c r="AX159" s="36"/>
      <c r="AY159" s="36"/>
      <c r="AZ159" s="36"/>
      <c r="BA159" s="36">
        <f>+AR159+AS159+AU159+AW159+AY159+AZ159</f>
        <v>0</v>
      </c>
      <c r="BB159" s="32"/>
      <c r="BC159" s="503"/>
      <c r="BD159" s="503">
        <v>1</v>
      </c>
      <c r="BE159" s="32"/>
      <c r="BF159" s="503"/>
    </row>
    <row r="160" spans="1:58" ht="12.95" customHeight="1">
      <c r="A160" s="39"/>
      <c r="B160" s="40"/>
      <c r="C160" s="414"/>
      <c r="D160" s="40"/>
      <c r="E160" s="41"/>
      <c r="F160" s="41"/>
      <c r="G160" s="499"/>
      <c r="H160" s="43"/>
      <c r="I160" s="44"/>
      <c r="J160" s="81"/>
      <c r="K160" s="81"/>
      <c r="L160" s="34"/>
      <c r="M160" s="34"/>
      <c r="N160" s="45"/>
      <c r="O160" s="46"/>
      <c r="P160" s="47"/>
      <c r="Q160" s="46"/>
      <c r="R160" s="500"/>
      <c r="S160" s="500"/>
      <c r="T160" s="36"/>
      <c r="U160" s="36"/>
      <c r="V160" s="36"/>
      <c r="W160" s="36"/>
      <c r="X160" s="501"/>
      <c r="Y160" s="210"/>
      <c r="Z160" s="36"/>
      <c r="AA160" s="48"/>
      <c r="AB160" s="48"/>
      <c r="AC160" s="36"/>
      <c r="AD160" s="36"/>
      <c r="AE160" s="229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2"/>
      <c r="BC160" s="50"/>
      <c r="BD160" s="50"/>
      <c r="BE160" s="50"/>
      <c r="BF160" s="50"/>
    </row>
    <row r="161" spans="1:58">
      <c r="R161" s="504"/>
      <c r="S161" s="504"/>
      <c r="AA161" s="246">
        <f>U161-W161-Z161</f>
        <v>0</v>
      </c>
      <c r="AB161" s="246"/>
      <c r="AC161" s="247">
        <f>K161-T161</f>
        <v>0</v>
      </c>
      <c r="AD161" s="36"/>
      <c r="AF161" s="51"/>
      <c r="AG161" s="51"/>
      <c r="AH161" s="51"/>
      <c r="AI161" s="51"/>
      <c r="AJ161" s="51"/>
      <c r="AK161" s="51"/>
      <c r="AL161" s="51"/>
      <c r="AM161" s="36">
        <f t="shared" ref="AM161" si="310">SUM(AF161:AL161)</f>
        <v>0</v>
      </c>
      <c r="AN161" s="51"/>
      <c r="AO161" s="51"/>
      <c r="AP161" s="51"/>
      <c r="AQ161" s="51"/>
      <c r="AR161" s="36">
        <f t="shared" ref="AR161" si="311">SUM(AN161:AQ161)</f>
        <v>0</v>
      </c>
      <c r="AS161" s="51"/>
      <c r="AT161" s="51"/>
      <c r="AU161" s="51"/>
      <c r="AV161" s="51"/>
      <c r="AW161" s="51"/>
      <c r="AX161" s="51"/>
      <c r="AY161" s="51"/>
      <c r="AZ161" s="51"/>
      <c r="BA161" s="36"/>
      <c r="BB161" s="32"/>
      <c r="BC161" s="50"/>
      <c r="BD161" s="50"/>
      <c r="BE161" s="50"/>
      <c r="BF161" s="50"/>
    </row>
    <row r="162" spans="1:58" s="26" customFormat="1" ht="12.95" customHeight="1">
      <c r="A162" s="55"/>
      <c r="B162" s="56"/>
      <c r="C162" s="415">
        <f>SUM(C6:C160)</f>
        <v>1286.0885433140716</v>
      </c>
      <c r="D162" s="56"/>
      <c r="E162" s="57"/>
      <c r="F162" s="57"/>
      <c r="G162" s="58"/>
      <c r="H162" s="58"/>
      <c r="I162" s="59">
        <v>0.85</v>
      </c>
      <c r="J162" s="81"/>
      <c r="K162" s="83">
        <f>SUM(K6:K160)</f>
        <v>1347.5966835707693</v>
      </c>
      <c r="L162" s="61"/>
      <c r="M162" s="61"/>
      <c r="N162" s="62"/>
      <c r="O162" s="63">
        <f>P162/(Q162-R162-S162)</f>
        <v>260.89060217705844</v>
      </c>
      <c r="P162" s="60">
        <f>SUM(P6:P160)</f>
        <v>10232912.089190762</v>
      </c>
      <c r="Q162" s="332">
        <f>SUM(Q6:Q161)</f>
        <v>42497</v>
      </c>
      <c r="R162" s="60">
        <f t="shared" ref="R162:W162" si="312">SUM(R6:R160)</f>
        <v>1356</v>
      </c>
      <c r="S162" s="60">
        <f t="shared" si="312"/>
        <v>1918</v>
      </c>
      <c r="T162" s="60">
        <f t="shared" si="312"/>
        <v>1286.0885433140716</v>
      </c>
      <c r="U162" s="60">
        <f t="shared" si="312"/>
        <v>1184.8247466803357</v>
      </c>
      <c r="V162" s="356">
        <f t="shared" si="312"/>
        <v>109.42241079289298</v>
      </c>
      <c r="W162" s="446">
        <f t="shared" si="312"/>
        <v>1129.4960000000001</v>
      </c>
      <c r="X162" s="495">
        <f>W162/K162</f>
        <v>0.8381558175159195</v>
      </c>
      <c r="Y162" s="357">
        <f>SUM(Y6:Y160)</f>
        <v>5.4700000000000006</v>
      </c>
      <c r="Z162" s="446">
        <f>SUM(Z6:Z160)</f>
        <v>5.2469999999999999</v>
      </c>
      <c r="AA162" s="60">
        <f>SUM(AA6:AA160)</f>
        <v>44.61174668033555</v>
      </c>
      <c r="AB162" s="60">
        <f>SUM(AB6:AB160)</f>
        <v>-7.6802791591573438</v>
      </c>
      <c r="AC162" s="60">
        <f>SUM(AC6:AC160)</f>
        <v>61.029805256697877</v>
      </c>
      <c r="AD162" s="36">
        <f>SUM(AD6:AD161)</f>
        <v>3274</v>
      </c>
      <c r="AE162" s="64"/>
      <c r="AF162" s="60">
        <f t="shared" ref="AF162:BF162" si="313">SUM(AF6:AF161)</f>
        <v>392</v>
      </c>
      <c r="AG162" s="60">
        <f t="shared" si="313"/>
        <v>92</v>
      </c>
      <c r="AH162" s="60">
        <f t="shared" si="313"/>
        <v>1390</v>
      </c>
      <c r="AI162" s="60">
        <f t="shared" si="313"/>
        <v>33</v>
      </c>
      <c r="AJ162" s="60">
        <f t="shared" si="313"/>
        <v>0</v>
      </c>
      <c r="AK162" s="60">
        <f t="shared" si="313"/>
        <v>0</v>
      </c>
      <c r="AL162" s="60">
        <f t="shared" si="313"/>
        <v>0</v>
      </c>
      <c r="AM162" s="60">
        <f t="shared" si="313"/>
        <v>1918</v>
      </c>
      <c r="AN162" s="51">
        <f t="shared" si="313"/>
        <v>0</v>
      </c>
      <c r="AO162" s="51">
        <f t="shared" si="313"/>
        <v>206</v>
      </c>
      <c r="AP162" s="51">
        <f t="shared" si="313"/>
        <v>207</v>
      </c>
      <c r="AQ162" s="51">
        <f t="shared" si="313"/>
        <v>0</v>
      </c>
      <c r="AR162" s="60">
        <f t="shared" si="313"/>
        <v>413</v>
      </c>
      <c r="AS162" s="60">
        <f t="shared" si="313"/>
        <v>738</v>
      </c>
      <c r="AT162" s="60">
        <f t="shared" si="313"/>
        <v>0</v>
      </c>
      <c r="AU162" s="60">
        <f t="shared" si="313"/>
        <v>0</v>
      </c>
      <c r="AV162" s="60">
        <f t="shared" si="313"/>
        <v>0</v>
      </c>
      <c r="AW162" s="60">
        <f t="shared" si="313"/>
        <v>0</v>
      </c>
      <c r="AX162" s="60">
        <f t="shared" si="313"/>
        <v>11</v>
      </c>
      <c r="AY162" s="60">
        <f t="shared" si="313"/>
        <v>205</v>
      </c>
      <c r="AZ162" s="60">
        <f t="shared" si="313"/>
        <v>0</v>
      </c>
      <c r="BA162" s="60">
        <f t="shared" si="313"/>
        <v>1356</v>
      </c>
      <c r="BB162" s="51">
        <f t="shared" si="313"/>
        <v>145</v>
      </c>
      <c r="BC162" s="51">
        <f t="shared" si="313"/>
        <v>43</v>
      </c>
      <c r="BD162" s="51">
        <f t="shared" si="313"/>
        <v>7</v>
      </c>
      <c r="BE162" s="51">
        <f t="shared" si="313"/>
        <v>1</v>
      </c>
      <c r="BF162" s="51">
        <f t="shared" si="313"/>
        <v>0</v>
      </c>
    </row>
    <row r="163" spans="1:58" s="26" customFormat="1" ht="12.95" customHeight="1">
      <c r="A163" s="55"/>
      <c r="B163" s="56"/>
      <c r="C163" s="56"/>
      <c r="D163" s="56"/>
      <c r="E163" s="57"/>
      <c r="F163" s="57"/>
      <c r="G163" s="58"/>
      <c r="H163" s="58"/>
      <c r="I163" s="58"/>
      <c r="J163" s="84"/>
      <c r="K163" s="84"/>
      <c r="L163" s="61"/>
      <c r="M163" s="61"/>
      <c r="N163" s="62"/>
      <c r="O163" s="680"/>
      <c r="P163" s="681"/>
      <c r="Q163" s="58">
        <f>30*1440-Q162</f>
        <v>703</v>
      </c>
      <c r="R163" s="65">
        <f>R162/Q162</f>
        <v>3.1908134691860601E-2</v>
      </c>
      <c r="S163" s="65">
        <f>S162/Q162</f>
        <v>4.5132597595124363E-2</v>
      </c>
      <c r="T163" s="343"/>
      <c r="U163" s="343"/>
      <c r="V163" s="345">
        <f>V162/K162</f>
        <v>8.1198189433765139E-2</v>
      </c>
      <c r="W163" s="361" t="s">
        <v>169</v>
      </c>
      <c r="X163" s="496">
        <v>0.85</v>
      </c>
      <c r="Y163" s="358">
        <f>Y162/K162</f>
        <v>4.0590779620397772E-3</v>
      </c>
      <c r="Z163" s="66">
        <f>Z162/K162</f>
        <v>3.8935981840626521E-3</v>
      </c>
      <c r="AA163" s="66">
        <f>AA162/K162</f>
        <v>3.310467235799839E-2</v>
      </c>
      <c r="AB163" s="66">
        <f>AB162/K162</f>
        <v>-5.6992416594605043E-3</v>
      </c>
      <c r="AC163" s="497">
        <f>AC162/K162</f>
        <v>4.5287886205674893E-2</v>
      </c>
      <c r="AD163" s="346"/>
      <c r="AE163" s="38"/>
      <c r="AF163" s="66">
        <f>AF162/$AD$162*$V$163</f>
        <v>9.7219579285387717E-3</v>
      </c>
      <c r="AG163" s="66">
        <f>AG162/$AD$162*$V$163</f>
        <v>2.2816840036366504E-3</v>
      </c>
      <c r="AH163" s="66">
        <f>AH162/$AD$162*$V$163</f>
        <v>3.4473269185379823E-2</v>
      </c>
      <c r="AI163" s="66">
        <f>AI162/$AD$162*$V$163</f>
        <v>8.1843013173923322E-4</v>
      </c>
      <c r="AJ163" s="66">
        <f t="shared" ref="AJ163:BA163" si="314">AJ162/$AD$162*$V$163</f>
        <v>0</v>
      </c>
      <c r="AK163" s="66">
        <f t="shared" si="314"/>
        <v>0</v>
      </c>
      <c r="AL163" s="66">
        <f t="shared" si="314"/>
        <v>0</v>
      </c>
      <c r="AM163" s="66">
        <f t="shared" si="314"/>
        <v>4.7568151293207551E-2</v>
      </c>
      <c r="AN163" s="66">
        <f t="shared" si="314"/>
        <v>0</v>
      </c>
      <c r="AO163" s="66">
        <f t="shared" si="314"/>
        <v>5.1089880950994562E-3</v>
      </c>
      <c r="AP163" s="66">
        <f t="shared" si="314"/>
        <v>5.1337890081824631E-3</v>
      </c>
      <c r="AQ163" s="66">
        <f t="shared" si="314"/>
        <v>0</v>
      </c>
      <c r="AR163" s="66">
        <f t="shared" si="314"/>
        <v>1.0242777103281919E-2</v>
      </c>
      <c r="AS163" s="66">
        <f t="shared" si="314"/>
        <v>1.8303073855259217E-2</v>
      </c>
      <c r="AT163" s="66">
        <f t="shared" si="314"/>
        <v>0</v>
      </c>
      <c r="AU163" s="66">
        <f t="shared" si="314"/>
        <v>0</v>
      </c>
      <c r="AV163" s="66">
        <f>AV162/$AD$162*$V$163</f>
        <v>0</v>
      </c>
      <c r="AW163" s="66">
        <f t="shared" ref="AW163:AZ163" si="315">AW162/$AD$162*$V$163</f>
        <v>0</v>
      </c>
      <c r="AX163" s="66">
        <f t="shared" si="315"/>
        <v>2.7281004391307772E-4</v>
      </c>
      <c r="AY163" s="66">
        <f t="shared" si="315"/>
        <v>5.0841871820164483E-3</v>
      </c>
      <c r="AZ163" s="66">
        <f t="shared" si="315"/>
        <v>0</v>
      </c>
      <c r="BA163" s="66">
        <f t="shared" si="314"/>
        <v>3.3630038140557587E-2</v>
      </c>
      <c r="BB163" s="33" t="s">
        <v>168</v>
      </c>
      <c r="BC163" s="33" t="s">
        <v>168</v>
      </c>
      <c r="BD163" s="33" t="s">
        <v>399</v>
      </c>
      <c r="BE163" s="33" t="s">
        <v>399</v>
      </c>
      <c r="BF163" s="33" t="s">
        <v>399</v>
      </c>
    </row>
    <row r="164" spans="1:58" ht="12.95" customHeight="1">
      <c r="A164" s="55"/>
      <c r="B164" s="56"/>
      <c r="C164" s="56"/>
      <c r="D164" s="56"/>
      <c r="E164" s="57"/>
      <c r="F164" s="57"/>
      <c r="G164" s="33"/>
      <c r="H164" s="33"/>
      <c r="I164" s="33"/>
      <c r="J164" s="81"/>
      <c r="K164" s="81"/>
      <c r="L164" s="34"/>
      <c r="M164" s="34"/>
      <c r="N164" s="32"/>
      <c r="O164" s="35"/>
      <c r="P164" s="27"/>
      <c r="Q164" s="33"/>
      <c r="R164" s="36">
        <f>R162-(BA162)</f>
        <v>0</v>
      </c>
      <c r="S164" s="36">
        <f>S162-SUM(AF162:AL162)-AX162</f>
        <v>0</v>
      </c>
      <c r="T164" s="32"/>
      <c r="U164" s="32"/>
      <c r="V164" s="32"/>
      <c r="W164" s="359"/>
      <c r="X164" s="360"/>
      <c r="Y164" s="67">
        <f>+Y162-(SUM(RBP!AG3:AG4))</f>
        <v>0</v>
      </c>
      <c r="Z164" s="36"/>
      <c r="AA164" s="32"/>
      <c r="AB164" s="32"/>
      <c r="AC164" s="32"/>
      <c r="AD164" s="32"/>
      <c r="AE164" s="38"/>
      <c r="AF164" s="333"/>
      <c r="AG164" s="333"/>
      <c r="AH164" s="333"/>
      <c r="AI164" s="333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505">
        <f>BB162/($Q$162/1440)/2</f>
        <v>2.4566439983998873</v>
      </c>
      <c r="BC164" s="505">
        <f>BC162/($Q$162/1440)/2</f>
        <v>0.72852201331858724</v>
      </c>
      <c r="BD164" s="505">
        <f>BD162/($Q$162/1440)</f>
        <v>0.23719321363860979</v>
      </c>
      <c r="BE164" s="505">
        <f>BE162/($Q$162/1440)</f>
        <v>3.3884744805515683E-2</v>
      </c>
      <c r="BF164" s="505">
        <f>BF162/($Q$162/1440)</f>
        <v>0</v>
      </c>
    </row>
    <row r="165" spans="1:58">
      <c r="A165" s="68"/>
      <c r="B165" s="69"/>
      <c r="C165" s="69"/>
      <c r="D165" s="69"/>
      <c r="E165" s="70"/>
      <c r="F165" s="70"/>
      <c r="G165" s="71"/>
      <c r="H165" s="71"/>
      <c r="I165" s="71"/>
      <c r="J165" s="85"/>
      <c r="K165" s="85"/>
      <c r="O165" s="72"/>
      <c r="P165" s="73"/>
      <c r="Q165" s="71"/>
      <c r="R165" s="52"/>
      <c r="S165" s="52"/>
      <c r="U165" s="74"/>
      <c r="V165" s="74"/>
      <c r="W165" s="75" t="s">
        <v>119</v>
      </c>
      <c r="X165" s="498">
        <f>W162/U162</f>
        <v>0.95330216824441194</v>
      </c>
      <c r="Y165" s="498"/>
      <c r="Z165" s="52"/>
      <c r="AD165" s="82"/>
      <c r="AE165" s="77"/>
      <c r="AF165" s="78"/>
      <c r="AG165" s="78"/>
      <c r="AH165" s="78"/>
      <c r="AI165" s="78"/>
      <c r="AJ165" s="78"/>
      <c r="AK165" s="78"/>
      <c r="AL165" s="78"/>
      <c r="AM165" s="78"/>
      <c r="AN165" s="76"/>
      <c r="AO165" s="76"/>
      <c r="AP165" s="76"/>
      <c r="AQ165" s="76"/>
      <c r="AR165" s="76"/>
      <c r="AS165" s="78"/>
      <c r="AT165" s="78"/>
      <c r="AU165" s="78"/>
      <c r="AV165" s="78"/>
      <c r="AW165" s="78"/>
      <c r="AX165" s="78"/>
      <c r="AY165" s="78"/>
      <c r="AZ165" s="78"/>
      <c r="BA165" s="76"/>
      <c r="BB165" s="26"/>
      <c r="BC165" s="76"/>
      <c r="BD165" s="76"/>
      <c r="BE165" s="26"/>
      <c r="BF165" s="76"/>
    </row>
    <row r="166" spans="1:58">
      <c r="A166" s="68"/>
      <c r="B166" s="69"/>
      <c r="C166" s="69"/>
      <c r="D166" s="69"/>
      <c r="E166" s="70"/>
      <c r="F166" s="70"/>
      <c r="G166" s="71"/>
      <c r="H166" s="71"/>
      <c r="I166" s="71"/>
      <c r="J166" s="85"/>
      <c r="K166" s="85"/>
      <c r="O166" s="72"/>
      <c r="P166" s="73"/>
      <c r="Q166" s="71"/>
      <c r="R166" s="52"/>
      <c r="S166" s="52"/>
      <c r="U166" s="74"/>
      <c r="V166" s="74"/>
      <c r="W166" s="75"/>
      <c r="X166" s="76"/>
      <c r="Y166" s="76"/>
      <c r="Z166" s="52"/>
      <c r="AA166" s="88"/>
      <c r="AB166" s="88"/>
      <c r="AD166" s="82"/>
      <c r="AE166" s="77"/>
      <c r="AF166" s="78"/>
      <c r="AG166" s="78"/>
      <c r="AH166" s="78"/>
      <c r="AI166" s="78"/>
      <c r="AJ166" s="78"/>
      <c r="AK166" s="78"/>
      <c r="AL166" s="78"/>
      <c r="AM166" s="78"/>
      <c r="AN166" s="78"/>
      <c r="AO166" s="76"/>
      <c r="AP166" s="76"/>
      <c r="AQ166" s="76"/>
      <c r="AR166" s="78"/>
      <c r="AS166" s="76"/>
      <c r="AT166" s="76"/>
      <c r="AU166" s="76"/>
      <c r="AV166" s="76"/>
      <c r="AW166" s="76"/>
      <c r="AX166" s="536"/>
      <c r="AY166" s="536">
        <f>30*1440*0.5%</f>
        <v>216</v>
      </c>
      <c r="AZ166" s="536">
        <f>+AT162+AU162+AV162+AW162+AX162+AY162+AZ162</f>
        <v>216</v>
      </c>
      <c r="BA166" s="76"/>
      <c r="BB166" s="26"/>
      <c r="BC166" s="76"/>
      <c r="BD166" s="76"/>
      <c r="BE166" s="26"/>
      <c r="BF166" s="76"/>
    </row>
    <row r="167" spans="1:58">
      <c r="A167" s="68"/>
      <c r="B167" s="69"/>
      <c r="C167" s="69"/>
      <c r="D167" s="69"/>
      <c r="E167" s="70"/>
      <c r="F167" s="70"/>
      <c r="G167" s="71"/>
      <c r="H167" s="71"/>
      <c r="I167" s="71"/>
      <c r="J167" s="85"/>
      <c r="K167" s="85"/>
      <c r="O167" s="72"/>
      <c r="P167" s="73"/>
      <c r="Q167" s="71">
        <f>+Q163-AY168</f>
        <v>0</v>
      </c>
      <c r="R167" s="344"/>
      <c r="S167" s="52"/>
      <c r="U167" s="74"/>
      <c r="V167" s="74"/>
      <c r="W167" s="75" t="s">
        <v>143</v>
      </c>
      <c r="X167" s="333">
        <f>+W162+Y162</f>
        <v>1134.9660000000001</v>
      </c>
      <c r="Y167" s="76"/>
      <c r="Z167" s="52"/>
      <c r="AD167" s="82"/>
      <c r="AE167" s="77"/>
      <c r="AF167" s="82"/>
      <c r="AG167" s="82"/>
      <c r="AH167" s="82"/>
      <c r="AI167" s="82"/>
      <c r="AJ167" s="76"/>
      <c r="AK167" s="76"/>
      <c r="AL167" s="76"/>
      <c r="AM167" s="78"/>
      <c r="AN167" s="76"/>
      <c r="AO167" s="76"/>
      <c r="AP167" s="76"/>
      <c r="AQ167" s="76"/>
      <c r="AR167" s="78"/>
      <c r="AS167" s="76"/>
      <c r="AT167" s="76"/>
      <c r="AU167" s="76"/>
      <c r="AV167" s="76"/>
      <c r="AW167" s="76"/>
      <c r="AX167" s="536"/>
      <c r="AY167" s="536">
        <f>+Efficiency1!AT162+Efficiency1!AU162+Efficiency1!AV162+Efficiency1!AW162+Efficiency1!AX162+Efficiency1!AY162+Efficiency1!AZ162</f>
        <v>919</v>
      </c>
      <c r="AZ167" s="536">
        <f>+AZ166-AY166</f>
        <v>0</v>
      </c>
      <c r="BA167" s="76"/>
      <c r="BB167" s="26"/>
      <c r="BC167" s="76"/>
      <c r="BD167" s="76"/>
      <c r="BE167" s="26"/>
      <c r="BF167" s="76"/>
    </row>
    <row r="168" spans="1:58">
      <c r="A168" s="68"/>
      <c r="C168" s="69" t="s">
        <v>298</v>
      </c>
      <c r="D168" s="69"/>
      <c r="E168" s="70"/>
      <c r="F168" s="70"/>
      <c r="G168" s="71"/>
      <c r="H168" s="71"/>
      <c r="I168" s="71"/>
      <c r="J168" s="85"/>
      <c r="K168" s="85"/>
      <c r="O168" s="72"/>
      <c r="P168" s="73"/>
      <c r="Q168" s="71"/>
      <c r="R168" s="344"/>
      <c r="S168" s="52"/>
      <c r="U168" s="74"/>
      <c r="V168" s="354"/>
      <c r="W168" s="355"/>
      <c r="X168" s="349"/>
      <c r="Y168" s="355"/>
      <c r="Z168" s="349"/>
      <c r="AD168" s="342"/>
      <c r="AE168" s="77"/>
      <c r="AF168" s="342"/>
      <c r="AG168" s="342"/>
      <c r="AH168" s="342"/>
      <c r="AI168" s="342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536" t="s">
        <v>573</v>
      </c>
      <c r="AY168" s="536">
        <f>+AY167-AY166</f>
        <v>703</v>
      </c>
      <c r="AZ168" s="536"/>
      <c r="BA168" s="76"/>
      <c r="BB168" s="26"/>
      <c r="BC168" s="76"/>
      <c r="BD168" s="76"/>
      <c r="BE168" s="26"/>
      <c r="BF168" s="76"/>
    </row>
    <row r="169" spans="1:58">
      <c r="A169" s="68"/>
      <c r="B169" s="69"/>
      <c r="C169" s="69" t="s">
        <v>299</v>
      </c>
      <c r="D169" s="69"/>
      <c r="E169" s="70"/>
      <c r="F169" s="70"/>
      <c r="G169" s="71"/>
      <c r="H169" s="71"/>
      <c r="I169" s="71"/>
      <c r="J169" s="85"/>
      <c r="K169" s="85"/>
      <c r="O169" s="72"/>
      <c r="P169" s="73"/>
      <c r="Q169" s="71"/>
      <c r="R169" s="344"/>
      <c r="S169" s="52"/>
      <c r="V169" s="347"/>
      <c r="W169" s="348" t="s">
        <v>305</v>
      </c>
      <c r="X169" s="347"/>
      <c r="Y169" s="347"/>
      <c r="Z169" s="349"/>
      <c r="AE169" s="77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S169" s="52"/>
      <c r="AT169" s="52"/>
      <c r="AU169" s="52"/>
      <c r="AV169" s="52"/>
      <c r="AW169" s="52"/>
      <c r="AX169" s="571"/>
      <c r="AY169" s="571"/>
      <c r="AZ169" s="571"/>
      <c r="BA169" s="52"/>
      <c r="BB169" s="26"/>
      <c r="BE169" s="26"/>
    </row>
    <row r="170" spans="1:58">
      <c r="A170" s="68"/>
      <c r="B170" s="69"/>
      <c r="C170" s="69"/>
      <c r="D170" s="69"/>
      <c r="E170" s="70"/>
      <c r="F170" s="70"/>
      <c r="G170" s="71"/>
      <c r="H170" s="71"/>
      <c r="I170" s="71"/>
      <c r="J170" s="85"/>
      <c r="K170" s="85"/>
      <c r="O170" s="72"/>
      <c r="P170" s="73"/>
      <c r="Q170" s="71"/>
      <c r="R170" s="344"/>
      <c r="S170" s="52"/>
      <c r="V170" s="347"/>
      <c r="W170" s="350" t="s">
        <v>294</v>
      </c>
      <c r="X170" s="506">
        <f>Y163</f>
        <v>4.0590779620397772E-3</v>
      </c>
      <c r="Y170" s="351"/>
      <c r="Z170" s="349"/>
      <c r="AE170" s="77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S170" s="52"/>
      <c r="AT170" s="52"/>
      <c r="AU170" s="52"/>
      <c r="AV170" s="52"/>
      <c r="AW170" s="52"/>
      <c r="AX170" s="571"/>
      <c r="AY170" s="571"/>
      <c r="AZ170" s="571"/>
      <c r="BA170" s="52"/>
      <c r="BB170" s="26"/>
      <c r="BE170" s="26"/>
    </row>
    <row r="171" spans="1:58">
      <c r="R171" s="88"/>
      <c r="V171" s="347"/>
      <c r="W171" s="350" t="s">
        <v>148</v>
      </c>
      <c r="X171" s="353">
        <f>Z163</f>
        <v>3.8935981840626521E-3</v>
      </c>
      <c r="Y171" s="352"/>
      <c r="Z171" s="347"/>
    </row>
    <row r="172" spans="1:58">
      <c r="R172" s="88"/>
      <c r="V172" s="347"/>
      <c r="W172" s="350" t="s">
        <v>149</v>
      </c>
      <c r="X172" s="353">
        <f>AC163</f>
        <v>4.5287886205674893E-2</v>
      </c>
      <c r="Y172" s="353"/>
      <c r="Z172" s="347"/>
    </row>
    <row r="173" spans="1:58">
      <c r="R173" s="88"/>
      <c r="V173" s="347"/>
      <c r="W173" s="350" t="s">
        <v>150</v>
      </c>
      <c r="X173" s="353">
        <f>AA163</f>
        <v>3.310467235799839E-2</v>
      </c>
      <c r="Y173" s="352"/>
      <c r="Z173" s="347"/>
    </row>
    <row r="174" spans="1:58">
      <c r="V174" s="347"/>
      <c r="W174" s="350" t="s">
        <v>166</v>
      </c>
      <c r="X174" s="353">
        <f>AB163</f>
        <v>-5.6992416594605043E-3</v>
      </c>
      <c r="Y174" s="352" t="s">
        <v>164</v>
      </c>
      <c r="Z174" s="347"/>
    </row>
    <row r="175" spans="1:58">
      <c r="V175" s="347"/>
      <c r="W175" s="350" t="s">
        <v>222</v>
      </c>
      <c r="X175" s="353">
        <f>AF163</f>
        <v>9.7219579285387717E-3</v>
      </c>
      <c r="Y175" s="352"/>
      <c r="Z175" s="347"/>
    </row>
    <row r="176" spans="1:58">
      <c r="V176" s="347"/>
      <c r="W176" s="350" t="s">
        <v>223</v>
      </c>
      <c r="X176" s="353">
        <f>+AG163</f>
        <v>2.2816840036366504E-3</v>
      </c>
      <c r="Y176" s="352"/>
      <c r="Z176" s="347"/>
    </row>
    <row r="177" spans="22:26">
      <c r="V177" s="347"/>
      <c r="W177" s="350" t="s">
        <v>300</v>
      </c>
      <c r="X177" s="353">
        <f>+AH163</f>
        <v>3.4473269185379823E-2</v>
      </c>
      <c r="Y177" s="352"/>
      <c r="Z177" s="347"/>
    </row>
    <row r="178" spans="22:26">
      <c r="V178" s="347"/>
      <c r="W178" s="350" t="s">
        <v>224</v>
      </c>
      <c r="X178" s="353">
        <f>+AI163</f>
        <v>8.1843013173923322E-4</v>
      </c>
      <c r="Y178" s="352"/>
      <c r="Z178" s="347"/>
    </row>
    <row r="179" spans="22:26">
      <c r="V179" s="347"/>
      <c r="W179" s="350" t="s">
        <v>157</v>
      </c>
      <c r="X179" s="353">
        <f>+AJ163</f>
        <v>0</v>
      </c>
      <c r="Y179" s="352"/>
      <c r="Z179" s="347"/>
    </row>
    <row r="180" spans="22:26">
      <c r="V180" s="347"/>
      <c r="W180" s="350" t="s">
        <v>159</v>
      </c>
      <c r="X180" s="353">
        <f>+AK163</f>
        <v>0</v>
      </c>
      <c r="Y180" s="352"/>
      <c r="Z180" s="347"/>
    </row>
    <row r="181" spans="22:26">
      <c r="V181" s="347"/>
      <c r="W181" s="350" t="s">
        <v>158</v>
      </c>
      <c r="X181" s="353">
        <f>+AL163</f>
        <v>0</v>
      </c>
      <c r="Y181" s="352"/>
      <c r="Z181" s="347"/>
    </row>
    <row r="182" spans="22:26">
      <c r="V182" s="347"/>
      <c r="W182" s="350" t="s">
        <v>151</v>
      </c>
      <c r="X182" s="353">
        <f>+AN163</f>
        <v>0</v>
      </c>
      <c r="Y182" s="352"/>
      <c r="Z182" s="347"/>
    </row>
    <row r="183" spans="22:26">
      <c r="V183" s="347"/>
      <c r="W183" s="350" t="s">
        <v>161</v>
      </c>
      <c r="X183" s="353">
        <f>+AO163</f>
        <v>5.1089880950994562E-3</v>
      </c>
      <c r="Y183" s="352"/>
      <c r="Z183" s="347"/>
    </row>
    <row r="184" spans="22:26">
      <c r="V184" s="347"/>
      <c r="W184" s="350" t="s">
        <v>152</v>
      </c>
      <c r="X184" s="353">
        <f>+AP163</f>
        <v>5.1337890081824631E-3</v>
      </c>
      <c r="Y184" s="352"/>
      <c r="Z184" s="347"/>
    </row>
    <row r="185" spans="22:26">
      <c r="V185" s="347"/>
      <c r="W185" s="350" t="s">
        <v>160</v>
      </c>
      <c r="X185" s="353">
        <f>+AQ163</f>
        <v>0</v>
      </c>
      <c r="Y185" s="352"/>
      <c r="Z185" s="347"/>
    </row>
    <row r="186" spans="22:26">
      <c r="V186" s="347"/>
      <c r="W186" s="350" t="s">
        <v>163</v>
      </c>
      <c r="X186" s="353">
        <f>+AS163</f>
        <v>1.8303073855259217E-2</v>
      </c>
      <c r="Y186" s="352"/>
      <c r="Z186" s="347"/>
    </row>
    <row r="187" spans="22:26">
      <c r="V187" s="347"/>
      <c r="W187" s="350" t="s">
        <v>301</v>
      </c>
      <c r="X187" s="353">
        <f>+AT163</f>
        <v>0</v>
      </c>
      <c r="Y187" s="352"/>
      <c r="Z187" s="347"/>
    </row>
    <row r="188" spans="22:26">
      <c r="V188" s="347"/>
      <c r="W188" s="350" t="s">
        <v>238</v>
      </c>
      <c r="X188" s="353">
        <f>+AU163</f>
        <v>0</v>
      </c>
      <c r="Y188" s="352"/>
      <c r="Z188" s="347"/>
    </row>
    <row r="189" spans="22:26">
      <c r="V189" s="347"/>
      <c r="W189" s="350" t="s">
        <v>307</v>
      </c>
      <c r="X189" s="353">
        <f>+AW163</f>
        <v>0</v>
      </c>
      <c r="Y189" s="352"/>
      <c r="Z189" s="347"/>
    </row>
    <row r="190" spans="22:26">
      <c r="V190" s="347"/>
      <c r="W190" s="350" t="s">
        <v>308</v>
      </c>
      <c r="X190" s="353">
        <f>+AV163</f>
        <v>0</v>
      </c>
      <c r="Y190" s="352"/>
      <c r="Z190" s="347"/>
    </row>
    <row r="191" spans="22:26">
      <c r="V191" s="347"/>
      <c r="W191" s="347" t="s">
        <v>162</v>
      </c>
      <c r="X191" s="353">
        <f>+AX163+AY163</f>
        <v>5.3569972259295265E-3</v>
      </c>
      <c r="Y191" s="353"/>
      <c r="Z191" s="347"/>
    </row>
    <row r="192" spans="22:26">
      <c r="V192" s="347"/>
      <c r="W192" s="347" t="s">
        <v>306</v>
      </c>
      <c r="X192" s="353">
        <f>+AZ163</f>
        <v>0</v>
      </c>
      <c r="Y192" s="347"/>
      <c r="Z192" s="347"/>
    </row>
    <row r="193" spans="22:26">
      <c r="V193" s="347"/>
      <c r="W193" s="347"/>
      <c r="X193" s="519">
        <f>SUM(X170:X192)</f>
        <v>0.16184418248408036</v>
      </c>
      <c r="Y193" s="347"/>
      <c r="Z193" s="347"/>
    </row>
    <row r="196" spans="22:26">
      <c r="X196" s="88">
        <f>+X193+X162</f>
        <v>0.99999999999999989</v>
      </c>
    </row>
  </sheetData>
  <mergeCells count="50">
    <mergeCell ref="O163:P163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  <mergeCell ref="AM3:AM5"/>
    <mergeCell ref="AN3:AR3"/>
    <mergeCell ref="AS3:AS5"/>
    <mergeCell ref="AF4:AH4"/>
    <mergeCell ref="AI4:AI5"/>
    <mergeCell ref="AJ4:AJ5"/>
    <mergeCell ref="AK4:AK5"/>
    <mergeCell ref="AQ4:AQ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T3:T5"/>
    <mergeCell ref="U3:U5"/>
  </mergeCells>
  <conditionalFormatting sqref="C163 B161:B163 C161">
    <cfRule type="cellIs" dxfId="747" priority="5789" stopIfTrue="1" operator="equal">
      <formula>"Towel"</formula>
    </cfRule>
    <cfRule type="cellIs" dxfId="746" priority="5790" stopIfTrue="1" operator="equal">
      <formula>"Napkin Hs"</formula>
    </cfRule>
  </conditionalFormatting>
  <conditionalFormatting sqref="B6:C6 B8:C8 B10:C10">
    <cfRule type="cellIs" dxfId="745" priority="737" stopIfTrue="1" operator="equal">
      <formula>"Towel"</formula>
    </cfRule>
    <cfRule type="cellIs" dxfId="744" priority="738" stopIfTrue="1" operator="equal">
      <formula>"Napkin Hs"</formula>
    </cfRule>
  </conditionalFormatting>
  <conditionalFormatting sqref="B7:C7">
    <cfRule type="cellIs" dxfId="743" priority="715" stopIfTrue="1" operator="equal">
      <formula>"Towel"</formula>
    </cfRule>
    <cfRule type="cellIs" dxfId="742" priority="716" stopIfTrue="1" operator="equal">
      <formula>"Napkin Hs"</formula>
    </cfRule>
  </conditionalFormatting>
  <conditionalFormatting sqref="C73">
    <cfRule type="cellIs" dxfId="741" priority="729" stopIfTrue="1" operator="equal">
      <formula>"Towel"</formula>
    </cfRule>
    <cfRule type="cellIs" dxfId="740" priority="730" stopIfTrue="1" operator="equal">
      <formula>"Napkin Hs"</formula>
    </cfRule>
  </conditionalFormatting>
  <conditionalFormatting sqref="B73:C73">
    <cfRule type="cellIs" dxfId="739" priority="733" stopIfTrue="1" operator="equal">
      <formula>"Towel"</formula>
    </cfRule>
    <cfRule type="cellIs" dxfId="738" priority="734" stopIfTrue="1" operator="equal">
      <formula>"Napkin Hs"</formula>
    </cfRule>
  </conditionalFormatting>
  <conditionalFormatting sqref="C149">
    <cfRule type="cellIs" dxfId="737" priority="727" stopIfTrue="1" operator="equal">
      <formula>"Towel"</formula>
    </cfRule>
    <cfRule type="cellIs" dxfId="736" priority="728" stopIfTrue="1" operator="equal">
      <formula>"Napkin Hs"</formula>
    </cfRule>
  </conditionalFormatting>
  <conditionalFormatting sqref="B149:C149">
    <cfRule type="cellIs" dxfId="735" priority="725" stopIfTrue="1" operator="equal">
      <formula>"Towel"</formula>
    </cfRule>
    <cfRule type="cellIs" dxfId="734" priority="726" stopIfTrue="1" operator="equal">
      <formula>"Napkin Hs"</formula>
    </cfRule>
  </conditionalFormatting>
  <conditionalFormatting sqref="B160:C160">
    <cfRule type="cellIs" dxfId="733" priority="721" stopIfTrue="1" operator="equal">
      <formula>"Towel"</formula>
    </cfRule>
    <cfRule type="cellIs" dxfId="732" priority="722" stopIfTrue="1" operator="equal">
      <formula>"Napkin Hs"</formula>
    </cfRule>
  </conditionalFormatting>
  <conditionalFormatting sqref="C6 C8 C10">
    <cfRule type="cellIs" dxfId="731" priority="736" stopIfTrue="1" operator="equal">
      <formula>"Napkin Hs"</formula>
    </cfRule>
  </conditionalFormatting>
  <conditionalFormatting sqref="C6:C8 C10">
    <cfRule type="cellIs" dxfId="730" priority="713" stopIfTrue="1" operator="equal">
      <formula>"Towel"</formula>
    </cfRule>
    <cfRule type="cellIs" dxfId="729" priority="714" stopIfTrue="1" operator="equal">
      <formula>"Napkin Hs"</formula>
    </cfRule>
  </conditionalFormatting>
  <conditionalFormatting sqref="C7">
    <cfRule type="cellIs" dxfId="728" priority="711" stopIfTrue="1" operator="equal">
      <formula>"Towel"</formula>
    </cfRule>
    <cfRule type="cellIs" dxfId="727" priority="712" stopIfTrue="1" operator="equal">
      <formula>"Napkin Hs"</formula>
    </cfRule>
  </conditionalFormatting>
  <conditionalFormatting sqref="C6 C8 C10">
    <cfRule type="cellIs" dxfId="726" priority="735" stopIfTrue="1" operator="equal">
      <formula>"Towel"</formula>
    </cfRule>
  </conditionalFormatting>
  <conditionalFormatting sqref="C73">
    <cfRule type="cellIs" dxfId="725" priority="731" stopIfTrue="1" operator="equal">
      <formula>"Towel"</formula>
    </cfRule>
    <cfRule type="cellIs" dxfId="724" priority="732" stopIfTrue="1" operator="equal">
      <formula>"Napkin Hs"</formula>
    </cfRule>
  </conditionalFormatting>
  <conditionalFormatting sqref="C149">
    <cfRule type="cellIs" dxfId="723" priority="723" stopIfTrue="1" operator="equal">
      <formula>"Towel"</formula>
    </cfRule>
    <cfRule type="cellIs" dxfId="722" priority="724" stopIfTrue="1" operator="equal">
      <formula>"Napkin Hs"</formula>
    </cfRule>
  </conditionalFormatting>
  <conditionalFormatting sqref="C160">
    <cfRule type="cellIs" dxfId="721" priority="717" stopIfTrue="1" operator="equal">
      <formula>"Towel"</formula>
    </cfRule>
    <cfRule type="cellIs" dxfId="720" priority="718" stopIfTrue="1" operator="equal">
      <formula>"Napkin Hs"</formula>
    </cfRule>
  </conditionalFormatting>
  <conditionalFormatting sqref="C160">
    <cfRule type="cellIs" dxfId="719" priority="719" stopIfTrue="1" operator="equal">
      <formula>"Towel"</formula>
    </cfRule>
    <cfRule type="cellIs" dxfId="718" priority="720" stopIfTrue="1" operator="equal">
      <formula>"Napkin Hs"</formula>
    </cfRule>
  </conditionalFormatting>
  <conditionalFormatting sqref="B15:C15">
    <cfRule type="cellIs" dxfId="717" priority="709" stopIfTrue="1" operator="equal">
      <formula>"Towel"</formula>
    </cfRule>
    <cfRule type="cellIs" dxfId="716" priority="710" stopIfTrue="1" operator="equal">
      <formula>"Napkin Hs"</formula>
    </cfRule>
  </conditionalFormatting>
  <conditionalFormatting sqref="B9:C9">
    <cfRule type="cellIs" dxfId="715" priority="703" stopIfTrue="1" operator="equal">
      <formula>"Towel"</formula>
    </cfRule>
    <cfRule type="cellIs" dxfId="714" priority="704" stopIfTrue="1" operator="equal">
      <formula>"Napkin Hs"</formula>
    </cfRule>
  </conditionalFormatting>
  <conditionalFormatting sqref="C15">
    <cfRule type="cellIs" dxfId="713" priority="708" stopIfTrue="1" operator="equal">
      <formula>"Napkin Hs"</formula>
    </cfRule>
  </conditionalFormatting>
  <conditionalFormatting sqref="C15">
    <cfRule type="cellIs" dxfId="712" priority="705" stopIfTrue="1" operator="equal">
      <formula>"Towel"</formula>
    </cfRule>
    <cfRule type="cellIs" dxfId="711" priority="706" stopIfTrue="1" operator="equal">
      <formula>"Napkin Hs"</formula>
    </cfRule>
  </conditionalFormatting>
  <conditionalFormatting sqref="C9">
    <cfRule type="cellIs" dxfId="710" priority="699" stopIfTrue="1" operator="equal">
      <formula>"Towel"</formula>
    </cfRule>
    <cfRule type="cellIs" dxfId="709" priority="700" stopIfTrue="1" operator="equal">
      <formula>"Napkin Hs"</formula>
    </cfRule>
  </conditionalFormatting>
  <conditionalFormatting sqref="C15">
    <cfRule type="cellIs" dxfId="708" priority="707" stopIfTrue="1" operator="equal">
      <formula>"Towel"</formula>
    </cfRule>
  </conditionalFormatting>
  <conditionalFormatting sqref="C9">
    <cfRule type="cellIs" dxfId="707" priority="702" stopIfTrue="1" operator="equal">
      <formula>"Napkin Hs"</formula>
    </cfRule>
  </conditionalFormatting>
  <conditionalFormatting sqref="C9">
    <cfRule type="cellIs" dxfId="706" priority="701" stopIfTrue="1" operator="equal">
      <formula>"Towel"</formula>
    </cfRule>
  </conditionalFormatting>
  <conditionalFormatting sqref="B40:C40">
    <cfRule type="cellIs" dxfId="705" priority="697" stopIfTrue="1" operator="equal">
      <formula>"Towel"</formula>
    </cfRule>
    <cfRule type="cellIs" dxfId="704" priority="698" stopIfTrue="1" operator="equal">
      <formula>"Napkin Hs"</formula>
    </cfRule>
  </conditionalFormatting>
  <conditionalFormatting sqref="C40">
    <cfRule type="cellIs" dxfId="703" priority="693" stopIfTrue="1" operator="equal">
      <formula>"Towel"</formula>
    </cfRule>
    <cfRule type="cellIs" dxfId="702" priority="694" stopIfTrue="1" operator="equal">
      <formula>"Napkin Hs"</formula>
    </cfRule>
  </conditionalFormatting>
  <conditionalFormatting sqref="C40">
    <cfRule type="cellIs" dxfId="701" priority="695" stopIfTrue="1" operator="equal">
      <formula>"Towel"</formula>
    </cfRule>
    <cfRule type="cellIs" dxfId="700" priority="696" stopIfTrue="1" operator="equal">
      <formula>"Napkin Hs"</formula>
    </cfRule>
  </conditionalFormatting>
  <conditionalFormatting sqref="B45:C45">
    <cfRule type="cellIs" dxfId="699" priority="691" stopIfTrue="1" operator="equal">
      <formula>"Towel"</formula>
    </cfRule>
    <cfRule type="cellIs" dxfId="698" priority="692" stopIfTrue="1" operator="equal">
      <formula>"Napkin Hs"</formula>
    </cfRule>
  </conditionalFormatting>
  <conditionalFormatting sqref="C45">
    <cfRule type="cellIs" dxfId="697" priority="690" stopIfTrue="1" operator="equal">
      <formula>"Napkin Hs"</formula>
    </cfRule>
  </conditionalFormatting>
  <conditionalFormatting sqref="C45">
    <cfRule type="cellIs" dxfId="696" priority="687" stopIfTrue="1" operator="equal">
      <formula>"Towel"</formula>
    </cfRule>
    <cfRule type="cellIs" dxfId="695" priority="688" stopIfTrue="1" operator="equal">
      <formula>"Napkin Hs"</formula>
    </cfRule>
  </conditionalFormatting>
  <conditionalFormatting sqref="C45">
    <cfRule type="cellIs" dxfId="694" priority="689" stopIfTrue="1" operator="equal">
      <formula>"Towel"</formula>
    </cfRule>
  </conditionalFormatting>
  <conditionalFormatting sqref="B53:C53">
    <cfRule type="cellIs" dxfId="693" priority="685" stopIfTrue="1" operator="equal">
      <formula>"Towel"</formula>
    </cfRule>
    <cfRule type="cellIs" dxfId="692" priority="686" stopIfTrue="1" operator="equal">
      <formula>"Napkin Hs"</formula>
    </cfRule>
  </conditionalFormatting>
  <conditionalFormatting sqref="C53">
    <cfRule type="cellIs" dxfId="691" priority="684" stopIfTrue="1" operator="equal">
      <formula>"Napkin Hs"</formula>
    </cfRule>
  </conditionalFormatting>
  <conditionalFormatting sqref="C53">
    <cfRule type="cellIs" dxfId="690" priority="681" stopIfTrue="1" operator="equal">
      <formula>"Towel"</formula>
    </cfRule>
    <cfRule type="cellIs" dxfId="689" priority="682" stopIfTrue="1" operator="equal">
      <formula>"Napkin Hs"</formula>
    </cfRule>
  </conditionalFormatting>
  <conditionalFormatting sqref="C53">
    <cfRule type="cellIs" dxfId="688" priority="683" stopIfTrue="1" operator="equal">
      <formula>"Towel"</formula>
    </cfRule>
  </conditionalFormatting>
  <conditionalFormatting sqref="B58:C58">
    <cfRule type="cellIs" dxfId="687" priority="679" stopIfTrue="1" operator="equal">
      <formula>"Towel"</formula>
    </cfRule>
    <cfRule type="cellIs" dxfId="686" priority="680" stopIfTrue="1" operator="equal">
      <formula>"Napkin Hs"</formula>
    </cfRule>
  </conditionalFormatting>
  <conditionalFormatting sqref="C58">
    <cfRule type="cellIs" dxfId="685" priority="678" stopIfTrue="1" operator="equal">
      <formula>"Napkin Hs"</formula>
    </cfRule>
  </conditionalFormatting>
  <conditionalFormatting sqref="C58">
    <cfRule type="cellIs" dxfId="684" priority="675" stopIfTrue="1" operator="equal">
      <formula>"Towel"</formula>
    </cfRule>
    <cfRule type="cellIs" dxfId="683" priority="676" stopIfTrue="1" operator="equal">
      <formula>"Napkin Hs"</formula>
    </cfRule>
  </conditionalFormatting>
  <conditionalFormatting sqref="C58">
    <cfRule type="cellIs" dxfId="682" priority="677" stopIfTrue="1" operator="equal">
      <formula>"Towel"</formula>
    </cfRule>
  </conditionalFormatting>
  <conditionalFormatting sqref="B63:C63">
    <cfRule type="cellIs" dxfId="681" priority="673" stopIfTrue="1" operator="equal">
      <formula>"Towel"</formula>
    </cfRule>
    <cfRule type="cellIs" dxfId="680" priority="674" stopIfTrue="1" operator="equal">
      <formula>"Napkin Hs"</formula>
    </cfRule>
  </conditionalFormatting>
  <conditionalFormatting sqref="C63">
    <cfRule type="cellIs" dxfId="679" priority="672" stopIfTrue="1" operator="equal">
      <formula>"Napkin Hs"</formula>
    </cfRule>
  </conditionalFormatting>
  <conditionalFormatting sqref="C63">
    <cfRule type="cellIs" dxfId="678" priority="669" stopIfTrue="1" operator="equal">
      <formula>"Towel"</formula>
    </cfRule>
    <cfRule type="cellIs" dxfId="677" priority="670" stopIfTrue="1" operator="equal">
      <formula>"Napkin Hs"</formula>
    </cfRule>
  </conditionalFormatting>
  <conditionalFormatting sqref="C63">
    <cfRule type="cellIs" dxfId="676" priority="671" stopIfTrue="1" operator="equal">
      <formula>"Towel"</formula>
    </cfRule>
  </conditionalFormatting>
  <conditionalFormatting sqref="C68">
    <cfRule type="cellIs" dxfId="675" priority="667" stopIfTrue="1" operator="equal">
      <formula>"Towel"</formula>
    </cfRule>
    <cfRule type="cellIs" dxfId="674" priority="668" stopIfTrue="1" operator="equal">
      <formula>"Napkin Hs"</formula>
    </cfRule>
  </conditionalFormatting>
  <conditionalFormatting sqref="C68">
    <cfRule type="cellIs" dxfId="673" priority="663" stopIfTrue="1" operator="equal">
      <formula>"Towel"</formula>
    </cfRule>
    <cfRule type="cellIs" dxfId="672" priority="664" stopIfTrue="1" operator="equal">
      <formula>"Napkin Hs"</formula>
    </cfRule>
  </conditionalFormatting>
  <conditionalFormatting sqref="C68">
    <cfRule type="cellIs" dxfId="671" priority="665" stopIfTrue="1" operator="equal">
      <formula>"Towel"</formula>
    </cfRule>
    <cfRule type="cellIs" dxfId="670" priority="666" stopIfTrue="1" operator="equal">
      <formula>"Napkin Hs"</formula>
    </cfRule>
  </conditionalFormatting>
  <conditionalFormatting sqref="B68">
    <cfRule type="cellIs" dxfId="669" priority="661" stopIfTrue="1" operator="equal">
      <formula>"Towel"</formula>
    </cfRule>
    <cfRule type="cellIs" dxfId="668" priority="662" stopIfTrue="1" operator="equal">
      <formula>"Napkin Hs"</formula>
    </cfRule>
  </conditionalFormatting>
  <conditionalFormatting sqref="B74:C74">
    <cfRule type="cellIs" dxfId="667" priority="659" stopIfTrue="1" operator="equal">
      <formula>"Towel"</formula>
    </cfRule>
    <cfRule type="cellIs" dxfId="666" priority="660" stopIfTrue="1" operator="equal">
      <formula>"Napkin Hs"</formula>
    </cfRule>
  </conditionalFormatting>
  <conditionalFormatting sqref="C74">
    <cfRule type="cellIs" dxfId="665" priority="655" stopIfTrue="1" operator="equal">
      <formula>"Towel"</formula>
    </cfRule>
    <cfRule type="cellIs" dxfId="664" priority="656" stopIfTrue="1" operator="equal">
      <formula>"Napkin Hs"</formula>
    </cfRule>
  </conditionalFormatting>
  <conditionalFormatting sqref="C74">
    <cfRule type="cellIs" dxfId="663" priority="658" stopIfTrue="1" operator="equal">
      <formula>"Napkin Hs"</formula>
    </cfRule>
  </conditionalFormatting>
  <conditionalFormatting sqref="C74">
    <cfRule type="cellIs" dxfId="662" priority="657" stopIfTrue="1" operator="equal">
      <formula>"Towel"</formula>
    </cfRule>
  </conditionalFormatting>
  <conditionalFormatting sqref="B79:C79">
    <cfRule type="cellIs" dxfId="661" priority="653" stopIfTrue="1" operator="equal">
      <formula>"Towel"</formula>
    </cfRule>
    <cfRule type="cellIs" dxfId="660" priority="654" stopIfTrue="1" operator="equal">
      <formula>"Napkin Hs"</formula>
    </cfRule>
  </conditionalFormatting>
  <conditionalFormatting sqref="C79">
    <cfRule type="cellIs" dxfId="659" priority="652" stopIfTrue="1" operator="equal">
      <formula>"Napkin Hs"</formula>
    </cfRule>
  </conditionalFormatting>
  <conditionalFormatting sqref="C79">
    <cfRule type="cellIs" dxfId="658" priority="649" stopIfTrue="1" operator="equal">
      <formula>"Towel"</formula>
    </cfRule>
    <cfRule type="cellIs" dxfId="657" priority="650" stopIfTrue="1" operator="equal">
      <formula>"Napkin Hs"</formula>
    </cfRule>
  </conditionalFormatting>
  <conditionalFormatting sqref="C79">
    <cfRule type="cellIs" dxfId="656" priority="651" stopIfTrue="1" operator="equal">
      <formula>"Towel"</formula>
    </cfRule>
  </conditionalFormatting>
  <conditionalFormatting sqref="B84:C84">
    <cfRule type="cellIs" dxfId="655" priority="647" stopIfTrue="1" operator="equal">
      <formula>"Towel"</formula>
    </cfRule>
    <cfRule type="cellIs" dxfId="654" priority="648" stopIfTrue="1" operator="equal">
      <formula>"Napkin Hs"</formula>
    </cfRule>
  </conditionalFormatting>
  <conditionalFormatting sqref="C84">
    <cfRule type="cellIs" dxfId="653" priority="643" stopIfTrue="1" operator="equal">
      <formula>"Towel"</formula>
    </cfRule>
    <cfRule type="cellIs" dxfId="652" priority="644" stopIfTrue="1" operator="equal">
      <formula>"Napkin Hs"</formula>
    </cfRule>
  </conditionalFormatting>
  <conditionalFormatting sqref="C84">
    <cfRule type="cellIs" dxfId="651" priority="646" stopIfTrue="1" operator="equal">
      <formula>"Napkin Hs"</formula>
    </cfRule>
  </conditionalFormatting>
  <conditionalFormatting sqref="C84">
    <cfRule type="cellIs" dxfId="650" priority="645" stopIfTrue="1" operator="equal">
      <formula>"Towel"</formula>
    </cfRule>
  </conditionalFormatting>
  <conditionalFormatting sqref="B89:C89">
    <cfRule type="cellIs" dxfId="649" priority="641" stopIfTrue="1" operator="equal">
      <formula>"Towel"</formula>
    </cfRule>
    <cfRule type="cellIs" dxfId="648" priority="642" stopIfTrue="1" operator="equal">
      <formula>"Napkin Hs"</formula>
    </cfRule>
  </conditionalFormatting>
  <conditionalFormatting sqref="C89">
    <cfRule type="cellIs" dxfId="647" priority="637" stopIfTrue="1" operator="equal">
      <formula>"Towel"</formula>
    </cfRule>
    <cfRule type="cellIs" dxfId="646" priority="638" stopIfTrue="1" operator="equal">
      <formula>"Napkin Hs"</formula>
    </cfRule>
  </conditionalFormatting>
  <conditionalFormatting sqref="C89">
    <cfRule type="cellIs" dxfId="645" priority="640" stopIfTrue="1" operator="equal">
      <formula>"Napkin Hs"</formula>
    </cfRule>
  </conditionalFormatting>
  <conditionalFormatting sqref="C89">
    <cfRule type="cellIs" dxfId="644" priority="639" stopIfTrue="1" operator="equal">
      <formula>"Towel"</formula>
    </cfRule>
  </conditionalFormatting>
  <conditionalFormatting sqref="B94:C94">
    <cfRule type="cellIs" dxfId="643" priority="635" stopIfTrue="1" operator="equal">
      <formula>"Towel"</formula>
    </cfRule>
    <cfRule type="cellIs" dxfId="642" priority="636" stopIfTrue="1" operator="equal">
      <formula>"Napkin Hs"</formula>
    </cfRule>
  </conditionalFormatting>
  <conditionalFormatting sqref="C94">
    <cfRule type="cellIs" dxfId="641" priority="634" stopIfTrue="1" operator="equal">
      <formula>"Napkin Hs"</formula>
    </cfRule>
  </conditionalFormatting>
  <conditionalFormatting sqref="C94">
    <cfRule type="cellIs" dxfId="640" priority="631" stopIfTrue="1" operator="equal">
      <formula>"Towel"</formula>
    </cfRule>
    <cfRule type="cellIs" dxfId="639" priority="632" stopIfTrue="1" operator="equal">
      <formula>"Napkin Hs"</formula>
    </cfRule>
  </conditionalFormatting>
  <conditionalFormatting sqref="C94">
    <cfRule type="cellIs" dxfId="638" priority="633" stopIfTrue="1" operator="equal">
      <formula>"Towel"</formula>
    </cfRule>
  </conditionalFormatting>
  <conditionalFormatting sqref="B99:C99">
    <cfRule type="cellIs" dxfId="637" priority="629" stopIfTrue="1" operator="equal">
      <formula>"Towel"</formula>
    </cfRule>
    <cfRule type="cellIs" dxfId="636" priority="630" stopIfTrue="1" operator="equal">
      <formula>"Napkin Hs"</formula>
    </cfRule>
  </conditionalFormatting>
  <conditionalFormatting sqref="C99">
    <cfRule type="cellIs" dxfId="635" priority="628" stopIfTrue="1" operator="equal">
      <formula>"Napkin Hs"</formula>
    </cfRule>
  </conditionalFormatting>
  <conditionalFormatting sqref="C99">
    <cfRule type="cellIs" dxfId="634" priority="625" stopIfTrue="1" operator="equal">
      <formula>"Towel"</formula>
    </cfRule>
    <cfRule type="cellIs" dxfId="633" priority="626" stopIfTrue="1" operator="equal">
      <formula>"Napkin Hs"</formula>
    </cfRule>
  </conditionalFormatting>
  <conditionalFormatting sqref="C99">
    <cfRule type="cellIs" dxfId="632" priority="627" stopIfTrue="1" operator="equal">
      <formula>"Towel"</formula>
    </cfRule>
  </conditionalFormatting>
  <conditionalFormatting sqref="B104:C104">
    <cfRule type="cellIs" dxfId="631" priority="623" stopIfTrue="1" operator="equal">
      <formula>"Towel"</formula>
    </cfRule>
    <cfRule type="cellIs" dxfId="630" priority="624" stopIfTrue="1" operator="equal">
      <formula>"Napkin Hs"</formula>
    </cfRule>
  </conditionalFormatting>
  <conditionalFormatting sqref="C104">
    <cfRule type="cellIs" dxfId="629" priority="622" stopIfTrue="1" operator="equal">
      <formula>"Napkin Hs"</formula>
    </cfRule>
  </conditionalFormatting>
  <conditionalFormatting sqref="C104">
    <cfRule type="cellIs" dxfId="628" priority="619" stopIfTrue="1" operator="equal">
      <formula>"Towel"</formula>
    </cfRule>
    <cfRule type="cellIs" dxfId="627" priority="620" stopIfTrue="1" operator="equal">
      <formula>"Napkin Hs"</formula>
    </cfRule>
  </conditionalFormatting>
  <conditionalFormatting sqref="C104">
    <cfRule type="cellIs" dxfId="626" priority="621" stopIfTrue="1" operator="equal">
      <formula>"Towel"</formula>
    </cfRule>
  </conditionalFormatting>
  <conditionalFormatting sqref="B109:C109">
    <cfRule type="cellIs" dxfId="625" priority="617" stopIfTrue="1" operator="equal">
      <formula>"Towel"</formula>
    </cfRule>
    <cfRule type="cellIs" dxfId="624" priority="618" stopIfTrue="1" operator="equal">
      <formula>"Napkin Hs"</formula>
    </cfRule>
  </conditionalFormatting>
  <conditionalFormatting sqref="C109">
    <cfRule type="cellIs" dxfId="623" priority="616" stopIfTrue="1" operator="equal">
      <formula>"Napkin Hs"</formula>
    </cfRule>
  </conditionalFormatting>
  <conditionalFormatting sqref="C109">
    <cfRule type="cellIs" dxfId="622" priority="613" stopIfTrue="1" operator="equal">
      <formula>"Towel"</formula>
    </cfRule>
    <cfRule type="cellIs" dxfId="621" priority="614" stopIfTrue="1" operator="equal">
      <formula>"Napkin Hs"</formula>
    </cfRule>
  </conditionalFormatting>
  <conditionalFormatting sqref="C109">
    <cfRule type="cellIs" dxfId="620" priority="615" stopIfTrue="1" operator="equal">
      <formula>"Towel"</formula>
    </cfRule>
  </conditionalFormatting>
  <conditionalFormatting sqref="B114:C114">
    <cfRule type="cellIs" dxfId="619" priority="611" stopIfTrue="1" operator="equal">
      <formula>"Towel"</formula>
    </cfRule>
    <cfRule type="cellIs" dxfId="618" priority="612" stopIfTrue="1" operator="equal">
      <formula>"Napkin Hs"</formula>
    </cfRule>
  </conditionalFormatting>
  <conditionalFormatting sqref="C114">
    <cfRule type="cellIs" dxfId="617" priority="610" stopIfTrue="1" operator="equal">
      <formula>"Napkin Hs"</formula>
    </cfRule>
  </conditionalFormatting>
  <conditionalFormatting sqref="C114">
    <cfRule type="cellIs" dxfId="616" priority="607" stopIfTrue="1" operator="equal">
      <formula>"Towel"</formula>
    </cfRule>
    <cfRule type="cellIs" dxfId="615" priority="608" stopIfTrue="1" operator="equal">
      <formula>"Napkin Hs"</formula>
    </cfRule>
  </conditionalFormatting>
  <conditionalFormatting sqref="C114">
    <cfRule type="cellIs" dxfId="614" priority="609" stopIfTrue="1" operator="equal">
      <formula>"Towel"</formula>
    </cfRule>
  </conditionalFormatting>
  <conditionalFormatting sqref="B119:C119">
    <cfRule type="cellIs" dxfId="613" priority="605" stopIfTrue="1" operator="equal">
      <formula>"Towel"</formula>
    </cfRule>
    <cfRule type="cellIs" dxfId="612" priority="606" stopIfTrue="1" operator="equal">
      <formula>"Napkin Hs"</formula>
    </cfRule>
  </conditionalFormatting>
  <conditionalFormatting sqref="C119">
    <cfRule type="cellIs" dxfId="611" priority="604" stopIfTrue="1" operator="equal">
      <formula>"Napkin Hs"</formula>
    </cfRule>
  </conditionalFormatting>
  <conditionalFormatting sqref="C119">
    <cfRule type="cellIs" dxfId="610" priority="601" stopIfTrue="1" operator="equal">
      <formula>"Towel"</formula>
    </cfRule>
    <cfRule type="cellIs" dxfId="609" priority="602" stopIfTrue="1" operator="equal">
      <formula>"Napkin Hs"</formula>
    </cfRule>
  </conditionalFormatting>
  <conditionalFormatting sqref="C119">
    <cfRule type="cellIs" dxfId="608" priority="603" stopIfTrue="1" operator="equal">
      <formula>"Towel"</formula>
    </cfRule>
  </conditionalFormatting>
  <conditionalFormatting sqref="B124:C124">
    <cfRule type="cellIs" dxfId="607" priority="599" stopIfTrue="1" operator="equal">
      <formula>"Towel"</formula>
    </cfRule>
    <cfRule type="cellIs" dxfId="606" priority="600" stopIfTrue="1" operator="equal">
      <formula>"Napkin Hs"</formula>
    </cfRule>
  </conditionalFormatting>
  <conditionalFormatting sqref="C124">
    <cfRule type="cellIs" dxfId="605" priority="598" stopIfTrue="1" operator="equal">
      <formula>"Napkin Hs"</formula>
    </cfRule>
  </conditionalFormatting>
  <conditionalFormatting sqref="C124">
    <cfRule type="cellIs" dxfId="604" priority="595" stopIfTrue="1" operator="equal">
      <formula>"Towel"</formula>
    </cfRule>
    <cfRule type="cellIs" dxfId="603" priority="596" stopIfTrue="1" operator="equal">
      <formula>"Napkin Hs"</formula>
    </cfRule>
  </conditionalFormatting>
  <conditionalFormatting sqref="C124">
    <cfRule type="cellIs" dxfId="602" priority="597" stopIfTrue="1" operator="equal">
      <formula>"Towel"</formula>
    </cfRule>
  </conditionalFormatting>
  <conditionalFormatting sqref="B134:C134">
    <cfRule type="cellIs" dxfId="601" priority="593" stopIfTrue="1" operator="equal">
      <formula>"Towel"</formula>
    </cfRule>
    <cfRule type="cellIs" dxfId="600" priority="594" stopIfTrue="1" operator="equal">
      <formula>"Napkin Hs"</formula>
    </cfRule>
  </conditionalFormatting>
  <conditionalFormatting sqref="C134">
    <cfRule type="cellIs" dxfId="599" priority="589" stopIfTrue="1" operator="equal">
      <formula>"Towel"</formula>
    </cfRule>
    <cfRule type="cellIs" dxfId="598" priority="590" stopIfTrue="1" operator="equal">
      <formula>"Napkin Hs"</formula>
    </cfRule>
  </conditionalFormatting>
  <conditionalFormatting sqref="C134">
    <cfRule type="cellIs" dxfId="597" priority="592" stopIfTrue="1" operator="equal">
      <formula>"Napkin Hs"</formula>
    </cfRule>
  </conditionalFormatting>
  <conditionalFormatting sqref="C134">
    <cfRule type="cellIs" dxfId="596" priority="591" stopIfTrue="1" operator="equal">
      <formula>"Towel"</formula>
    </cfRule>
  </conditionalFormatting>
  <conditionalFormatting sqref="B139:C139">
    <cfRule type="cellIs" dxfId="595" priority="587" stopIfTrue="1" operator="equal">
      <formula>"Towel"</formula>
    </cfRule>
    <cfRule type="cellIs" dxfId="594" priority="588" stopIfTrue="1" operator="equal">
      <formula>"Napkin Hs"</formula>
    </cfRule>
  </conditionalFormatting>
  <conditionalFormatting sqref="C139">
    <cfRule type="cellIs" dxfId="593" priority="586" stopIfTrue="1" operator="equal">
      <formula>"Napkin Hs"</formula>
    </cfRule>
  </conditionalFormatting>
  <conditionalFormatting sqref="C139">
    <cfRule type="cellIs" dxfId="592" priority="583" stopIfTrue="1" operator="equal">
      <formula>"Towel"</formula>
    </cfRule>
    <cfRule type="cellIs" dxfId="591" priority="584" stopIfTrue="1" operator="equal">
      <formula>"Napkin Hs"</formula>
    </cfRule>
  </conditionalFormatting>
  <conditionalFormatting sqref="C139">
    <cfRule type="cellIs" dxfId="590" priority="585" stopIfTrue="1" operator="equal">
      <formula>"Towel"</formula>
    </cfRule>
  </conditionalFormatting>
  <conditionalFormatting sqref="C155">
    <cfRule type="cellIs" dxfId="589" priority="577" stopIfTrue="1" operator="equal">
      <formula>"Towel"</formula>
    </cfRule>
    <cfRule type="cellIs" dxfId="588" priority="578" stopIfTrue="1" operator="equal">
      <formula>"Napkin Hs"</formula>
    </cfRule>
  </conditionalFormatting>
  <conditionalFormatting sqref="B155:C155">
    <cfRule type="cellIs" dxfId="587" priority="581" stopIfTrue="1" operator="equal">
      <formula>"Towel"</formula>
    </cfRule>
    <cfRule type="cellIs" dxfId="586" priority="582" stopIfTrue="1" operator="equal">
      <formula>"Napkin Hs"</formula>
    </cfRule>
  </conditionalFormatting>
  <conditionalFormatting sqref="C155">
    <cfRule type="cellIs" dxfId="585" priority="580" stopIfTrue="1" operator="equal">
      <formula>"Napkin Hs"</formula>
    </cfRule>
  </conditionalFormatting>
  <conditionalFormatting sqref="C155">
    <cfRule type="cellIs" dxfId="584" priority="579" stopIfTrue="1" operator="equal">
      <formula>"Towel"</formula>
    </cfRule>
  </conditionalFormatting>
  <conditionalFormatting sqref="B15:C15">
    <cfRule type="cellIs" dxfId="583" priority="575" stopIfTrue="1" operator="equal">
      <formula>"Towel"</formula>
    </cfRule>
    <cfRule type="cellIs" dxfId="582" priority="576" stopIfTrue="1" operator="equal">
      <formula>"Napkin Hs"</formula>
    </cfRule>
  </conditionalFormatting>
  <conditionalFormatting sqref="C15">
    <cfRule type="cellIs" dxfId="581" priority="571" stopIfTrue="1" operator="equal">
      <formula>"Towel"</formula>
    </cfRule>
    <cfRule type="cellIs" dxfId="580" priority="572" stopIfTrue="1" operator="equal">
      <formula>"Napkin Hs"</formula>
    </cfRule>
  </conditionalFormatting>
  <conditionalFormatting sqref="C15">
    <cfRule type="cellIs" dxfId="579" priority="574" stopIfTrue="1" operator="equal">
      <formula>"Napkin Hs"</formula>
    </cfRule>
  </conditionalFormatting>
  <conditionalFormatting sqref="C15">
    <cfRule type="cellIs" dxfId="578" priority="573" stopIfTrue="1" operator="equal">
      <formula>"Towel"</formula>
    </cfRule>
  </conditionalFormatting>
  <conditionalFormatting sqref="B20:C20">
    <cfRule type="cellIs" dxfId="577" priority="569" stopIfTrue="1" operator="equal">
      <formula>"Towel"</formula>
    </cfRule>
    <cfRule type="cellIs" dxfId="576" priority="570" stopIfTrue="1" operator="equal">
      <formula>"Napkin Hs"</formula>
    </cfRule>
  </conditionalFormatting>
  <conditionalFormatting sqref="C20">
    <cfRule type="cellIs" dxfId="575" priority="568" stopIfTrue="1" operator="equal">
      <formula>"Napkin Hs"</formula>
    </cfRule>
  </conditionalFormatting>
  <conditionalFormatting sqref="C20">
    <cfRule type="cellIs" dxfId="574" priority="565" stopIfTrue="1" operator="equal">
      <formula>"Towel"</formula>
    </cfRule>
    <cfRule type="cellIs" dxfId="573" priority="566" stopIfTrue="1" operator="equal">
      <formula>"Napkin Hs"</formula>
    </cfRule>
  </conditionalFormatting>
  <conditionalFormatting sqref="C20">
    <cfRule type="cellIs" dxfId="572" priority="567" stopIfTrue="1" operator="equal">
      <formula>"Towel"</formula>
    </cfRule>
  </conditionalFormatting>
  <conditionalFormatting sqref="B20:C20">
    <cfRule type="cellIs" dxfId="571" priority="563" stopIfTrue="1" operator="equal">
      <formula>"Towel"</formula>
    </cfRule>
    <cfRule type="cellIs" dxfId="570" priority="564" stopIfTrue="1" operator="equal">
      <formula>"Napkin Hs"</formula>
    </cfRule>
  </conditionalFormatting>
  <conditionalFormatting sqref="C20">
    <cfRule type="cellIs" dxfId="569" priority="562" stopIfTrue="1" operator="equal">
      <formula>"Napkin Hs"</formula>
    </cfRule>
  </conditionalFormatting>
  <conditionalFormatting sqref="C20">
    <cfRule type="cellIs" dxfId="568" priority="559" stopIfTrue="1" operator="equal">
      <formula>"Towel"</formula>
    </cfRule>
    <cfRule type="cellIs" dxfId="567" priority="560" stopIfTrue="1" operator="equal">
      <formula>"Napkin Hs"</formula>
    </cfRule>
  </conditionalFormatting>
  <conditionalFormatting sqref="C20">
    <cfRule type="cellIs" dxfId="566" priority="561" stopIfTrue="1" operator="equal">
      <formula>"Towel"</formula>
    </cfRule>
  </conditionalFormatting>
  <conditionalFormatting sqref="B25:C25">
    <cfRule type="cellIs" dxfId="565" priority="557" stopIfTrue="1" operator="equal">
      <formula>"Towel"</formula>
    </cfRule>
    <cfRule type="cellIs" dxfId="564" priority="558" stopIfTrue="1" operator="equal">
      <formula>"Napkin Hs"</formula>
    </cfRule>
  </conditionalFormatting>
  <conditionalFormatting sqref="C25">
    <cfRule type="cellIs" dxfId="563" priority="556" stopIfTrue="1" operator="equal">
      <formula>"Napkin Hs"</formula>
    </cfRule>
  </conditionalFormatting>
  <conditionalFormatting sqref="C25">
    <cfRule type="cellIs" dxfId="562" priority="553" stopIfTrue="1" operator="equal">
      <formula>"Towel"</formula>
    </cfRule>
    <cfRule type="cellIs" dxfId="561" priority="554" stopIfTrue="1" operator="equal">
      <formula>"Napkin Hs"</formula>
    </cfRule>
  </conditionalFormatting>
  <conditionalFormatting sqref="C25">
    <cfRule type="cellIs" dxfId="560" priority="555" stopIfTrue="1" operator="equal">
      <formula>"Towel"</formula>
    </cfRule>
  </conditionalFormatting>
  <conditionalFormatting sqref="B25:C25">
    <cfRule type="cellIs" dxfId="559" priority="551" stopIfTrue="1" operator="equal">
      <formula>"Towel"</formula>
    </cfRule>
    <cfRule type="cellIs" dxfId="558" priority="552" stopIfTrue="1" operator="equal">
      <formula>"Napkin Hs"</formula>
    </cfRule>
  </conditionalFormatting>
  <conditionalFormatting sqref="C25">
    <cfRule type="cellIs" dxfId="557" priority="550" stopIfTrue="1" operator="equal">
      <formula>"Napkin Hs"</formula>
    </cfRule>
  </conditionalFormatting>
  <conditionalFormatting sqref="C25">
    <cfRule type="cellIs" dxfId="556" priority="547" stopIfTrue="1" operator="equal">
      <formula>"Towel"</formula>
    </cfRule>
    <cfRule type="cellIs" dxfId="555" priority="548" stopIfTrue="1" operator="equal">
      <formula>"Napkin Hs"</formula>
    </cfRule>
  </conditionalFormatting>
  <conditionalFormatting sqref="C25">
    <cfRule type="cellIs" dxfId="554" priority="549" stopIfTrue="1" operator="equal">
      <formula>"Towel"</formula>
    </cfRule>
  </conditionalFormatting>
  <conditionalFormatting sqref="B30:C30">
    <cfRule type="cellIs" dxfId="553" priority="545" stopIfTrue="1" operator="equal">
      <formula>"Towel"</formula>
    </cfRule>
    <cfRule type="cellIs" dxfId="552" priority="546" stopIfTrue="1" operator="equal">
      <formula>"Napkin Hs"</formula>
    </cfRule>
  </conditionalFormatting>
  <conditionalFormatting sqref="C30">
    <cfRule type="cellIs" dxfId="551" priority="544" stopIfTrue="1" operator="equal">
      <formula>"Napkin Hs"</formula>
    </cfRule>
  </conditionalFormatting>
  <conditionalFormatting sqref="C30">
    <cfRule type="cellIs" dxfId="550" priority="541" stopIfTrue="1" operator="equal">
      <formula>"Towel"</formula>
    </cfRule>
    <cfRule type="cellIs" dxfId="549" priority="542" stopIfTrue="1" operator="equal">
      <formula>"Napkin Hs"</formula>
    </cfRule>
  </conditionalFormatting>
  <conditionalFormatting sqref="C30">
    <cfRule type="cellIs" dxfId="548" priority="543" stopIfTrue="1" operator="equal">
      <formula>"Towel"</formula>
    </cfRule>
  </conditionalFormatting>
  <conditionalFormatting sqref="B30:C30">
    <cfRule type="cellIs" dxfId="547" priority="539" stopIfTrue="1" operator="equal">
      <formula>"Towel"</formula>
    </cfRule>
    <cfRule type="cellIs" dxfId="546" priority="540" stopIfTrue="1" operator="equal">
      <formula>"Napkin Hs"</formula>
    </cfRule>
  </conditionalFormatting>
  <conditionalFormatting sqref="C30">
    <cfRule type="cellIs" dxfId="545" priority="538" stopIfTrue="1" operator="equal">
      <formula>"Napkin Hs"</formula>
    </cfRule>
  </conditionalFormatting>
  <conditionalFormatting sqref="C30">
    <cfRule type="cellIs" dxfId="544" priority="535" stopIfTrue="1" operator="equal">
      <formula>"Towel"</formula>
    </cfRule>
    <cfRule type="cellIs" dxfId="543" priority="536" stopIfTrue="1" operator="equal">
      <formula>"Napkin Hs"</formula>
    </cfRule>
  </conditionalFormatting>
  <conditionalFormatting sqref="C30">
    <cfRule type="cellIs" dxfId="542" priority="537" stopIfTrue="1" operator="equal">
      <formula>"Towel"</formula>
    </cfRule>
  </conditionalFormatting>
  <conditionalFormatting sqref="B11:C11 B13:C13">
    <cfRule type="cellIs" dxfId="541" priority="533" stopIfTrue="1" operator="equal">
      <formula>"Towel"</formula>
    </cfRule>
    <cfRule type="cellIs" dxfId="540" priority="534" stopIfTrue="1" operator="equal">
      <formula>"Napkin Hs"</formula>
    </cfRule>
  </conditionalFormatting>
  <conditionalFormatting sqref="B12:C12">
    <cfRule type="cellIs" dxfId="539" priority="529" stopIfTrue="1" operator="equal">
      <formula>"Towel"</formula>
    </cfRule>
    <cfRule type="cellIs" dxfId="538" priority="530" stopIfTrue="1" operator="equal">
      <formula>"Napkin Hs"</formula>
    </cfRule>
  </conditionalFormatting>
  <conditionalFormatting sqref="C11 C13">
    <cfRule type="cellIs" dxfId="537" priority="532" stopIfTrue="1" operator="equal">
      <formula>"Napkin Hs"</formula>
    </cfRule>
  </conditionalFormatting>
  <conditionalFormatting sqref="C11:C13">
    <cfRule type="cellIs" dxfId="536" priority="527" stopIfTrue="1" operator="equal">
      <formula>"Towel"</formula>
    </cfRule>
    <cfRule type="cellIs" dxfId="535" priority="528" stopIfTrue="1" operator="equal">
      <formula>"Napkin Hs"</formula>
    </cfRule>
  </conditionalFormatting>
  <conditionalFormatting sqref="C12">
    <cfRule type="cellIs" dxfId="534" priority="525" stopIfTrue="1" operator="equal">
      <formula>"Towel"</formula>
    </cfRule>
    <cfRule type="cellIs" dxfId="533" priority="526" stopIfTrue="1" operator="equal">
      <formula>"Napkin Hs"</formula>
    </cfRule>
  </conditionalFormatting>
  <conditionalFormatting sqref="C11 C13">
    <cfRule type="cellIs" dxfId="532" priority="531" stopIfTrue="1" operator="equal">
      <formula>"Towel"</formula>
    </cfRule>
  </conditionalFormatting>
  <conditionalFormatting sqref="B14:C14">
    <cfRule type="cellIs" dxfId="531" priority="523" stopIfTrue="1" operator="equal">
      <formula>"Towel"</formula>
    </cfRule>
    <cfRule type="cellIs" dxfId="530" priority="524" stopIfTrue="1" operator="equal">
      <formula>"Napkin Hs"</formula>
    </cfRule>
  </conditionalFormatting>
  <conditionalFormatting sqref="C14">
    <cfRule type="cellIs" dxfId="529" priority="519" stopIfTrue="1" operator="equal">
      <formula>"Towel"</formula>
    </cfRule>
    <cfRule type="cellIs" dxfId="528" priority="520" stopIfTrue="1" operator="equal">
      <formula>"Napkin Hs"</formula>
    </cfRule>
  </conditionalFormatting>
  <conditionalFormatting sqref="C14">
    <cfRule type="cellIs" dxfId="527" priority="522" stopIfTrue="1" operator="equal">
      <formula>"Napkin Hs"</formula>
    </cfRule>
  </conditionalFormatting>
  <conditionalFormatting sqref="C14">
    <cfRule type="cellIs" dxfId="526" priority="521" stopIfTrue="1" operator="equal">
      <formula>"Towel"</formula>
    </cfRule>
  </conditionalFormatting>
  <conditionalFormatting sqref="B16:C16 B18:C18">
    <cfRule type="cellIs" dxfId="525" priority="517" stopIfTrue="1" operator="equal">
      <formula>"Towel"</formula>
    </cfRule>
    <cfRule type="cellIs" dxfId="524" priority="518" stopIfTrue="1" operator="equal">
      <formula>"Napkin Hs"</formula>
    </cfRule>
  </conditionalFormatting>
  <conditionalFormatting sqref="B17:C17">
    <cfRule type="cellIs" dxfId="523" priority="513" stopIfTrue="1" operator="equal">
      <formula>"Towel"</formula>
    </cfRule>
    <cfRule type="cellIs" dxfId="522" priority="514" stopIfTrue="1" operator="equal">
      <formula>"Napkin Hs"</formula>
    </cfRule>
  </conditionalFormatting>
  <conditionalFormatting sqref="C16 C18">
    <cfRule type="cellIs" dxfId="521" priority="516" stopIfTrue="1" operator="equal">
      <formula>"Napkin Hs"</formula>
    </cfRule>
  </conditionalFormatting>
  <conditionalFormatting sqref="C16:C18">
    <cfRule type="cellIs" dxfId="520" priority="511" stopIfTrue="1" operator="equal">
      <formula>"Towel"</formula>
    </cfRule>
    <cfRule type="cellIs" dxfId="519" priority="512" stopIfTrue="1" operator="equal">
      <formula>"Napkin Hs"</formula>
    </cfRule>
  </conditionalFormatting>
  <conditionalFormatting sqref="C17">
    <cfRule type="cellIs" dxfId="518" priority="509" stopIfTrue="1" operator="equal">
      <formula>"Towel"</formula>
    </cfRule>
    <cfRule type="cellIs" dxfId="517" priority="510" stopIfTrue="1" operator="equal">
      <formula>"Napkin Hs"</formula>
    </cfRule>
  </conditionalFormatting>
  <conditionalFormatting sqref="C16 C18">
    <cfRule type="cellIs" dxfId="516" priority="515" stopIfTrue="1" operator="equal">
      <formula>"Towel"</formula>
    </cfRule>
  </conditionalFormatting>
  <conditionalFormatting sqref="B19:C19">
    <cfRule type="cellIs" dxfId="515" priority="507" stopIfTrue="1" operator="equal">
      <formula>"Towel"</formula>
    </cfRule>
    <cfRule type="cellIs" dxfId="514" priority="508" stopIfTrue="1" operator="equal">
      <formula>"Napkin Hs"</formula>
    </cfRule>
  </conditionalFormatting>
  <conditionalFormatting sqref="C19">
    <cfRule type="cellIs" dxfId="513" priority="503" stopIfTrue="1" operator="equal">
      <formula>"Towel"</formula>
    </cfRule>
    <cfRule type="cellIs" dxfId="512" priority="504" stopIfTrue="1" operator="equal">
      <formula>"Napkin Hs"</formula>
    </cfRule>
  </conditionalFormatting>
  <conditionalFormatting sqref="C19">
    <cfRule type="cellIs" dxfId="511" priority="506" stopIfTrue="1" operator="equal">
      <formula>"Napkin Hs"</formula>
    </cfRule>
  </conditionalFormatting>
  <conditionalFormatting sqref="C19">
    <cfRule type="cellIs" dxfId="510" priority="505" stopIfTrue="1" operator="equal">
      <formula>"Towel"</formula>
    </cfRule>
  </conditionalFormatting>
  <conditionalFormatting sqref="B21:C23">
    <cfRule type="cellIs" dxfId="509" priority="501" stopIfTrue="1" operator="equal">
      <formula>"Towel"</formula>
    </cfRule>
    <cfRule type="cellIs" dxfId="508" priority="502" stopIfTrue="1" operator="equal">
      <formula>"Napkin Hs"</formula>
    </cfRule>
  </conditionalFormatting>
  <conditionalFormatting sqref="C21:C23">
    <cfRule type="cellIs" dxfId="507" priority="500" stopIfTrue="1" operator="equal">
      <formula>"Napkin Hs"</formula>
    </cfRule>
  </conditionalFormatting>
  <conditionalFormatting sqref="C21:C23">
    <cfRule type="cellIs" dxfId="506" priority="497" stopIfTrue="1" operator="equal">
      <formula>"Towel"</formula>
    </cfRule>
    <cfRule type="cellIs" dxfId="505" priority="498" stopIfTrue="1" operator="equal">
      <formula>"Napkin Hs"</formula>
    </cfRule>
  </conditionalFormatting>
  <conditionalFormatting sqref="C21:C23">
    <cfRule type="cellIs" dxfId="504" priority="499" stopIfTrue="1" operator="equal">
      <formula>"Towel"</formula>
    </cfRule>
  </conditionalFormatting>
  <conditionalFormatting sqref="B24:C24">
    <cfRule type="cellIs" dxfId="503" priority="495" stopIfTrue="1" operator="equal">
      <formula>"Towel"</formula>
    </cfRule>
    <cfRule type="cellIs" dxfId="502" priority="496" stopIfTrue="1" operator="equal">
      <formula>"Napkin Hs"</formula>
    </cfRule>
  </conditionalFormatting>
  <conditionalFormatting sqref="C24">
    <cfRule type="cellIs" dxfId="501" priority="491" stopIfTrue="1" operator="equal">
      <formula>"Towel"</formula>
    </cfRule>
    <cfRule type="cellIs" dxfId="500" priority="492" stopIfTrue="1" operator="equal">
      <formula>"Napkin Hs"</formula>
    </cfRule>
  </conditionalFormatting>
  <conditionalFormatting sqref="C24">
    <cfRule type="cellIs" dxfId="499" priority="494" stopIfTrue="1" operator="equal">
      <formula>"Napkin Hs"</formula>
    </cfRule>
  </conditionalFormatting>
  <conditionalFormatting sqref="C24">
    <cfRule type="cellIs" dxfId="498" priority="493" stopIfTrue="1" operator="equal">
      <formula>"Towel"</formula>
    </cfRule>
  </conditionalFormatting>
  <conditionalFormatting sqref="B26:C26 B28:C28">
    <cfRule type="cellIs" dxfId="497" priority="489" stopIfTrue="1" operator="equal">
      <formula>"Towel"</formula>
    </cfRule>
    <cfRule type="cellIs" dxfId="496" priority="490" stopIfTrue="1" operator="equal">
      <formula>"Napkin Hs"</formula>
    </cfRule>
  </conditionalFormatting>
  <conditionalFormatting sqref="B27:C27">
    <cfRule type="cellIs" dxfId="495" priority="485" stopIfTrue="1" operator="equal">
      <formula>"Towel"</formula>
    </cfRule>
    <cfRule type="cellIs" dxfId="494" priority="486" stopIfTrue="1" operator="equal">
      <formula>"Napkin Hs"</formula>
    </cfRule>
  </conditionalFormatting>
  <conditionalFormatting sqref="C26 C28">
    <cfRule type="cellIs" dxfId="493" priority="488" stopIfTrue="1" operator="equal">
      <formula>"Napkin Hs"</formula>
    </cfRule>
  </conditionalFormatting>
  <conditionalFormatting sqref="C26:C28">
    <cfRule type="cellIs" dxfId="492" priority="483" stopIfTrue="1" operator="equal">
      <formula>"Towel"</formula>
    </cfRule>
    <cfRule type="cellIs" dxfId="491" priority="484" stopIfTrue="1" operator="equal">
      <formula>"Napkin Hs"</formula>
    </cfRule>
  </conditionalFormatting>
  <conditionalFormatting sqref="C27">
    <cfRule type="cellIs" dxfId="490" priority="481" stopIfTrue="1" operator="equal">
      <formula>"Towel"</formula>
    </cfRule>
    <cfRule type="cellIs" dxfId="489" priority="482" stopIfTrue="1" operator="equal">
      <formula>"Napkin Hs"</formula>
    </cfRule>
  </conditionalFormatting>
  <conditionalFormatting sqref="C26 C28">
    <cfRule type="cellIs" dxfId="488" priority="487" stopIfTrue="1" operator="equal">
      <formula>"Towel"</formula>
    </cfRule>
  </conditionalFormatting>
  <conditionalFormatting sqref="B29:C29">
    <cfRule type="cellIs" dxfId="487" priority="479" stopIfTrue="1" operator="equal">
      <formula>"Towel"</formula>
    </cfRule>
    <cfRule type="cellIs" dxfId="486" priority="480" stopIfTrue="1" operator="equal">
      <formula>"Napkin Hs"</formula>
    </cfRule>
  </conditionalFormatting>
  <conditionalFormatting sqref="C29">
    <cfRule type="cellIs" dxfId="485" priority="475" stopIfTrue="1" operator="equal">
      <formula>"Towel"</formula>
    </cfRule>
    <cfRule type="cellIs" dxfId="484" priority="476" stopIfTrue="1" operator="equal">
      <formula>"Napkin Hs"</formula>
    </cfRule>
  </conditionalFormatting>
  <conditionalFormatting sqref="C29">
    <cfRule type="cellIs" dxfId="483" priority="478" stopIfTrue="1" operator="equal">
      <formula>"Napkin Hs"</formula>
    </cfRule>
  </conditionalFormatting>
  <conditionalFormatting sqref="C29">
    <cfRule type="cellIs" dxfId="482" priority="477" stopIfTrue="1" operator="equal">
      <formula>"Towel"</formula>
    </cfRule>
  </conditionalFormatting>
  <conditionalFormatting sqref="B35:C35">
    <cfRule type="cellIs" dxfId="481" priority="473" stopIfTrue="1" operator="equal">
      <formula>"Towel"</formula>
    </cfRule>
    <cfRule type="cellIs" dxfId="480" priority="474" stopIfTrue="1" operator="equal">
      <formula>"Napkin Hs"</formula>
    </cfRule>
  </conditionalFormatting>
  <conditionalFormatting sqref="C35">
    <cfRule type="cellIs" dxfId="479" priority="472" stopIfTrue="1" operator="equal">
      <formula>"Napkin Hs"</formula>
    </cfRule>
  </conditionalFormatting>
  <conditionalFormatting sqref="C35">
    <cfRule type="cellIs" dxfId="478" priority="469" stopIfTrue="1" operator="equal">
      <formula>"Towel"</formula>
    </cfRule>
    <cfRule type="cellIs" dxfId="477" priority="470" stopIfTrue="1" operator="equal">
      <formula>"Napkin Hs"</formula>
    </cfRule>
  </conditionalFormatting>
  <conditionalFormatting sqref="C35">
    <cfRule type="cellIs" dxfId="476" priority="471" stopIfTrue="1" operator="equal">
      <formula>"Towel"</formula>
    </cfRule>
  </conditionalFormatting>
  <conditionalFormatting sqref="B35:C35">
    <cfRule type="cellIs" dxfId="475" priority="467" stopIfTrue="1" operator="equal">
      <formula>"Towel"</formula>
    </cfRule>
    <cfRule type="cellIs" dxfId="474" priority="468" stopIfTrue="1" operator="equal">
      <formula>"Napkin Hs"</formula>
    </cfRule>
  </conditionalFormatting>
  <conditionalFormatting sqref="C35">
    <cfRule type="cellIs" dxfId="473" priority="466" stopIfTrue="1" operator="equal">
      <formula>"Napkin Hs"</formula>
    </cfRule>
  </conditionalFormatting>
  <conditionalFormatting sqref="C35">
    <cfRule type="cellIs" dxfId="472" priority="463" stopIfTrue="1" operator="equal">
      <formula>"Towel"</formula>
    </cfRule>
    <cfRule type="cellIs" dxfId="471" priority="464" stopIfTrue="1" operator="equal">
      <formula>"Napkin Hs"</formula>
    </cfRule>
  </conditionalFormatting>
  <conditionalFormatting sqref="C35">
    <cfRule type="cellIs" dxfId="470" priority="465" stopIfTrue="1" operator="equal">
      <formula>"Towel"</formula>
    </cfRule>
  </conditionalFormatting>
  <conditionalFormatting sqref="B31:C33">
    <cfRule type="cellIs" dxfId="469" priority="461" stopIfTrue="1" operator="equal">
      <formula>"Towel"</formula>
    </cfRule>
    <cfRule type="cellIs" dxfId="468" priority="462" stopIfTrue="1" operator="equal">
      <formula>"Napkin Hs"</formula>
    </cfRule>
  </conditionalFormatting>
  <conditionalFormatting sqref="C31:C33">
    <cfRule type="cellIs" dxfId="467" priority="460" stopIfTrue="1" operator="equal">
      <formula>"Napkin Hs"</formula>
    </cfRule>
  </conditionalFormatting>
  <conditionalFormatting sqref="C31:C33">
    <cfRule type="cellIs" dxfId="466" priority="457" stopIfTrue="1" operator="equal">
      <formula>"Towel"</formula>
    </cfRule>
    <cfRule type="cellIs" dxfId="465" priority="458" stopIfTrue="1" operator="equal">
      <formula>"Napkin Hs"</formula>
    </cfRule>
  </conditionalFormatting>
  <conditionalFormatting sqref="C31:C33">
    <cfRule type="cellIs" dxfId="464" priority="459" stopIfTrue="1" operator="equal">
      <formula>"Towel"</formula>
    </cfRule>
  </conditionalFormatting>
  <conditionalFormatting sqref="B34:C34">
    <cfRule type="cellIs" dxfId="463" priority="455" stopIfTrue="1" operator="equal">
      <formula>"Towel"</formula>
    </cfRule>
    <cfRule type="cellIs" dxfId="462" priority="456" stopIfTrue="1" operator="equal">
      <formula>"Napkin Hs"</formula>
    </cfRule>
  </conditionalFormatting>
  <conditionalFormatting sqref="C34">
    <cfRule type="cellIs" dxfId="461" priority="451" stopIfTrue="1" operator="equal">
      <formula>"Towel"</formula>
    </cfRule>
    <cfRule type="cellIs" dxfId="460" priority="452" stopIfTrue="1" operator="equal">
      <formula>"Napkin Hs"</formula>
    </cfRule>
  </conditionalFormatting>
  <conditionalFormatting sqref="C34">
    <cfRule type="cellIs" dxfId="459" priority="454" stopIfTrue="1" operator="equal">
      <formula>"Napkin Hs"</formula>
    </cfRule>
  </conditionalFormatting>
  <conditionalFormatting sqref="C34">
    <cfRule type="cellIs" dxfId="458" priority="453" stopIfTrue="1" operator="equal">
      <formula>"Towel"</formula>
    </cfRule>
  </conditionalFormatting>
  <conditionalFormatting sqref="B38:C38">
    <cfRule type="cellIs" dxfId="457" priority="449" stopIfTrue="1" operator="equal">
      <formula>"Towel"</formula>
    </cfRule>
    <cfRule type="cellIs" dxfId="456" priority="450" stopIfTrue="1" operator="equal">
      <formula>"Napkin Hs"</formula>
    </cfRule>
  </conditionalFormatting>
  <conditionalFormatting sqref="C38">
    <cfRule type="cellIs" dxfId="455" priority="448" stopIfTrue="1" operator="equal">
      <formula>"Napkin Hs"</formula>
    </cfRule>
  </conditionalFormatting>
  <conditionalFormatting sqref="C38">
    <cfRule type="cellIs" dxfId="454" priority="445" stopIfTrue="1" operator="equal">
      <formula>"Towel"</formula>
    </cfRule>
    <cfRule type="cellIs" dxfId="453" priority="446" stopIfTrue="1" operator="equal">
      <formula>"Napkin Hs"</formula>
    </cfRule>
  </conditionalFormatting>
  <conditionalFormatting sqref="C38">
    <cfRule type="cellIs" dxfId="452" priority="447" stopIfTrue="1" operator="equal">
      <formula>"Towel"</formula>
    </cfRule>
  </conditionalFormatting>
  <conditionalFormatting sqref="B39:C39">
    <cfRule type="cellIs" dxfId="451" priority="443" stopIfTrue="1" operator="equal">
      <formula>"Towel"</formula>
    </cfRule>
    <cfRule type="cellIs" dxfId="450" priority="444" stopIfTrue="1" operator="equal">
      <formula>"Napkin Hs"</formula>
    </cfRule>
  </conditionalFormatting>
  <conditionalFormatting sqref="C39">
    <cfRule type="cellIs" dxfId="449" priority="439" stopIfTrue="1" operator="equal">
      <formula>"Towel"</formula>
    </cfRule>
    <cfRule type="cellIs" dxfId="448" priority="440" stopIfTrue="1" operator="equal">
      <formula>"Napkin Hs"</formula>
    </cfRule>
  </conditionalFormatting>
  <conditionalFormatting sqref="C39">
    <cfRule type="cellIs" dxfId="447" priority="442" stopIfTrue="1" operator="equal">
      <formula>"Napkin Hs"</formula>
    </cfRule>
  </conditionalFormatting>
  <conditionalFormatting sqref="C39">
    <cfRule type="cellIs" dxfId="446" priority="441" stopIfTrue="1" operator="equal">
      <formula>"Towel"</formula>
    </cfRule>
  </conditionalFormatting>
  <conditionalFormatting sqref="B36:C37">
    <cfRule type="cellIs" dxfId="445" priority="437" stopIfTrue="1" operator="equal">
      <formula>"Towel"</formula>
    </cfRule>
    <cfRule type="cellIs" dxfId="444" priority="438" stopIfTrue="1" operator="equal">
      <formula>"Napkin Hs"</formula>
    </cfRule>
  </conditionalFormatting>
  <conditionalFormatting sqref="C36:C37">
    <cfRule type="cellIs" dxfId="443" priority="436" stopIfTrue="1" operator="equal">
      <formula>"Napkin Hs"</formula>
    </cfRule>
  </conditionalFormatting>
  <conditionalFormatting sqref="C36:C37">
    <cfRule type="cellIs" dxfId="442" priority="433" stopIfTrue="1" operator="equal">
      <formula>"Towel"</formula>
    </cfRule>
    <cfRule type="cellIs" dxfId="441" priority="434" stopIfTrue="1" operator="equal">
      <formula>"Napkin Hs"</formula>
    </cfRule>
  </conditionalFormatting>
  <conditionalFormatting sqref="C36:C37">
    <cfRule type="cellIs" dxfId="440" priority="435" stopIfTrue="1" operator="equal">
      <formula>"Towel"</formula>
    </cfRule>
  </conditionalFormatting>
  <conditionalFormatting sqref="B44:C44">
    <cfRule type="cellIs" dxfId="439" priority="431" stopIfTrue="1" operator="equal">
      <formula>"Towel"</formula>
    </cfRule>
    <cfRule type="cellIs" dxfId="438" priority="432" stopIfTrue="1" operator="equal">
      <formula>"Napkin Hs"</formula>
    </cfRule>
  </conditionalFormatting>
  <conditionalFormatting sqref="C44">
    <cfRule type="cellIs" dxfId="437" priority="427" stopIfTrue="1" operator="equal">
      <formula>"Towel"</formula>
    </cfRule>
    <cfRule type="cellIs" dxfId="436" priority="428" stopIfTrue="1" operator="equal">
      <formula>"Napkin Hs"</formula>
    </cfRule>
  </conditionalFormatting>
  <conditionalFormatting sqref="C44">
    <cfRule type="cellIs" dxfId="435" priority="430" stopIfTrue="1" operator="equal">
      <formula>"Napkin Hs"</formula>
    </cfRule>
  </conditionalFormatting>
  <conditionalFormatting sqref="C44">
    <cfRule type="cellIs" dxfId="434" priority="429" stopIfTrue="1" operator="equal">
      <formula>"Towel"</formula>
    </cfRule>
  </conditionalFormatting>
  <conditionalFormatting sqref="B41:C43">
    <cfRule type="cellIs" dxfId="433" priority="425" stopIfTrue="1" operator="equal">
      <formula>"Towel"</formula>
    </cfRule>
    <cfRule type="cellIs" dxfId="432" priority="426" stopIfTrue="1" operator="equal">
      <formula>"Napkin Hs"</formula>
    </cfRule>
  </conditionalFormatting>
  <conditionalFormatting sqref="C41:C43">
    <cfRule type="cellIs" dxfId="431" priority="424" stopIfTrue="1" operator="equal">
      <formula>"Napkin Hs"</formula>
    </cfRule>
  </conditionalFormatting>
  <conditionalFormatting sqref="C41:C43">
    <cfRule type="cellIs" dxfId="430" priority="421" stopIfTrue="1" operator="equal">
      <formula>"Towel"</formula>
    </cfRule>
    <cfRule type="cellIs" dxfId="429" priority="422" stopIfTrue="1" operator="equal">
      <formula>"Napkin Hs"</formula>
    </cfRule>
  </conditionalFormatting>
  <conditionalFormatting sqref="C41:C43">
    <cfRule type="cellIs" dxfId="428" priority="423" stopIfTrue="1" operator="equal">
      <formula>"Towel"</formula>
    </cfRule>
  </conditionalFormatting>
  <conditionalFormatting sqref="B48:C48">
    <cfRule type="cellIs" dxfId="427" priority="419" stopIfTrue="1" operator="equal">
      <formula>"Towel"</formula>
    </cfRule>
    <cfRule type="cellIs" dxfId="426" priority="420" stopIfTrue="1" operator="equal">
      <formula>"Napkin Hs"</formula>
    </cfRule>
  </conditionalFormatting>
  <conditionalFormatting sqref="C48">
    <cfRule type="cellIs" dxfId="425" priority="418" stopIfTrue="1" operator="equal">
      <formula>"Napkin Hs"</formula>
    </cfRule>
  </conditionalFormatting>
  <conditionalFormatting sqref="C48">
    <cfRule type="cellIs" dxfId="424" priority="415" stopIfTrue="1" operator="equal">
      <formula>"Towel"</formula>
    </cfRule>
    <cfRule type="cellIs" dxfId="423" priority="416" stopIfTrue="1" operator="equal">
      <formula>"Napkin Hs"</formula>
    </cfRule>
  </conditionalFormatting>
  <conditionalFormatting sqref="C48">
    <cfRule type="cellIs" dxfId="422" priority="417" stopIfTrue="1" operator="equal">
      <formula>"Towel"</formula>
    </cfRule>
  </conditionalFormatting>
  <conditionalFormatting sqref="B49:C52">
    <cfRule type="cellIs" dxfId="421" priority="413" stopIfTrue="1" operator="equal">
      <formula>"Towel"</formula>
    </cfRule>
    <cfRule type="cellIs" dxfId="420" priority="414" stopIfTrue="1" operator="equal">
      <formula>"Napkin Hs"</formula>
    </cfRule>
  </conditionalFormatting>
  <conditionalFormatting sqref="C49:C52">
    <cfRule type="cellIs" dxfId="419" priority="409" stopIfTrue="1" operator="equal">
      <formula>"Towel"</formula>
    </cfRule>
    <cfRule type="cellIs" dxfId="418" priority="410" stopIfTrue="1" operator="equal">
      <formula>"Napkin Hs"</formula>
    </cfRule>
  </conditionalFormatting>
  <conditionalFormatting sqref="C49:C52">
    <cfRule type="cellIs" dxfId="417" priority="412" stopIfTrue="1" operator="equal">
      <formula>"Napkin Hs"</formula>
    </cfRule>
  </conditionalFormatting>
  <conditionalFormatting sqref="C49:C52">
    <cfRule type="cellIs" dxfId="416" priority="411" stopIfTrue="1" operator="equal">
      <formula>"Towel"</formula>
    </cfRule>
  </conditionalFormatting>
  <conditionalFormatting sqref="B47:C47">
    <cfRule type="cellIs" dxfId="415" priority="407" stopIfTrue="1" operator="equal">
      <formula>"Towel"</formula>
    </cfRule>
    <cfRule type="cellIs" dxfId="414" priority="408" stopIfTrue="1" operator="equal">
      <formula>"Napkin Hs"</formula>
    </cfRule>
  </conditionalFormatting>
  <conditionalFormatting sqref="C47">
    <cfRule type="cellIs" dxfId="413" priority="406" stopIfTrue="1" operator="equal">
      <formula>"Napkin Hs"</formula>
    </cfRule>
  </conditionalFormatting>
  <conditionalFormatting sqref="C47">
    <cfRule type="cellIs" dxfId="412" priority="403" stopIfTrue="1" operator="equal">
      <formula>"Towel"</formula>
    </cfRule>
    <cfRule type="cellIs" dxfId="411" priority="404" stopIfTrue="1" operator="equal">
      <formula>"Napkin Hs"</formula>
    </cfRule>
  </conditionalFormatting>
  <conditionalFormatting sqref="C47">
    <cfRule type="cellIs" dxfId="410" priority="405" stopIfTrue="1" operator="equal">
      <formula>"Towel"</formula>
    </cfRule>
  </conditionalFormatting>
  <conditionalFormatting sqref="B46:C46">
    <cfRule type="cellIs" dxfId="409" priority="401" stopIfTrue="1" operator="equal">
      <formula>"Towel"</formula>
    </cfRule>
    <cfRule type="cellIs" dxfId="408" priority="402" stopIfTrue="1" operator="equal">
      <formula>"Napkin Hs"</formula>
    </cfRule>
  </conditionalFormatting>
  <conditionalFormatting sqref="C46">
    <cfRule type="cellIs" dxfId="407" priority="400" stopIfTrue="1" operator="equal">
      <formula>"Napkin Hs"</formula>
    </cfRule>
  </conditionalFormatting>
  <conditionalFormatting sqref="C46">
    <cfRule type="cellIs" dxfId="406" priority="397" stopIfTrue="1" operator="equal">
      <formula>"Towel"</formula>
    </cfRule>
    <cfRule type="cellIs" dxfId="405" priority="398" stopIfTrue="1" operator="equal">
      <formula>"Napkin Hs"</formula>
    </cfRule>
  </conditionalFormatting>
  <conditionalFormatting sqref="C46">
    <cfRule type="cellIs" dxfId="404" priority="399" stopIfTrue="1" operator="equal">
      <formula>"Towel"</formula>
    </cfRule>
  </conditionalFormatting>
  <conditionalFormatting sqref="B56:C56">
    <cfRule type="cellIs" dxfId="403" priority="395" stopIfTrue="1" operator="equal">
      <formula>"Towel"</formula>
    </cfRule>
    <cfRule type="cellIs" dxfId="402" priority="396" stopIfTrue="1" operator="equal">
      <formula>"Napkin Hs"</formula>
    </cfRule>
  </conditionalFormatting>
  <conditionalFormatting sqref="C56">
    <cfRule type="cellIs" dxfId="401" priority="394" stopIfTrue="1" operator="equal">
      <formula>"Napkin Hs"</formula>
    </cfRule>
  </conditionalFormatting>
  <conditionalFormatting sqref="C56">
    <cfRule type="cellIs" dxfId="400" priority="391" stopIfTrue="1" operator="equal">
      <formula>"Towel"</formula>
    </cfRule>
    <cfRule type="cellIs" dxfId="399" priority="392" stopIfTrue="1" operator="equal">
      <formula>"Napkin Hs"</formula>
    </cfRule>
  </conditionalFormatting>
  <conditionalFormatting sqref="C56">
    <cfRule type="cellIs" dxfId="398" priority="393" stopIfTrue="1" operator="equal">
      <formula>"Towel"</formula>
    </cfRule>
  </conditionalFormatting>
  <conditionalFormatting sqref="B57:C57">
    <cfRule type="cellIs" dxfId="397" priority="389" stopIfTrue="1" operator="equal">
      <formula>"Towel"</formula>
    </cfRule>
    <cfRule type="cellIs" dxfId="396" priority="390" stopIfTrue="1" operator="equal">
      <formula>"Napkin Hs"</formula>
    </cfRule>
  </conditionalFormatting>
  <conditionalFormatting sqref="C57">
    <cfRule type="cellIs" dxfId="395" priority="385" stopIfTrue="1" operator="equal">
      <formula>"Towel"</formula>
    </cfRule>
    <cfRule type="cellIs" dxfId="394" priority="386" stopIfTrue="1" operator="equal">
      <formula>"Napkin Hs"</formula>
    </cfRule>
  </conditionalFormatting>
  <conditionalFormatting sqref="C57">
    <cfRule type="cellIs" dxfId="393" priority="388" stopIfTrue="1" operator="equal">
      <formula>"Napkin Hs"</formula>
    </cfRule>
  </conditionalFormatting>
  <conditionalFormatting sqref="C57">
    <cfRule type="cellIs" dxfId="392" priority="387" stopIfTrue="1" operator="equal">
      <formula>"Towel"</formula>
    </cfRule>
  </conditionalFormatting>
  <conditionalFormatting sqref="B55:C55">
    <cfRule type="cellIs" dxfId="391" priority="383" stopIfTrue="1" operator="equal">
      <formula>"Towel"</formula>
    </cfRule>
    <cfRule type="cellIs" dxfId="390" priority="384" stopIfTrue="1" operator="equal">
      <formula>"Napkin Hs"</formula>
    </cfRule>
  </conditionalFormatting>
  <conditionalFormatting sqref="C55">
    <cfRule type="cellIs" dxfId="389" priority="382" stopIfTrue="1" operator="equal">
      <formula>"Napkin Hs"</formula>
    </cfRule>
  </conditionalFormatting>
  <conditionalFormatting sqref="C55">
    <cfRule type="cellIs" dxfId="388" priority="379" stopIfTrue="1" operator="equal">
      <formula>"Towel"</formula>
    </cfRule>
    <cfRule type="cellIs" dxfId="387" priority="380" stopIfTrue="1" operator="equal">
      <formula>"Napkin Hs"</formula>
    </cfRule>
  </conditionalFormatting>
  <conditionalFormatting sqref="C55">
    <cfRule type="cellIs" dxfId="386" priority="381" stopIfTrue="1" operator="equal">
      <formula>"Towel"</formula>
    </cfRule>
  </conditionalFormatting>
  <conditionalFormatting sqref="B54:C54">
    <cfRule type="cellIs" dxfId="385" priority="377" stopIfTrue="1" operator="equal">
      <formula>"Towel"</formula>
    </cfRule>
    <cfRule type="cellIs" dxfId="384" priority="378" stopIfTrue="1" operator="equal">
      <formula>"Napkin Hs"</formula>
    </cfRule>
  </conditionalFormatting>
  <conditionalFormatting sqref="C54">
    <cfRule type="cellIs" dxfId="383" priority="376" stopIfTrue="1" operator="equal">
      <formula>"Napkin Hs"</formula>
    </cfRule>
  </conditionalFormatting>
  <conditionalFormatting sqref="C54">
    <cfRule type="cellIs" dxfId="382" priority="373" stopIfTrue="1" operator="equal">
      <formula>"Towel"</formula>
    </cfRule>
    <cfRule type="cellIs" dxfId="381" priority="374" stopIfTrue="1" operator="equal">
      <formula>"Napkin Hs"</formula>
    </cfRule>
  </conditionalFormatting>
  <conditionalFormatting sqref="C54">
    <cfRule type="cellIs" dxfId="380" priority="375" stopIfTrue="1" operator="equal">
      <formula>"Towel"</formula>
    </cfRule>
  </conditionalFormatting>
  <conditionalFormatting sqref="B61:C61">
    <cfRule type="cellIs" dxfId="379" priority="371" stopIfTrue="1" operator="equal">
      <formula>"Towel"</formula>
    </cfRule>
    <cfRule type="cellIs" dxfId="378" priority="372" stopIfTrue="1" operator="equal">
      <formula>"Napkin Hs"</formula>
    </cfRule>
  </conditionalFormatting>
  <conditionalFormatting sqref="C61">
    <cfRule type="cellIs" dxfId="377" priority="370" stopIfTrue="1" operator="equal">
      <formula>"Napkin Hs"</formula>
    </cfRule>
  </conditionalFormatting>
  <conditionalFormatting sqref="C61">
    <cfRule type="cellIs" dxfId="376" priority="367" stopIfTrue="1" operator="equal">
      <formula>"Towel"</formula>
    </cfRule>
    <cfRule type="cellIs" dxfId="375" priority="368" stopIfTrue="1" operator="equal">
      <formula>"Napkin Hs"</formula>
    </cfRule>
  </conditionalFormatting>
  <conditionalFormatting sqref="C61">
    <cfRule type="cellIs" dxfId="374" priority="369" stopIfTrue="1" operator="equal">
      <formula>"Towel"</formula>
    </cfRule>
  </conditionalFormatting>
  <conditionalFormatting sqref="B62:C62">
    <cfRule type="cellIs" dxfId="373" priority="365" stopIfTrue="1" operator="equal">
      <formula>"Towel"</formula>
    </cfRule>
    <cfRule type="cellIs" dxfId="372" priority="366" stopIfTrue="1" operator="equal">
      <formula>"Napkin Hs"</formula>
    </cfRule>
  </conditionalFormatting>
  <conditionalFormatting sqref="C62">
    <cfRule type="cellIs" dxfId="371" priority="361" stopIfTrue="1" operator="equal">
      <formula>"Towel"</formula>
    </cfRule>
    <cfRule type="cellIs" dxfId="370" priority="362" stopIfTrue="1" operator="equal">
      <formula>"Napkin Hs"</formula>
    </cfRule>
  </conditionalFormatting>
  <conditionalFormatting sqref="C62">
    <cfRule type="cellIs" dxfId="369" priority="364" stopIfTrue="1" operator="equal">
      <formula>"Napkin Hs"</formula>
    </cfRule>
  </conditionalFormatting>
  <conditionalFormatting sqref="C62">
    <cfRule type="cellIs" dxfId="368" priority="363" stopIfTrue="1" operator="equal">
      <formula>"Towel"</formula>
    </cfRule>
  </conditionalFormatting>
  <conditionalFormatting sqref="B60:C60">
    <cfRule type="cellIs" dxfId="367" priority="359" stopIfTrue="1" operator="equal">
      <formula>"Towel"</formula>
    </cfRule>
    <cfRule type="cellIs" dxfId="366" priority="360" stopIfTrue="1" operator="equal">
      <formula>"Napkin Hs"</formula>
    </cfRule>
  </conditionalFormatting>
  <conditionalFormatting sqref="C60">
    <cfRule type="cellIs" dxfId="365" priority="358" stopIfTrue="1" operator="equal">
      <formula>"Napkin Hs"</formula>
    </cfRule>
  </conditionalFormatting>
  <conditionalFormatting sqref="C60">
    <cfRule type="cellIs" dxfId="364" priority="355" stopIfTrue="1" operator="equal">
      <formula>"Towel"</formula>
    </cfRule>
    <cfRule type="cellIs" dxfId="363" priority="356" stopIfTrue="1" operator="equal">
      <formula>"Napkin Hs"</formula>
    </cfRule>
  </conditionalFormatting>
  <conditionalFormatting sqref="C60">
    <cfRule type="cellIs" dxfId="362" priority="357" stopIfTrue="1" operator="equal">
      <formula>"Towel"</formula>
    </cfRule>
  </conditionalFormatting>
  <conditionalFormatting sqref="B67:C67">
    <cfRule type="cellIs" dxfId="361" priority="353" stopIfTrue="1" operator="equal">
      <formula>"Towel"</formula>
    </cfRule>
    <cfRule type="cellIs" dxfId="360" priority="354" stopIfTrue="1" operator="equal">
      <formula>"Napkin Hs"</formula>
    </cfRule>
  </conditionalFormatting>
  <conditionalFormatting sqref="C67">
    <cfRule type="cellIs" dxfId="359" priority="349" stopIfTrue="1" operator="equal">
      <formula>"Towel"</formula>
    </cfRule>
    <cfRule type="cellIs" dxfId="358" priority="350" stopIfTrue="1" operator="equal">
      <formula>"Napkin Hs"</formula>
    </cfRule>
  </conditionalFormatting>
  <conditionalFormatting sqref="C67">
    <cfRule type="cellIs" dxfId="357" priority="352" stopIfTrue="1" operator="equal">
      <formula>"Napkin Hs"</formula>
    </cfRule>
  </conditionalFormatting>
  <conditionalFormatting sqref="C67">
    <cfRule type="cellIs" dxfId="356" priority="351" stopIfTrue="1" operator="equal">
      <formula>"Towel"</formula>
    </cfRule>
  </conditionalFormatting>
  <conditionalFormatting sqref="B59:C59">
    <cfRule type="cellIs" dxfId="355" priority="347" stopIfTrue="1" operator="equal">
      <formula>"Towel"</formula>
    </cfRule>
    <cfRule type="cellIs" dxfId="354" priority="348" stopIfTrue="1" operator="equal">
      <formula>"Napkin Hs"</formula>
    </cfRule>
  </conditionalFormatting>
  <conditionalFormatting sqref="C59">
    <cfRule type="cellIs" dxfId="353" priority="346" stopIfTrue="1" operator="equal">
      <formula>"Napkin Hs"</formula>
    </cfRule>
  </conditionalFormatting>
  <conditionalFormatting sqref="C59">
    <cfRule type="cellIs" dxfId="352" priority="343" stopIfTrue="1" operator="equal">
      <formula>"Towel"</formula>
    </cfRule>
    <cfRule type="cellIs" dxfId="351" priority="344" stopIfTrue="1" operator="equal">
      <formula>"Napkin Hs"</formula>
    </cfRule>
  </conditionalFormatting>
  <conditionalFormatting sqref="C59">
    <cfRule type="cellIs" dxfId="350" priority="345" stopIfTrue="1" operator="equal">
      <formula>"Towel"</formula>
    </cfRule>
  </conditionalFormatting>
  <conditionalFormatting sqref="B66:C66">
    <cfRule type="cellIs" dxfId="349" priority="341" stopIfTrue="1" operator="equal">
      <formula>"Towel"</formula>
    </cfRule>
    <cfRule type="cellIs" dxfId="348" priority="342" stopIfTrue="1" operator="equal">
      <formula>"Napkin Hs"</formula>
    </cfRule>
  </conditionalFormatting>
  <conditionalFormatting sqref="C66">
    <cfRule type="cellIs" dxfId="347" priority="340" stopIfTrue="1" operator="equal">
      <formula>"Napkin Hs"</formula>
    </cfRule>
  </conditionalFormatting>
  <conditionalFormatting sqref="C66">
    <cfRule type="cellIs" dxfId="346" priority="337" stopIfTrue="1" operator="equal">
      <formula>"Towel"</formula>
    </cfRule>
    <cfRule type="cellIs" dxfId="345" priority="338" stopIfTrue="1" operator="equal">
      <formula>"Napkin Hs"</formula>
    </cfRule>
  </conditionalFormatting>
  <conditionalFormatting sqref="C66">
    <cfRule type="cellIs" dxfId="344" priority="339" stopIfTrue="1" operator="equal">
      <formula>"Towel"</formula>
    </cfRule>
  </conditionalFormatting>
  <conditionalFormatting sqref="B65:C65">
    <cfRule type="cellIs" dxfId="343" priority="335" stopIfTrue="1" operator="equal">
      <formula>"Towel"</formula>
    </cfRule>
    <cfRule type="cellIs" dxfId="342" priority="336" stopIfTrue="1" operator="equal">
      <formula>"Napkin Hs"</formula>
    </cfRule>
  </conditionalFormatting>
  <conditionalFormatting sqref="C65">
    <cfRule type="cellIs" dxfId="341" priority="334" stopIfTrue="1" operator="equal">
      <formula>"Napkin Hs"</formula>
    </cfRule>
  </conditionalFormatting>
  <conditionalFormatting sqref="C65">
    <cfRule type="cellIs" dxfId="340" priority="331" stopIfTrue="1" operator="equal">
      <formula>"Towel"</formula>
    </cfRule>
    <cfRule type="cellIs" dxfId="339" priority="332" stopIfTrue="1" operator="equal">
      <formula>"Napkin Hs"</formula>
    </cfRule>
  </conditionalFormatting>
  <conditionalFormatting sqref="C65">
    <cfRule type="cellIs" dxfId="338" priority="333" stopIfTrue="1" operator="equal">
      <formula>"Towel"</formula>
    </cfRule>
  </conditionalFormatting>
  <conditionalFormatting sqref="B64:C64">
    <cfRule type="cellIs" dxfId="337" priority="329" stopIfTrue="1" operator="equal">
      <formula>"Towel"</formula>
    </cfRule>
    <cfRule type="cellIs" dxfId="336" priority="330" stopIfTrue="1" operator="equal">
      <formula>"Napkin Hs"</formula>
    </cfRule>
  </conditionalFormatting>
  <conditionalFormatting sqref="C64">
    <cfRule type="cellIs" dxfId="335" priority="328" stopIfTrue="1" operator="equal">
      <formula>"Napkin Hs"</formula>
    </cfRule>
  </conditionalFormatting>
  <conditionalFormatting sqref="C64">
    <cfRule type="cellIs" dxfId="334" priority="325" stopIfTrue="1" operator="equal">
      <formula>"Towel"</formula>
    </cfRule>
    <cfRule type="cellIs" dxfId="333" priority="326" stopIfTrue="1" operator="equal">
      <formula>"Napkin Hs"</formula>
    </cfRule>
  </conditionalFormatting>
  <conditionalFormatting sqref="C64">
    <cfRule type="cellIs" dxfId="332" priority="327" stopIfTrue="1" operator="equal">
      <formula>"Towel"</formula>
    </cfRule>
  </conditionalFormatting>
  <conditionalFormatting sqref="B72:C72">
    <cfRule type="cellIs" dxfId="331" priority="323" stopIfTrue="1" operator="equal">
      <formula>"Towel"</formula>
    </cfRule>
    <cfRule type="cellIs" dxfId="330" priority="324" stopIfTrue="1" operator="equal">
      <formula>"Napkin Hs"</formula>
    </cfRule>
  </conditionalFormatting>
  <conditionalFormatting sqref="C72">
    <cfRule type="cellIs" dxfId="329" priority="319" stopIfTrue="1" operator="equal">
      <formula>"Towel"</formula>
    </cfRule>
    <cfRule type="cellIs" dxfId="328" priority="320" stopIfTrue="1" operator="equal">
      <formula>"Napkin Hs"</formula>
    </cfRule>
  </conditionalFormatting>
  <conditionalFormatting sqref="C72">
    <cfRule type="cellIs" dxfId="327" priority="322" stopIfTrue="1" operator="equal">
      <formula>"Napkin Hs"</formula>
    </cfRule>
  </conditionalFormatting>
  <conditionalFormatting sqref="C72">
    <cfRule type="cellIs" dxfId="326" priority="321" stopIfTrue="1" operator="equal">
      <formula>"Towel"</formula>
    </cfRule>
  </conditionalFormatting>
  <conditionalFormatting sqref="B71:C71">
    <cfRule type="cellIs" dxfId="325" priority="317" stopIfTrue="1" operator="equal">
      <formula>"Towel"</formula>
    </cfRule>
    <cfRule type="cellIs" dxfId="324" priority="318" stopIfTrue="1" operator="equal">
      <formula>"Napkin Hs"</formula>
    </cfRule>
  </conditionalFormatting>
  <conditionalFormatting sqref="C71">
    <cfRule type="cellIs" dxfId="323" priority="316" stopIfTrue="1" operator="equal">
      <formula>"Napkin Hs"</formula>
    </cfRule>
  </conditionalFormatting>
  <conditionalFormatting sqref="C71">
    <cfRule type="cellIs" dxfId="322" priority="313" stopIfTrue="1" operator="equal">
      <formula>"Towel"</formula>
    </cfRule>
    <cfRule type="cellIs" dxfId="321" priority="314" stopIfTrue="1" operator="equal">
      <formula>"Napkin Hs"</formula>
    </cfRule>
  </conditionalFormatting>
  <conditionalFormatting sqref="C71">
    <cfRule type="cellIs" dxfId="320" priority="315" stopIfTrue="1" operator="equal">
      <formula>"Towel"</formula>
    </cfRule>
  </conditionalFormatting>
  <conditionalFormatting sqref="B69:C70">
    <cfRule type="cellIs" dxfId="319" priority="311" stopIfTrue="1" operator="equal">
      <formula>"Towel"</formula>
    </cfRule>
    <cfRule type="cellIs" dxfId="318" priority="312" stopIfTrue="1" operator="equal">
      <formula>"Napkin Hs"</formula>
    </cfRule>
  </conditionalFormatting>
  <conditionalFormatting sqref="C69:C70">
    <cfRule type="cellIs" dxfId="317" priority="310" stopIfTrue="1" operator="equal">
      <formula>"Napkin Hs"</formula>
    </cfRule>
  </conditionalFormatting>
  <conditionalFormatting sqref="C69:C70">
    <cfRule type="cellIs" dxfId="316" priority="307" stopIfTrue="1" operator="equal">
      <formula>"Towel"</formula>
    </cfRule>
    <cfRule type="cellIs" dxfId="315" priority="308" stopIfTrue="1" operator="equal">
      <formula>"Napkin Hs"</formula>
    </cfRule>
  </conditionalFormatting>
  <conditionalFormatting sqref="C69:C70">
    <cfRule type="cellIs" dxfId="314" priority="309" stopIfTrue="1" operator="equal">
      <formula>"Towel"</formula>
    </cfRule>
  </conditionalFormatting>
  <conditionalFormatting sqref="B77:C78">
    <cfRule type="cellIs" dxfId="313" priority="305" stopIfTrue="1" operator="equal">
      <formula>"Towel"</formula>
    </cfRule>
    <cfRule type="cellIs" dxfId="312" priority="306" stopIfTrue="1" operator="equal">
      <formula>"Napkin Hs"</formula>
    </cfRule>
  </conditionalFormatting>
  <conditionalFormatting sqref="C77:C78">
    <cfRule type="cellIs" dxfId="311" priority="304" stopIfTrue="1" operator="equal">
      <formula>"Napkin Hs"</formula>
    </cfRule>
  </conditionalFormatting>
  <conditionalFormatting sqref="C77:C78">
    <cfRule type="cellIs" dxfId="310" priority="301" stopIfTrue="1" operator="equal">
      <formula>"Towel"</formula>
    </cfRule>
    <cfRule type="cellIs" dxfId="309" priority="302" stopIfTrue="1" operator="equal">
      <formula>"Napkin Hs"</formula>
    </cfRule>
  </conditionalFormatting>
  <conditionalFormatting sqref="C77:C78">
    <cfRule type="cellIs" dxfId="308" priority="303" stopIfTrue="1" operator="equal">
      <formula>"Towel"</formula>
    </cfRule>
  </conditionalFormatting>
  <conditionalFormatting sqref="B76:C76">
    <cfRule type="cellIs" dxfId="307" priority="299" stopIfTrue="1" operator="equal">
      <formula>"Towel"</formula>
    </cfRule>
    <cfRule type="cellIs" dxfId="306" priority="300" stopIfTrue="1" operator="equal">
      <formula>"Napkin Hs"</formula>
    </cfRule>
  </conditionalFormatting>
  <conditionalFormatting sqref="C76">
    <cfRule type="cellIs" dxfId="305" priority="298" stopIfTrue="1" operator="equal">
      <formula>"Napkin Hs"</formula>
    </cfRule>
  </conditionalFormatting>
  <conditionalFormatting sqref="C76">
    <cfRule type="cellIs" dxfId="304" priority="295" stopIfTrue="1" operator="equal">
      <formula>"Towel"</formula>
    </cfRule>
    <cfRule type="cellIs" dxfId="303" priority="296" stopIfTrue="1" operator="equal">
      <formula>"Napkin Hs"</formula>
    </cfRule>
  </conditionalFormatting>
  <conditionalFormatting sqref="C76">
    <cfRule type="cellIs" dxfId="302" priority="297" stopIfTrue="1" operator="equal">
      <formula>"Towel"</formula>
    </cfRule>
  </conditionalFormatting>
  <conditionalFormatting sqref="B75:C75">
    <cfRule type="cellIs" dxfId="301" priority="293" stopIfTrue="1" operator="equal">
      <formula>"Towel"</formula>
    </cfRule>
    <cfRule type="cellIs" dxfId="300" priority="294" stopIfTrue="1" operator="equal">
      <formula>"Napkin Hs"</formula>
    </cfRule>
  </conditionalFormatting>
  <conditionalFormatting sqref="C75">
    <cfRule type="cellIs" dxfId="299" priority="292" stopIfTrue="1" operator="equal">
      <formula>"Napkin Hs"</formula>
    </cfRule>
  </conditionalFormatting>
  <conditionalFormatting sqref="C75">
    <cfRule type="cellIs" dxfId="298" priority="289" stopIfTrue="1" operator="equal">
      <formula>"Towel"</formula>
    </cfRule>
    <cfRule type="cellIs" dxfId="297" priority="290" stopIfTrue="1" operator="equal">
      <formula>"Napkin Hs"</formula>
    </cfRule>
  </conditionalFormatting>
  <conditionalFormatting sqref="C75">
    <cfRule type="cellIs" dxfId="296" priority="291" stopIfTrue="1" operator="equal">
      <formula>"Towel"</formula>
    </cfRule>
  </conditionalFormatting>
  <conditionalFormatting sqref="B82:C83">
    <cfRule type="cellIs" dxfId="295" priority="287" stopIfTrue="1" operator="equal">
      <formula>"Towel"</formula>
    </cfRule>
    <cfRule type="cellIs" dxfId="294" priority="288" stopIfTrue="1" operator="equal">
      <formula>"Napkin Hs"</formula>
    </cfRule>
  </conditionalFormatting>
  <conditionalFormatting sqref="C82:C83">
    <cfRule type="cellIs" dxfId="293" priority="286" stopIfTrue="1" operator="equal">
      <formula>"Napkin Hs"</formula>
    </cfRule>
  </conditionalFormatting>
  <conditionalFormatting sqref="C82:C83">
    <cfRule type="cellIs" dxfId="292" priority="283" stopIfTrue="1" operator="equal">
      <formula>"Towel"</formula>
    </cfRule>
    <cfRule type="cellIs" dxfId="291" priority="284" stopIfTrue="1" operator="equal">
      <formula>"Napkin Hs"</formula>
    </cfRule>
  </conditionalFormatting>
  <conditionalFormatting sqref="C82:C83">
    <cfRule type="cellIs" dxfId="290" priority="285" stopIfTrue="1" operator="equal">
      <formula>"Towel"</formula>
    </cfRule>
  </conditionalFormatting>
  <conditionalFormatting sqref="B81:C81">
    <cfRule type="cellIs" dxfId="289" priority="281" stopIfTrue="1" operator="equal">
      <formula>"Towel"</formula>
    </cfRule>
    <cfRule type="cellIs" dxfId="288" priority="282" stopIfTrue="1" operator="equal">
      <formula>"Napkin Hs"</formula>
    </cfRule>
  </conditionalFormatting>
  <conditionalFormatting sqref="C81">
    <cfRule type="cellIs" dxfId="287" priority="280" stopIfTrue="1" operator="equal">
      <formula>"Napkin Hs"</formula>
    </cfRule>
  </conditionalFormatting>
  <conditionalFormatting sqref="C81">
    <cfRule type="cellIs" dxfId="286" priority="277" stopIfTrue="1" operator="equal">
      <formula>"Towel"</formula>
    </cfRule>
    <cfRule type="cellIs" dxfId="285" priority="278" stopIfTrue="1" operator="equal">
      <formula>"Napkin Hs"</formula>
    </cfRule>
  </conditionalFormatting>
  <conditionalFormatting sqref="C81">
    <cfRule type="cellIs" dxfId="284" priority="279" stopIfTrue="1" operator="equal">
      <formula>"Towel"</formula>
    </cfRule>
  </conditionalFormatting>
  <conditionalFormatting sqref="B80:C80">
    <cfRule type="cellIs" dxfId="283" priority="275" stopIfTrue="1" operator="equal">
      <formula>"Towel"</formula>
    </cfRule>
    <cfRule type="cellIs" dxfId="282" priority="276" stopIfTrue="1" operator="equal">
      <formula>"Napkin Hs"</formula>
    </cfRule>
  </conditionalFormatting>
  <conditionalFormatting sqref="C80">
    <cfRule type="cellIs" dxfId="281" priority="274" stopIfTrue="1" operator="equal">
      <formula>"Napkin Hs"</formula>
    </cfRule>
  </conditionalFormatting>
  <conditionalFormatting sqref="C80">
    <cfRule type="cellIs" dxfId="280" priority="271" stopIfTrue="1" operator="equal">
      <formula>"Towel"</formula>
    </cfRule>
    <cfRule type="cellIs" dxfId="279" priority="272" stopIfTrue="1" operator="equal">
      <formula>"Napkin Hs"</formula>
    </cfRule>
  </conditionalFormatting>
  <conditionalFormatting sqref="C80">
    <cfRule type="cellIs" dxfId="278" priority="273" stopIfTrue="1" operator="equal">
      <formula>"Towel"</formula>
    </cfRule>
  </conditionalFormatting>
  <conditionalFormatting sqref="B87:C88">
    <cfRule type="cellIs" dxfId="277" priority="269" stopIfTrue="1" operator="equal">
      <formula>"Towel"</formula>
    </cfRule>
    <cfRule type="cellIs" dxfId="276" priority="270" stopIfTrue="1" operator="equal">
      <formula>"Napkin Hs"</formula>
    </cfRule>
  </conditionalFormatting>
  <conditionalFormatting sqref="C87:C88">
    <cfRule type="cellIs" dxfId="275" priority="268" stopIfTrue="1" operator="equal">
      <formula>"Napkin Hs"</formula>
    </cfRule>
  </conditionalFormatting>
  <conditionalFormatting sqref="C87:C88">
    <cfRule type="cellIs" dxfId="274" priority="265" stopIfTrue="1" operator="equal">
      <formula>"Towel"</formula>
    </cfRule>
    <cfRule type="cellIs" dxfId="273" priority="266" stopIfTrue="1" operator="equal">
      <formula>"Napkin Hs"</formula>
    </cfRule>
  </conditionalFormatting>
  <conditionalFormatting sqref="C87:C88">
    <cfRule type="cellIs" dxfId="272" priority="267" stopIfTrue="1" operator="equal">
      <formula>"Towel"</formula>
    </cfRule>
  </conditionalFormatting>
  <conditionalFormatting sqref="B86:C86">
    <cfRule type="cellIs" dxfId="271" priority="263" stopIfTrue="1" operator="equal">
      <formula>"Towel"</formula>
    </cfRule>
    <cfRule type="cellIs" dxfId="270" priority="264" stopIfTrue="1" operator="equal">
      <formula>"Napkin Hs"</formula>
    </cfRule>
  </conditionalFormatting>
  <conditionalFormatting sqref="C86">
    <cfRule type="cellIs" dxfId="269" priority="262" stopIfTrue="1" operator="equal">
      <formula>"Napkin Hs"</formula>
    </cfRule>
  </conditionalFormatting>
  <conditionalFormatting sqref="C86">
    <cfRule type="cellIs" dxfId="268" priority="259" stopIfTrue="1" operator="equal">
      <formula>"Towel"</formula>
    </cfRule>
    <cfRule type="cellIs" dxfId="267" priority="260" stopIfTrue="1" operator="equal">
      <formula>"Napkin Hs"</formula>
    </cfRule>
  </conditionalFormatting>
  <conditionalFormatting sqref="C86">
    <cfRule type="cellIs" dxfId="266" priority="261" stopIfTrue="1" operator="equal">
      <formula>"Towel"</formula>
    </cfRule>
  </conditionalFormatting>
  <conditionalFormatting sqref="B85:C85">
    <cfRule type="cellIs" dxfId="265" priority="257" stopIfTrue="1" operator="equal">
      <formula>"Towel"</formula>
    </cfRule>
    <cfRule type="cellIs" dxfId="264" priority="258" stopIfTrue="1" operator="equal">
      <formula>"Napkin Hs"</formula>
    </cfRule>
  </conditionalFormatting>
  <conditionalFormatting sqref="C85">
    <cfRule type="cellIs" dxfId="263" priority="256" stopIfTrue="1" operator="equal">
      <formula>"Napkin Hs"</formula>
    </cfRule>
  </conditionalFormatting>
  <conditionalFormatting sqref="C85">
    <cfRule type="cellIs" dxfId="262" priority="253" stopIfTrue="1" operator="equal">
      <formula>"Towel"</formula>
    </cfRule>
    <cfRule type="cellIs" dxfId="261" priority="254" stopIfTrue="1" operator="equal">
      <formula>"Napkin Hs"</formula>
    </cfRule>
  </conditionalFormatting>
  <conditionalFormatting sqref="C85">
    <cfRule type="cellIs" dxfId="260" priority="255" stopIfTrue="1" operator="equal">
      <formula>"Towel"</formula>
    </cfRule>
  </conditionalFormatting>
  <conditionalFormatting sqref="B92:C93">
    <cfRule type="cellIs" dxfId="259" priority="251" stopIfTrue="1" operator="equal">
      <formula>"Towel"</formula>
    </cfRule>
    <cfRule type="cellIs" dxfId="258" priority="252" stopIfTrue="1" operator="equal">
      <formula>"Napkin Hs"</formula>
    </cfRule>
  </conditionalFormatting>
  <conditionalFormatting sqref="C92:C93">
    <cfRule type="cellIs" dxfId="257" priority="250" stopIfTrue="1" operator="equal">
      <formula>"Napkin Hs"</formula>
    </cfRule>
  </conditionalFormatting>
  <conditionalFormatting sqref="C92:C93">
    <cfRule type="cellIs" dxfId="256" priority="247" stopIfTrue="1" operator="equal">
      <formula>"Towel"</formula>
    </cfRule>
    <cfRule type="cellIs" dxfId="255" priority="248" stopIfTrue="1" operator="equal">
      <formula>"Napkin Hs"</formula>
    </cfRule>
  </conditionalFormatting>
  <conditionalFormatting sqref="C92:C93">
    <cfRule type="cellIs" dxfId="254" priority="249" stopIfTrue="1" operator="equal">
      <formula>"Towel"</formula>
    </cfRule>
  </conditionalFormatting>
  <conditionalFormatting sqref="B91:C91">
    <cfRule type="cellIs" dxfId="253" priority="245" stopIfTrue="1" operator="equal">
      <formula>"Towel"</formula>
    </cfRule>
    <cfRule type="cellIs" dxfId="252" priority="246" stopIfTrue="1" operator="equal">
      <formula>"Napkin Hs"</formula>
    </cfRule>
  </conditionalFormatting>
  <conditionalFormatting sqref="C91">
    <cfRule type="cellIs" dxfId="251" priority="244" stopIfTrue="1" operator="equal">
      <formula>"Napkin Hs"</formula>
    </cfRule>
  </conditionalFormatting>
  <conditionalFormatting sqref="C91">
    <cfRule type="cellIs" dxfId="250" priority="241" stopIfTrue="1" operator="equal">
      <formula>"Towel"</formula>
    </cfRule>
    <cfRule type="cellIs" dxfId="249" priority="242" stopIfTrue="1" operator="equal">
      <formula>"Napkin Hs"</formula>
    </cfRule>
  </conditionalFormatting>
  <conditionalFormatting sqref="C91">
    <cfRule type="cellIs" dxfId="248" priority="243" stopIfTrue="1" operator="equal">
      <formula>"Towel"</formula>
    </cfRule>
  </conditionalFormatting>
  <conditionalFormatting sqref="B90:C90">
    <cfRule type="cellIs" dxfId="247" priority="239" stopIfTrue="1" operator="equal">
      <formula>"Towel"</formula>
    </cfRule>
    <cfRule type="cellIs" dxfId="246" priority="240" stopIfTrue="1" operator="equal">
      <formula>"Napkin Hs"</formula>
    </cfRule>
  </conditionalFormatting>
  <conditionalFormatting sqref="C90">
    <cfRule type="cellIs" dxfId="245" priority="238" stopIfTrue="1" operator="equal">
      <formula>"Napkin Hs"</formula>
    </cfRule>
  </conditionalFormatting>
  <conditionalFormatting sqref="C90">
    <cfRule type="cellIs" dxfId="244" priority="235" stopIfTrue="1" operator="equal">
      <formula>"Towel"</formula>
    </cfRule>
    <cfRule type="cellIs" dxfId="243" priority="236" stopIfTrue="1" operator="equal">
      <formula>"Napkin Hs"</formula>
    </cfRule>
  </conditionalFormatting>
  <conditionalFormatting sqref="C90">
    <cfRule type="cellIs" dxfId="242" priority="237" stopIfTrue="1" operator="equal">
      <formula>"Towel"</formula>
    </cfRule>
  </conditionalFormatting>
  <conditionalFormatting sqref="B98:C98">
    <cfRule type="cellIs" dxfId="241" priority="233" stopIfTrue="1" operator="equal">
      <formula>"Towel"</formula>
    </cfRule>
    <cfRule type="cellIs" dxfId="240" priority="234" stopIfTrue="1" operator="equal">
      <formula>"Napkin Hs"</formula>
    </cfRule>
  </conditionalFormatting>
  <conditionalFormatting sqref="C98">
    <cfRule type="cellIs" dxfId="239" priority="232" stopIfTrue="1" operator="equal">
      <formula>"Napkin Hs"</formula>
    </cfRule>
  </conditionalFormatting>
  <conditionalFormatting sqref="C98">
    <cfRule type="cellIs" dxfId="238" priority="229" stopIfTrue="1" operator="equal">
      <formula>"Towel"</formula>
    </cfRule>
    <cfRule type="cellIs" dxfId="237" priority="230" stopIfTrue="1" operator="equal">
      <formula>"Napkin Hs"</formula>
    </cfRule>
  </conditionalFormatting>
  <conditionalFormatting sqref="C98">
    <cfRule type="cellIs" dxfId="236" priority="231" stopIfTrue="1" operator="equal">
      <formula>"Towel"</formula>
    </cfRule>
  </conditionalFormatting>
  <conditionalFormatting sqref="B95:C97">
    <cfRule type="cellIs" dxfId="235" priority="227" stopIfTrue="1" operator="equal">
      <formula>"Towel"</formula>
    </cfRule>
    <cfRule type="cellIs" dxfId="234" priority="228" stopIfTrue="1" operator="equal">
      <formula>"Napkin Hs"</formula>
    </cfRule>
  </conditionalFormatting>
  <conditionalFormatting sqref="C95:C97">
    <cfRule type="cellIs" dxfId="233" priority="226" stopIfTrue="1" operator="equal">
      <formula>"Napkin Hs"</formula>
    </cfRule>
  </conditionalFormatting>
  <conditionalFormatting sqref="C95:C97">
    <cfRule type="cellIs" dxfId="232" priority="223" stopIfTrue="1" operator="equal">
      <formula>"Towel"</formula>
    </cfRule>
    <cfRule type="cellIs" dxfId="231" priority="224" stopIfTrue="1" operator="equal">
      <formula>"Napkin Hs"</formula>
    </cfRule>
  </conditionalFormatting>
  <conditionalFormatting sqref="C95:C97">
    <cfRule type="cellIs" dxfId="230" priority="225" stopIfTrue="1" operator="equal">
      <formula>"Towel"</formula>
    </cfRule>
  </conditionalFormatting>
  <conditionalFormatting sqref="B102:C103">
    <cfRule type="cellIs" dxfId="229" priority="221" stopIfTrue="1" operator="equal">
      <formula>"Towel"</formula>
    </cfRule>
    <cfRule type="cellIs" dxfId="228" priority="222" stopIfTrue="1" operator="equal">
      <formula>"Napkin Hs"</formula>
    </cfRule>
  </conditionalFormatting>
  <conditionalFormatting sqref="C102:C103">
    <cfRule type="cellIs" dxfId="227" priority="220" stopIfTrue="1" operator="equal">
      <formula>"Napkin Hs"</formula>
    </cfRule>
  </conditionalFormatting>
  <conditionalFormatting sqref="C102:C103">
    <cfRule type="cellIs" dxfId="226" priority="217" stopIfTrue="1" operator="equal">
      <formula>"Towel"</formula>
    </cfRule>
    <cfRule type="cellIs" dxfId="225" priority="218" stopIfTrue="1" operator="equal">
      <formula>"Napkin Hs"</formula>
    </cfRule>
  </conditionalFormatting>
  <conditionalFormatting sqref="C102:C103">
    <cfRule type="cellIs" dxfId="224" priority="219" stopIfTrue="1" operator="equal">
      <formula>"Towel"</formula>
    </cfRule>
  </conditionalFormatting>
  <conditionalFormatting sqref="B100:C101">
    <cfRule type="cellIs" dxfId="223" priority="215" stopIfTrue="1" operator="equal">
      <formula>"Towel"</formula>
    </cfRule>
    <cfRule type="cellIs" dxfId="222" priority="216" stopIfTrue="1" operator="equal">
      <formula>"Napkin Hs"</formula>
    </cfRule>
  </conditionalFormatting>
  <conditionalFormatting sqref="C100:C101">
    <cfRule type="cellIs" dxfId="221" priority="214" stopIfTrue="1" operator="equal">
      <formula>"Napkin Hs"</formula>
    </cfRule>
  </conditionalFormatting>
  <conditionalFormatting sqref="C100:C101">
    <cfRule type="cellIs" dxfId="220" priority="211" stopIfTrue="1" operator="equal">
      <formula>"Towel"</formula>
    </cfRule>
    <cfRule type="cellIs" dxfId="219" priority="212" stopIfTrue="1" operator="equal">
      <formula>"Napkin Hs"</formula>
    </cfRule>
  </conditionalFormatting>
  <conditionalFormatting sqref="C100:C101">
    <cfRule type="cellIs" dxfId="218" priority="213" stopIfTrue="1" operator="equal">
      <formula>"Towel"</formula>
    </cfRule>
  </conditionalFormatting>
  <conditionalFormatting sqref="B108:C108">
    <cfRule type="cellIs" dxfId="217" priority="209" stopIfTrue="1" operator="equal">
      <formula>"Towel"</formula>
    </cfRule>
    <cfRule type="cellIs" dxfId="216" priority="210" stopIfTrue="1" operator="equal">
      <formula>"Napkin Hs"</formula>
    </cfRule>
  </conditionalFormatting>
  <conditionalFormatting sqref="C108">
    <cfRule type="cellIs" dxfId="215" priority="208" stopIfTrue="1" operator="equal">
      <formula>"Napkin Hs"</formula>
    </cfRule>
  </conditionalFormatting>
  <conditionalFormatting sqref="C108">
    <cfRule type="cellIs" dxfId="214" priority="205" stopIfTrue="1" operator="equal">
      <formula>"Towel"</formula>
    </cfRule>
    <cfRule type="cellIs" dxfId="213" priority="206" stopIfTrue="1" operator="equal">
      <formula>"Napkin Hs"</formula>
    </cfRule>
  </conditionalFormatting>
  <conditionalFormatting sqref="C108">
    <cfRule type="cellIs" dxfId="212" priority="207" stopIfTrue="1" operator="equal">
      <formula>"Towel"</formula>
    </cfRule>
  </conditionalFormatting>
  <conditionalFormatting sqref="B105:C107">
    <cfRule type="cellIs" dxfId="211" priority="203" stopIfTrue="1" operator="equal">
      <formula>"Towel"</formula>
    </cfRule>
    <cfRule type="cellIs" dxfId="210" priority="204" stopIfTrue="1" operator="equal">
      <formula>"Napkin Hs"</formula>
    </cfRule>
  </conditionalFormatting>
  <conditionalFormatting sqref="C105:C107">
    <cfRule type="cellIs" dxfId="209" priority="202" stopIfTrue="1" operator="equal">
      <formula>"Napkin Hs"</formula>
    </cfRule>
  </conditionalFormatting>
  <conditionalFormatting sqref="C105:C107">
    <cfRule type="cellIs" dxfId="208" priority="199" stopIfTrue="1" operator="equal">
      <formula>"Towel"</formula>
    </cfRule>
    <cfRule type="cellIs" dxfId="207" priority="200" stopIfTrue="1" operator="equal">
      <formula>"Napkin Hs"</formula>
    </cfRule>
  </conditionalFormatting>
  <conditionalFormatting sqref="C105:C107">
    <cfRule type="cellIs" dxfId="206" priority="201" stopIfTrue="1" operator="equal">
      <formula>"Towel"</formula>
    </cfRule>
  </conditionalFormatting>
  <conditionalFormatting sqref="B113:C113">
    <cfRule type="cellIs" dxfId="205" priority="197" stopIfTrue="1" operator="equal">
      <formula>"Towel"</formula>
    </cfRule>
    <cfRule type="cellIs" dxfId="204" priority="198" stopIfTrue="1" operator="equal">
      <formula>"Napkin Hs"</formula>
    </cfRule>
  </conditionalFormatting>
  <conditionalFormatting sqref="C113">
    <cfRule type="cellIs" dxfId="203" priority="196" stopIfTrue="1" operator="equal">
      <formula>"Napkin Hs"</formula>
    </cfRule>
  </conditionalFormatting>
  <conditionalFormatting sqref="C113">
    <cfRule type="cellIs" dxfId="202" priority="193" stopIfTrue="1" operator="equal">
      <formula>"Towel"</formula>
    </cfRule>
    <cfRule type="cellIs" dxfId="201" priority="194" stopIfTrue="1" operator="equal">
      <formula>"Napkin Hs"</formula>
    </cfRule>
  </conditionalFormatting>
  <conditionalFormatting sqref="C113">
    <cfRule type="cellIs" dxfId="200" priority="195" stopIfTrue="1" operator="equal">
      <formula>"Towel"</formula>
    </cfRule>
  </conditionalFormatting>
  <conditionalFormatting sqref="B111:C112">
    <cfRule type="cellIs" dxfId="199" priority="191" stopIfTrue="1" operator="equal">
      <formula>"Towel"</formula>
    </cfRule>
    <cfRule type="cellIs" dxfId="198" priority="192" stopIfTrue="1" operator="equal">
      <formula>"Napkin Hs"</formula>
    </cfRule>
  </conditionalFormatting>
  <conditionalFormatting sqref="C111:C112">
    <cfRule type="cellIs" dxfId="197" priority="190" stopIfTrue="1" operator="equal">
      <formula>"Napkin Hs"</formula>
    </cfRule>
  </conditionalFormatting>
  <conditionalFormatting sqref="C111:C112">
    <cfRule type="cellIs" dxfId="196" priority="187" stopIfTrue="1" operator="equal">
      <formula>"Towel"</formula>
    </cfRule>
    <cfRule type="cellIs" dxfId="195" priority="188" stopIfTrue="1" operator="equal">
      <formula>"Napkin Hs"</formula>
    </cfRule>
  </conditionalFormatting>
  <conditionalFormatting sqref="C111:C112">
    <cfRule type="cellIs" dxfId="194" priority="189" stopIfTrue="1" operator="equal">
      <formula>"Towel"</formula>
    </cfRule>
  </conditionalFormatting>
  <conditionalFormatting sqref="B110:C110">
    <cfRule type="cellIs" dxfId="193" priority="185" stopIfTrue="1" operator="equal">
      <formula>"Towel"</formula>
    </cfRule>
    <cfRule type="cellIs" dxfId="192" priority="186" stopIfTrue="1" operator="equal">
      <formula>"Napkin Hs"</formula>
    </cfRule>
  </conditionalFormatting>
  <conditionalFormatting sqref="C110">
    <cfRule type="cellIs" dxfId="191" priority="184" stopIfTrue="1" operator="equal">
      <formula>"Napkin Hs"</formula>
    </cfRule>
  </conditionalFormatting>
  <conditionalFormatting sqref="C110">
    <cfRule type="cellIs" dxfId="190" priority="181" stopIfTrue="1" operator="equal">
      <formula>"Towel"</formula>
    </cfRule>
    <cfRule type="cellIs" dxfId="189" priority="182" stopIfTrue="1" operator="equal">
      <formula>"Napkin Hs"</formula>
    </cfRule>
  </conditionalFormatting>
  <conditionalFormatting sqref="C110">
    <cfRule type="cellIs" dxfId="188" priority="183" stopIfTrue="1" operator="equal">
      <formula>"Towel"</formula>
    </cfRule>
  </conditionalFormatting>
  <conditionalFormatting sqref="B118:C118">
    <cfRule type="cellIs" dxfId="187" priority="179" stopIfTrue="1" operator="equal">
      <formula>"Towel"</formula>
    </cfRule>
    <cfRule type="cellIs" dxfId="186" priority="180" stopIfTrue="1" operator="equal">
      <formula>"Napkin Hs"</formula>
    </cfRule>
  </conditionalFormatting>
  <conditionalFormatting sqref="C118">
    <cfRule type="cellIs" dxfId="185" priority="178" stopIfTrue="1" operator="equal">
      <formula>"Napkin Hs"</formula>
    </cfRule>
  </conditionalFormatting>
  <conditionalFormatting sqref="C118">
    <cfRule type="cellIs" dxfId="184" priority="175" stopIfTrue="1" operator="equal">
      <formula>"Towel"</formula>
    </cfRule>
    <cfRule type="cellIs" dxfId="183" priority="176" stopIfTrue="1" operator="equal">
      <formula>"Napkin Hs"</formula>
    </cfRule>
  </conditionalFormatting>
  <conditionalFormatting sqref="C118">
    <cfRule type="cellIs" dxfId="182" priority="177" stopIfTrue="1" operator="equal">
      <formula>"Towel"</formula>
    </cfRule>
  </conditionalFormatting>
  <conditionalFormatting sqref="B116:C117">
    <cfRule type="cellIs" dxfId="181" priority="173" stopIfTrue="1" operator="equal">
      <formula>"Towel"</formula>
    </cfRule>
    <cfRule type="cellIs" dxfId="180" priority="174" stopIfTrue="1" operator="equal">
      <formula>"Napkin Hs"</formula>
    </cfRule>
  </conditionalFormatting>
  <conditionalFormatting sqref="C116:C117">
    <cfRule type="cellIs" dxfId="179" priority="172" stopIfTrue="1" operator="equal">
      <formula>"Napkin Hs"</formula>
    </cfRule>
  </conditionalFormatting>
  <conditionalFormatting sqref="C116:C117">
    <cfRule type="cellIs" dxfId="178" priority="169" stopIfTrue="1" operator="equal">
      <formula>"Towel"</formula>
    </cfRule>
    <cfRule type="cellIs" dxfId="177" priority="170" stopIfTrue="1" operator="equal">
      <formula>"Napkin Hs"</formula>
    </cfRule>
  </conditionalFormatting>
  <conditionalFormatting sqref="C116:C117">
    <cfRule type="cellIs" dxfId="176" priority="171" stopIfTrue="1" operator="equal">
      <formula>"Towel"</formula>
    </cfRule>
  </conditionalFormatting>
  <conditionalFormatting sqref="B115:C115">
    <cfRule type="cellIs" dxfId="175" priority="167" stopIfTrue="1" operator="equal">
      <formula>"Towel"</formula>
    </cfRule>
    <cfRule type="cellIs" dxfId="174" priority="168" stopIfTrue="1" operator="equal">
      <formula>"Napkin Hs"</formula>
    </cfRule>
  </conditionalFormatting>
  <conditionalFormatting sqref="C115">
    <cfRule type="cellIs" dxfId="173" priority="166" stopIfTrue="1" operator="equal">
      <formula>"Napkin Hs"</formula>
    </cfRule>
  </conditionalFormatting>
  <conditionalFormatting sqref="C115">
    <cfRule type="cellIs" dxfId="172" priority="163" stopIfTrue="1" operator="equal">
      <formula>"Towel"</formula>
    </cfRule>
    <cfRule type="cellIs" dxfId="171" priority="164" stopIfTrue="1" operator="equal">
      <formula>"Napkin Hs"</formula>
    </cfRule>
  </conditionalFormatting>
  <conditionalFormatting sqref="C115">
    <cfRule type="cellIs" dxfId="170" priority="165" stopIfTrue="1" operator="equal">
      <formula>"Towel"</formula>
    </cfRule>
  </conditionalFormatting>
  <conditionalFormatting sqref="B123:C123">
    <cfRule type="cellIs" dxfId="169" priority="161" stopIfTrue="1" operator="equal">
      <formula>"Towel"</formula>
    </cfRule>
    <cfRule type="cellIs" dxfId="168" priority="162" stopIfTrue="1" operator="equal">
      <formula>"Napkin Hs"</formula>
    </cfRule>
  </conditionalFormatting>
  <conditionalFormatting sqref="C123">
    <cfRule type="cellIs" dxfId="167" priority="160" stopIfTrue="1" operator="equal">
      <formula>"Napkin Hs"</formula>
    </cfRule>
  </conditionalFormatting>
  <conditionalFormatting sqref="C123">
    <cfRule type="cellIs" dxfId="166" priority="157" stopIfTrue="1" operator="equal">
      <formula>"Towel"</formula>
    </cfRule>
    <cfRule type="cellIs" dxfId="165" priority="158" stopIfTrue="1" operator="equal">
      <formula>"Napkin Hs"</formula>
    </cfRule>
  </conditionalFormatting>
  <conditionalFormatting sqref="C123">
    <cfRule type="cellIs" dxfId="164" priority="159" stopIfTrue="1" operator="equal">
      <formula>"Towel"</formula>
    </cfRule>
  </conditionalFormatting>
  <conditionalFormatting sqref="B122:C122">
    <cfRule type="cellIs" dxfId="163" priority="155" stopIfTrue="1" operator="equal">
      <formula>"Towel"</formula>
    </cfRule>
    <cfRule type="cellIs" dxfId="162" priority="156" stopIfTrue="1" operator="equal">
      <formula>"Napkin Hs"</formula>
    </cfRule>
  </conditionalFormatting>
  <conditionalFormatting sqref="C122">
    <cfRule type="cellIs" dxfId="161" priority="154" stopIfTrue="1" operator="equal">
      <formula>"Napkin Hs"</formula>
    </cfRule>
  </conditionalFormatting>
  <conditionalFormatting sqref="C122">
    <cfRule type="cellIs" dxfId="160" priority="151" stopIfTrue="1" operator="equal">
      <formula>"Towel"</formula>
    </cfRule>
    <cfRule type="cellIs" dxfId="159" priority="152" stopIfTrue="1" operator="equal">
      <formula>"Napkin Hs"</formula>
    </cfRule>
  </conditionalFormatting>
  <conditionalFormatting sqref="C122">
    <cfRule type="cellIs" dxfId="158" priority="153" stopIfTrue="1" operator="equal">
      <formula>"Towel"</formula>
    </cfRule>
  </conditionalFormatting>
  <conditionalFormatting sqref="B120:C121">
    <cfRule type="cellIs" dxfId="157" priority="149" stopIfTrue="1" operator="equal">
      <formula>"Towel"</formula>
    </cfRule>
    <cfRule type="cellIs" dxfId="156" priority="150" stopIfTrue="1" operator="equal">
      <formula>"Napkin Hs"</formula>
    </cfRule>
  </conditionalFormatting>
  <conditionalFormatting sqref="C120:C121">
    <cfRule type="cellIs" dxfId="155" priority="148" stopIfTrue="1" operator="equal">
      <formula>"Napkin Hs"</formula>
    </cfRule>
  </conditionalFormatting>
  <conditionalFormatting sqref="C120:C121">
    <cfRule type="cellIs" dxfId="154" priority="145" stopIfTrue="1" operator="equal">
      <formula>"Towel"</formula>
    </cfRule>
    <cfRule type="cellIs" dxfId="153" priority="146" stopIfTrue="1" operator="equal">
      <formula>"Napkin Hs"</formula>
    </cfRule>
  </conditionalFormatting>
  <conditionalFormatting sqref="C120:C121">
    <cfRule type="cellIs" dxfId="152" priority="147" stopIfTrue="1" operator="equal">
      <formula>"Towel"</formula>
    </cfRule>
  </conditionalFormatting>
  <conditionalFormatting sqref="B129:C129">
    <cfRule type="cellIs" dxfId="151" priority="143" stopIfTrue="1" operator="equal">
      <formula>"Towel"</formula>
    </cfRule>
    <cfRule type="cellIs" dxfId="150" priority="144" stopIfTrue="1" operator="equal">
      <formula>"Napkin Hs"</formula>
    </cfRule>
  </conditionalFormatting>
  <conditionalFormatting sqref="C129">
    <cfRule type="cellIs" dxfId="149" priority="142" stopIfTrue="1" operator="equal">
      <formula>"Napkin Hs"</formula>
    </cfRule>
  </conditionalFormatting>
  <conditionalFormatting sqref="C129">
    <cfRule type="cellIs" dxfId="148" priority="139" stopIfTrue="1" operator="equal">
      <formula>"Towel"</formula>
    </cfRule>
    <cfRule type="cellIs" dxfId="147" priority="140" stopIfTrue="1" operator="equal">
      <formula>"Napkin Hs"</formula>
    </cfRule>
  </conditionalFormatting>
  <conditionalFormatting sqref="C129">
    <cfRule type="cellIs" dxfId="146" priority="141" stopIfTrue="1" operator="equal">
      <formula>"Towel"</formula>
    </cfRule>
  </conditionalFormatting>
  <conditionalFormatting sqref="B128:C128">
    <cfRule type="cellIs" dxfId="145" priority="137" stopIfTrue="1" operator="equal">
      <formula>"Towel"</formula>
    </cfRule>
    <cfRule type="cellIs" dxfId="144" priority="138" stopIfTrue="1" operator="equal">
      <formula>"Napkin Hs"</formula>
    </cfRule>
  </conditionalFormatting>
  <conditionalFormatting sqref="C128">
    <cfRule type="cellIs" dxfId="143" priority="136" stopIfTrue="1" operator="equal">
      <formula>"Napkin Hs"</formula>
    </cfRule>
  </conditionalFormatting>
  <conditionalFormatting sqref="C128">
    <cfRule type="cellIs" dxfId="142" priority="133" stopIfTrue="1" operator="equal">
      <formula>"Towel"</formula>
    </cfRule>
    <cfRule type="cellIs" dxfId="141" priority="134" stopIfTrue="1" operator="equal">
      <formula>"Napkin Hs"</formula>
    </cfRule>
  </conditionalFormatting>
  <conditionalFormatting sqref="C128">
    <cfRule type="cellIs" dxfId="140" priority="135" stopIfTrue="1" operator="equal">
      <formula>"Towel"</formula>
    </cfRule>
  </conditionalFormatting>
  <conditionalFormatting sqref="B127:C127">
    <cfRule type="cellIs" dxfId="139" priority="131" stopIfTrue="1" operator="equal">
      <formula>"Towel"</formula>
    </cfRule>
    <cfRule type="cellIs" dxfId="138" priority="132" stopIfTrue="1" operator="equal">
      <formula>"Napkin Hs"</formula>
    </cfRule>
  </conditionalFormatting>
  <conditionalFormatting sqref="C127">
    <cfRule type="cellIs" dxfId="137" priority="130" stopIfTrue="1" operator="equal">
      <formula>"Napkin Hs"</formula>
    </cfRule>
  </conditionalFormatting>
  <conditionalFormatting sqref="C127">
    <cfRule type="cellIs" dxfId="136" priority="127" stopIfTrue="1" operator="equal">
      <formula>"Towel"</formula>
    </cfRule>
    <cfRule type="cellIs" dxfId="135" priority="128" stopIfTrue="1" operator="equal">
      <formula>"Napkin Hs"</formula>
    </cfRule>
  </conditionalFormatting>
  <conditionalFormatting sqref="C127">
    <cfRule type="cellIs" dxfId="134" priority="129" stopIfTrue="1" operator="equal">
      <formula>"Towel"</formula>
    </cfRule>
  </conditionalFormatting>
  <conditionalFormatting sqref="B126:C126">
    <cfRule type="cellIs" dxfId="133" priority="125" stopIfTrue="1" operator="equal">
      <formula>"Towel"</formula>
    </cfRule>
    <cfRule type="cellIs" dxfId="132" priority="126" stopIfTrue="1" operator="equal">
      <formula>"Napkin Hs"</formula>
    </cfRule>
  </conditionalFormatting>
  <conditionalFormatting sqref="C126">
    <cfRule type="cellIs" dxfId="131" priority="124" stopIfTrue="1" operator="equal">
      <formula>"Napkin Hs"</formula>
    </cfRule>
  </conditionalFormatting>
  <conditionalFormatting sqref="C126">
    <cfRule type="cellIs" dxfId="130" priority="121" stopIfTrue="1" operator="equal">
      <formula>"Towel"</formula>
    </cfRule>
    <cfRule type="cellIs" dxfId="129" priority="122" stopIfTrue="1" operator="equal">
      <formula>"Napkin Hs"</formula>
    </cfRule>
  </conditionalFormatting>
  <conditionalFormatting sqref="C126">
    <cfRule type="cellIs" dxfId="128" priority="123" stopIfTrue="1" operator="equal">
      <formula>"Towel"</formula>
    </cfRule>
  </conditionalFormatting>
  <conditionalFormatting sqref="B125:C125">
    <cfRule type="cellIs" dxfId="127" priority="119" stopIfTrue="1" operator="equal">
      <formula>"Towel"</formula>
    </cfRule>
    <cfRule type="cellIs" dxfId="126" priority="120" stopIfTrue="1" operator="equal">
      <formula>"Napkin Hs"</formula>
    </cfRule>
  </conditionalFormatting>
  <conditionalFormatting sqref="C125">
    <cfRule type="cellIs" dxfId="125" priority="118" stopIfTrue="1" operator="equal">
      <formula>"Napkin Hs"</formula>
    </cfRule>
  </conditionalFormatting>
  <conditionalFormatting sqref="C125">
    <cfRule type="cellIs" dxfId="124" priority="115" stopIfTrue="1" operator="equal">
      <formula>"Towel"</formula>
    </cfRule>
    <cfRule type="cellIs" dxfId="123" priority="116" stopIfTrue="1" operator="equal">
      <formula>"Napkin Hs"</formula>
    </cfRule>
  </conditionalFormatting>
  <conditionalFormatting sqref="C125">
    <cfRule type="cellIs" dxfId="122" priority="117" stopIfTrue="1" operator="equal">
      <formula>"Towel"</formula>
    </cfRule>
  </conditionalFormatting>
  <conditionalFormatting sqref="B133:C133">
    <cfRule type="cellIs" dxfId="121" priority="113" stopIfTrue="1" operator="equal">
      <formula>"Towel"</formula>
    </cfRule>
    <cfRule type="cellIs" dxfId="120" priority="114" stopIfTrue="1" operator="equal">
      <formula>"Napkin Hs"</formula>
    </cfRule>
  </conditionalFormatting>
  <conditionalFormatting sqref="C133">
    <cfRule type="cellIs" dxfId="119" priority="112" stopIfTrue="1" operator="equal">
      <formula>"Napkin Hs"</formula>
    </cfRule>
  </conditionalFormatting>
  <conditionalFormatting sqref="C133">
    <cfRule type="cellIs" dxfId="118" priority="109" stopIfTrue="1" operator="equal">
      <formula>"Towel"</formula>
    </cfRule>
    <cfRule type="cellIs" dxfId="117" priority="110" stopIfTrue="1" operator="equal">
      <formula>"Napkin Hs"</formula>
    </cfRule>
  </conditionalFormatting>
  <conditionalFormatting sqref="C133">
    <cfRule type="cellIs" dxfId="116" priority="111" stopIfTrue="1" operator="equal">
      <formula>"Towel"</formula>
    </cfRule>
  </conditionalFormatting>
  <conditionalFormatting sqref="B132:C132">
    <cfRule type="cellIs" dxfId="115" priority="107" stopIfTrue="1" operator="equal">
      <formula>"Towel"</formula>
    </cfRule>
    <cfRule type="cellIs" dxfId="114" priority="108" stopIfTrue="1" operator="equal">
      <formula>"Napkin Hs"</formula>
    </cfRule>
  </conditionalFormatting>
  <conditionalFormatting sqref="C132">
    <cfRule type="cellIs" dxfId="113" priority="106" stopIfTrue="1" operator="equal">
      <formula>"Napkin Hs"</formula>
    </cfRule>
  </conditionalFormatting>
  <conditionalFormatting sqref="C132">
    <cfRule type="cellIs" dxfId="112" priority="103" stopIfTrue="1" operator="equal">
      <formula>"Towel"</formula>
    </cfRule>
    <cfRule type="cellIs" dxfId="111" priority="104" stopIfTrue="1" operator="equal">
      <formula>"Napkin Hs"</formula>
    </cfRule>
  </conditionalFormatting>
  <conditionalFormatting sqref="C132">
    <cfRule type="cellIs" dxfId="110" priority="105" stopIfTrue="1" operator="equal">
      <formula>"Towel"</formula>
    </cfRule>
  </conditionalFormatting>
  <conditionalFormatting sqref="B131:C131">
    <cfRule type="cellIs" dxfId="109" priority="101" stopIfTrue="1" operator="equal">
      <formula>"Towel"</formula>
    </cfRule>
    <cfRule type="cellIs" dxfId="108" priority="102" stopIfTrue="1" operator="equal">
      <formula>"Napkin Hs"</formula>
    </cfRule>
  </conditionalFormatting>
  <conditionalFormatting sqref="C131">
    <cfRule type="cellIs" dxfId="107" priority="100" stopIfTrue="1" operator="equal">
      <formula>"Napkin Hs"</formula>
    </cfRule>
  </conditionalFormatting>
  <conditionalFormatting sqref="C131">
    <cfRule type="cellIs" dxfId="106" priority="97" stopIfTrue="1" operator="equal">
      <formula>"Towel"</formula>
    </cfRule>
    <cfRule type="cellIs" dxfId="105" priority="98" stopIfTrue="1" operator="equal">
      <formula>"Napkin Hs"</formula>
    </cfRule>
  </conditionalFormatting>
  <conditionalFormatting sqref="C131">
    <cfRule type="cellIs" dxfId="104" priority="99" stopIfTrue="1" operator="equal">
      <formula>"Towel"</formula>
    </cfRule>
  </conditionalFormatting>
  <conditionalFormatting sqref="B130:C130">
    <cfRule type="cellIs" dxfId="103" priority="95" stopIfTrue="1" operator="equal">
      <formula>"Towel"</formula>
    </cfRule>
    <cfRule type="cellIs" dxfId="102" priority="96" stopIfTrue="1" operator="equal">
      <formula>"Napkin Hs"</formula>
    </cfRule>
  </conditionalFormatting>
  <conditionalFormatting sqref="C130">
    <cfRule type="cellIs" dxfId="101" priority="94" stopIfTrue="1" operator="equal">
      <formula>"Napkin Hs"</formula>
    </cfRule>
  </conditionalFormatting>
  <conditionalFormatting sqref="C130">
    <cfRule type="cellIs" dxfId="100" priority="91" stopIfTrue="1" operator="equal">
      <formula>"Towel"</formula>
    </cfRule>
    <cfRule type="cellIs" dxfId="99" priority="92" stopIfTrue="1" operator="equal">
      <formula>"Napkin Hs"</formula>
    </cfRule>
  </conditionalFormatting>
  <conditionalFormatting sqref="C130">
    <cfRule type="cellIs" dxfId="98" priority="93" stopIfTrue="1" operator="equal">
      <formula>"Towel"</formula>
    </cfRule>
  </conditionalFormatting>
  <conditionalFormatting sqref="B138:C138">
    <cfRule type="cellIs" dxfId="97" priority="89" stopIfTrue="1" operator="equal">
      <formula>"Towel"</formula>
    </cfRule>
    <cfRule type="cellIs" dxfId="96" priority="90" stopIfTrue="1" operator="equal">
      <formula>"Napkin Hs"</formula>
    </cfRule>
  </conditionalFormatting>
  <conditionalFormatting sqref="C138">
    <cfRule type="cellIs" dxfId="95" priority="88" stopIfTrue="1" operator="equal">
      <formula>"Napkin Hs"</formula>
    </cfRule>
  </conditionalFormatting>
  <conditionalFormatting sqref="C138">
    <cfRule type="cellIs" dxfId="94" priority="85" stopIfTrue="1" operator="equal">
      <formula>"Towel"</formula>
    </cfRule>
    <cfRule type="cellIs" dxfId="93" priority="86" stopIfTrue="1" operator="equal">
      <formula>"Napkin Hs"</formula>
    </cfRule>
  </conditionalFormatting>
  <conditionalFormatting sqref="C138">
    <cfRule type="cellIs" dxfId="92" priority="87" stopIfTrue="1" operator="equal">
      <formula>"Towel"</formula>
    </cfRule>
  </conditionalFormatting>
  <conditionalFormatting sqref="B137:C137">
    <cfRule type="cellIs" dxfId="91" priority="83" stopIfTrue="1" operator="equal">
      <formula>"Towel"</formula>
    </cfRule>
    <cfRule type="cellIs" dxfId="90" priority="84" stopIfTrue="1" operator="equal">
      <formula>"Napkin Hs"</formula>
    </cfRule>
  </conditionalFormatting>
  <conditionalFormatting sqref="C137">
    <cfRule type="cellIs" dxfId="89" priority="82" stopIfTrue="1" operator="equal">
      <formula>"Napkin Hs"</formula>
    </cfRule>
  </conditionalFormatting>
  <conditionalFormatting sqref="C137">
    <cfRule type="cellIs" dxfId="88" priority="79" stopIfTrue="1" operator="equal">
      <formula>"Towel"</formula>
    </cfRule>
    <cfRule type="cellIs" dxfId="87" priority="80" stopIfTrue="1" operator="equal">
      <formula>"Napkin Hs"</formula>
    </cfRule>
  </conditionalFormatting>
  <conditionalFormatting sqref="C137">
    <cfRule type="cellIs" dxfId="86" priority="81" stopIfTrue="1" operator="equal">
      <formula>"Towel"</formula>
    </cfRule>
  </conditionalFormatting>
  <conditionalFormatting sqref="B135:C136">
    <cfRule type="cellIs" dxfId="85" priority="77" stopIfTrue="1" operator="equal">
      <formula>"Towel"</formula>
    </cfRule>
    <cfRule type="cellIs" dxfId="84" priority="78" stopIfTrue="1" operator="equal">
      <formula>"Napkin Hs"</formula>
    </cfRule>
  </conditionalFormatting>
  <conditionalFormatting sqref="C135:C136">
    <cfRule type="cellIs" dxfId="83" priority="76" stopIfTrue="1" operator="equal">
      <formula>"Napkin Hs"</formula>
    </cfRule>
  </conditionalFormatting>
  <conditionalFormatting sqref="C135:C136">
    <cfRule type="cellIs" dxfId="82" priority="73" stopIfTrue="1" operator="equal">
      <formula>"Towel"</formula>
    </cfRule>
    <cfRule type="cellIs" dxfId="81" priority="74" stopIfTrue="1" operator="equal">
      <formula>"Napkin Hs"</formula>
    </cfRule>
  </conditionalFormatting>
  <conditionalFormatting sqref="C135:C136">
    <cfRule type="cellIs" dxfId="80" priority="75" stopIfTrue="1" operator="equal">
      <formula>"Towel"</formula>
    </cfRule>
  </conditionalFormatting>
  <conditionalFormatting sqref="B144:C144">
    <cfRule type="cellIs" dxfId="79" priority="71" stopIfTrue="1" operator="equal">
      <formula>"Towel"</formula>
    </cfRule>
    <cfRule type="cellIs" dxfId="78" priority="72" stopIfTrue="1" operator="equal">
      <formula>"Napkin Hs"</formula>
    </cfRule>
  </conditionalFormatting>
  <conditionalFormatting sqref="C144">
    <cfRule type="cellIs" dxfId="77" priority="70" stopIfTrue="1" operator="equal">
      <formula>"Napkin Hs"</formula>
    </cfRule>
  </conditionalFormatting>
  <conditionalFormatting sqref="C144">
    <cfRule type="cellIs" dxfId="76" priority="67" stopIfTrue="1" operator="equal">
      <formula>"Towel"</formula>
    </cfRule>
    <cfRule type="cellIs" dxfId="75" priority="68" stopIfTrue="1" operator="equal">
      <formula>"Napkin Hs"</formula>
    </cfRule>
  </conditionalFormatting>
  <conditionalFormatting sqref="C144">
    <cfRule type="cellIs" dxfId="74" priority="69" stopIfTrue="1" operator="equal">
      <formula>"Towel"</formula>
    </cfRule>
  </conditionalFormatting>
  <conditionalFormatting sqref="B143:C143">
    <cfRule type="cellIs" dxfId="73" priority="65" stopIfTrue="1" operator="equal">
      <formula>"Towel"</formula>
    </cfRule>
    <cfRule type="cellIs" dxfId="72" priority="66" stopIfTrue="1" operator="equal">
      <formula>"Napkin Hs"</formula>
    </cfRule>
  </conditionalFormatting>
  <conditionalFormatting sqref="C143">
    <cfRule type="cellIs" dxfId="71" priority="64" stopIfTrue="1" operator="equal">
      <formula>"Napkin Hs"</formula>
    </cfRule>
  </conditionalFormatting>
  <conditionalFormatting sqref="C143">
    <cfRule type="cellIs" dxfId="70" priority="61" stopIfTrue="1" operator="equal">
      <formula>"Towel"</formula>
    </cfRule>
    <cfRule type="cellIs" dxfId="69" priority="62" stopIfTrue="1" operator="equal">
      <formula>"Napkin Hs"</formula>
    </cfRule>
  </conditionalFormatting>
  <conditionalFormatting sqref="C143">
    <cfRule type="cellIs" dxfId="68" priority="63" stopIfTrue="1" operator="equal">
      <formula>"Towel"</formula>
    </cfRule>
  </conditionalFormatting>
  <conditionalFormatting sqref="B140:C142">
    <cfRule type="cellIs" dxfId="67" priority="59" stopIfTrue="1" operator="equal">
      <formula>"Towel"</formula>
    </cfRule>
    <cfRule type="cellIs" dxfId="66" priority="60" stopIfTrue="1" operator="equal">
      <formula>"Napkin Hs"</formula>
    </cfRule>
  </conditionalFormatting>
  <conditionalFormatting sqref="C140:C142">
    <cfRule type="cellIs" dxfId="65" priority="58" stopIfTrue="1" operator="equal">
      <formula>"Napkin Hs"</formula>
    </cfRule>
  </conditionalFormatting>
  <conditionalFormatting sqref="C140:C142">
    <cfRule type="cellIs" dxfId="64" priority="55" stopIfTrue="1" operator="equal">
      <formula>"Towel"</formula>
    </cfRule>
    <cfRule type="cellIs" dxfId="63" priority="56" stopIfTrue="1" operator="equal">
      <formula>"Napkin Hs"</formula>
    </cfRule>
  </conditionalFormatting>
  <conditionalFormatting sqref="C140:C142">
    <cfRule type="cellIs" dxfId="62" priority="57" stopIfTrue="1" operator="equal">
      <formula>"Towel"</formula>
    </cfRule>
  </conditionalFormatting>
  <conditionalFormatting sqref="B148:C148">
    <cfRule type="cellIs" dxfId="61" priority="53" stopIfTrue="1" operator="equal">
      <formula>"Towel"</formula>
    </cfRule>
    <cfRule type="cellIs" dxfId="60" priority="54" stopIfTrue="1" operator="equal">
      <formula>"Napkin Hs"</formula>
    </cfRule>
  </conditionalFormatting>
  <conditionalFormatting sqref="C148">
    <cfRule type="cellIs" dxfId="59" priority="52" stopIfTrue="1" operator="equal">
      <formula>"Napkin Hs"</formula>
    </cfRule>
  </conditionalFormatting>
  <conditionalFormatting sqref="C148">
    <cfRule type="cellIs" dxfId="58" priority="49" stopIfTrue="1" operator="equal">
      <formula>"Towel"</formula>
    </cfRule>
    <cfRule type="cellIs" dxfId="57" priority="50" stopIfTrue="1" operator="equal">
      <formula>"Napkin Hs"</formula>
    </cfRule>
  </conditionalFormatting>
  <conditionalFormatting sqref="C148">
    <cfRule type="cellIs" dxfId="56" priority="51" stopIfTrue="1" operator="equal">
      <formula>"Towel"</formula>
    </cfRule>
  </conditionalFormatting>
  <conditionalFormatting sqref="B146:C147">
    <cfRule type="cellIs" dxfId="55" priority="47" stopIfTrue="1" operator="equal">
      <formula>"Towel"</formula>
    </cfRule>
    <cfRule type="cellIs" dxfId="54" priority="48" stopIfTrue="1" operator="equal">
      <formula>"Napkin Hs"</formula>
    </cfRule>
  </conditionalFormatting>
  <conditionalFormatting sqref="C146:C147">
    <cfRule type="cellIs" dxfId="53" priority="46" stopIfTrue="1" operator="equal">
      <formula>"Napkin Hs"</formula>
    </cfRule>
  </conditionalFormatting>
  <conditionalFormatting sqref="C146:C147">
    <cfRule type="cellIs" dxfId="52" priority="43" stopIfTrue="1" operator="equal">
      <formula>"Towel"</formula>
    </cfRule>
    <cfRule type="cellIs" dxfId="51" priority="44" stopIfTrue="1" operator="equal">
      <formula>"Napkin Hs"</formula>
    </cfRule>
  </conditionalFormatting>
  <conditionalFormatting sqref="C146:C147">
    <cfRule type="cellIs" dxfId="50" priority="45" stopIfTrue="1" operator="equal">
      <formula>"Towel"</formula>
    </cfRule>
  </conditionalFormatting>
  <conditionalFormatting sqref="B145:C145">
    <cfRule type="cellIs" dxfId="49" priority="41" stopIfTrue="1" operator="equal">
      <formula>"Towel"</formula>
    </cfRule>
    <cfRule type="cellIs" dxfId="48" priority="42" stopIfTrue="1" operator="equal">
      <formula>"Napkin Hs"</formula>
    </cfRule>
  </conditionalFormatting>
  <conditionalFormatting sqref="C145">
    <cfRule type="cellIs" dxfId="47" priority="40" stopIfTrue="1" operator="equal">
      <formula>"Napkin Hs"</formula>
    </cfRule>
  </conditionalFormatting>
  <conditionalFormatting sqref="C145">
    <cfRule type="cellIs" dxfId="46" priority="37" stopIfTrue="1" operator="equal">
      <formula>"Towel"</formula>
    </cfRule>
    <cfRule type="cellIs" dxfId="45" priority="38" stopIfTrue="1" operator="equal">
      <formula>"Napkin Hs"</formula>
    </cfRule>
  </conditionalFormatting>
  <conditionalFormatting sqref="C145">
    <cfRule type="cellIs" dxfId="44" priority="39" stopIfTrue="1" operator="equal">
      <formula>"Towel"</formula>
    </cfRule>
  </conditionalFormatting>
  <conditionalFormatting sqref="B153:C154">
    <cfRule type="cellIs" dxfId="43" priority="35" stopIfTrue="1" operator="equal">
      <formula>"Towel"</formula>
    </cfRule>
    <cfRule type="cellIs" dxfId="42" priority="36" stopIfTrue="1" operator="equal">
      <formula>"Napkin Hs"</formula>
    </cfRule>
  </conditionalFormatting>
  <conditionalFormatting sqref="C153:C154">
    <cfRule type="cellIs" dxfId="41" priority="34" stopIfTrue="1" operator="equal">
      <formula>"Napkin Hs"</formula>
    </cfRule>
  </conditionalFormatting>
  <conditionalFormatting sqref="C153:C154">
    <cfRule type="cellIs" dxfId="40" priority="31" stopIfTrue="1" operator="equal">
      <formula>"Towel"</formula>
    </cfRule>
    <cfRule type="cellIs" dxfId="39" priority="32" stopIfTrue="1" operator="equal">
      <formula>"Napkin Hs"</formula>
    </cfRule>
  </conditionalFormatting>
  <conditionalFormatting sqref="C153:C154">
    <cfRule type="cellIs" dxfId="38" priority="33" stopIfTrue="1" operator="equal">
      <formula>"Towel"</formula>
    </cfRule>
  </conditionalFormatting>
  <conditionalFormatting sqref="B151:C152">
    <cfRule type="cellIs" dxfId="37" priority="29" stopIfTrue="1" operator="equal">
      <formula>"Towel"</formula>
    </cfRule>
    <cfRule type="cellIs" dxfId="36" priority="30" stopIfTrue="1" operator="equal">
      <formula>"Napkin Hs"</formula>
    </cfRule>
  </conditionalFormatting>
  <conditionalFormatting sqref="C151:C152">
    <cfRule type="cellIs" dxfId="35" priority="28" stopIfTrue="1" operator="equal">
      <formula>"Napkin Hs"</formula>
    </cfRule>
  </conditionalFormatting>
  <conditionalFormatting sqref="C151:C152">
    <cfRule type="cellIs" dxfId="34" priority="25" stopIfTrue="1" operator="equal">
      <formula>"Towel"</formula>
    </cfRule>
    <cfRule type="cellIs" dxfId="33" priority="26" stopIfTrue="1" operator="equal">
      <formula>"Napkin Hs"</formula>
    </cfRule>
  </conditionalFormatting>
  <conditionalFormatting sqref="C151:C152">
    <cfRule type="cellIs" dxfId="32" priority="27" stopIfTrue="1" operator="equal">
      <formula>"Towel"</formula>
    </cfRule>
  </conditionalFormatting>
  <conditionalFormatting sqref="B150:C150">
    <cfRule type="cellIs" dxfId="31" priority="23" stopIfTrue="1" operator="equal">
      <formula>"Towel"</formula>
    </cfRule>
    <cfRule type="cellIs" dxfId="30" priority="24" stopIfTrue="1" operator="equal">
      <formula>"Napkin Hs"</formula>
    </cfRule>
  </conditionalFormatting>
  <conditionalFormatting sqref="C150">
    <cfRule type="cellIs" dxfId="29" priority="22" stopIfTrue="1" operator="equal">
      <formula>"Napkin Hs"</formula>
    </cfRule>
  </conditionalFormatting>
  <conditionalFormatting sqref="C150">
    <cfRule type="cellIs" dxfId="28" priority="19" stopIfTrue="1" operator="equal">
      <formula>"Towel"</formula>
    </cfRule>
    <cfRule type="cellIs" dxfId="27" priority="20" stopIfTrue="1" operator="equal">
      <formula>"Napkin Hs"</formula>
    </cfRule>
  </conditionalFormatting>
  <conditionalFormatting sqref="C150">
    <cfRule type="cellIs" dxfId="26" priority="21" stopIfTrue="1" operator="equal">
      <formula>"Towel"</formula>
    </cfRule>
  </conditionalFormatting>
  <conditionalFormatting sqref="B158:C158">
    <cfRule type="cellIs" dxfId="25" priority="17" stopIfTrue="1" operator="equal">
      <formula>"Towel"</formula>
    </cfRule>
    <cfRule type="cellIs" dxfId="24" priority="18" stopIfTrue="1" operator="equal">
      <formula>"Napkin Hs"</formula>
    </cfRule>
  </conditionalFormatting>
  <conditionalFormatting sqref="C158">
    <cfRule type="cellIs" dxfId="23" priority="16" stopIfTrue="1" operator="equal">
      <formula>"Napkin Hs"</formula>
    </cfRule>
  </conditionalFormatting>
  <conditionalFormatting sqref="C158">
    <cfRule type="cellIs" dxfId="22" priority="13" stopIfTrue="1" operator="equal">
      <formula>"Towel"</formula>
    </cfRule>
    <cfRule type="cellIs" dxfId="21" priority="14" stopIfTrue="1" operator="equal">
      <formula>"Napkin Hs"</formula>
    </cfRule>
  </conditionalFormatting>
  <conditionalFormatting sqref="C158">
    <cfRule type="cellIs" dxfId="20" priority="15" stopIfTrue="1" operator="equal">
      <formula>"Towel"</formula>
    </cfRule>
  </conditionalFormatting>
  <conditionalFormatting sqref="B156:C157">
    <cfRule type="cellIs" dxfId="19" priority="11" stopIfTrue="1" operator="equal">
      <formula>"Towel"</formula>
    </cfRule>
    <cfRule type="cellIs" dxfId="18" priority="12" stopIfTrue="1" operator="equal">
      <formula>"Napkin Hs"</formula>
    </cfRule>
  </conditionalFormatting>
  <conditionalFormatting sqref="C156:C157">
    <cfRule type="cellIs" dxfId="17" priority="10" stopIfTrue="1" operator="equal">
      <formula>"Napkin Hs"</formula>
    </cfRule>
  </conditionalFormatting>
  <conditionalFormatting sqref="C156:C157">
    <cfRule type="cellIs" dxfId="16" priority="7" stopIfTrue="1" operator="equal">
      <formula>"Towel"</formula>
    </cfRule>
    <cfRule type="cellIs" dxfId="15" priority="8" stopIfTrue="1" operator="equal">
      <formula>"Napkin Hs"</formula>
    </cfRule>
  </conditionalFormatting>
  <conditionalFormatting sqref="C156:C157">
    <cfRule type="cellIs" dxfId="14" priority="9" stopIfTrue="1" operator="equal">
      <formula>"Towel"</formula>
    </cfRule>
  </conditionalFormatting>
  <conditionalFormatting sqref="B159:C159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C159">
    <cfRule type="cellIs" dxfId="11" priority="4" stopIfTrue="1" operator="equal">
      <formula>"Napkin Hs"</formula>
    </cfRule>
  </conditionalFormatting>
  <conditionalFormatting sqref="C159">
    <cfRule type="cellIs" dxfId="10" priority="1" stopIfTrue="1" operator="equal">
      <formula>"Towel"</formula>
    </cfRule>
    <cfRule type="cellIs" dxfId="9" priority="2" stopIfTrue="1" operator="equal">
      <formula>"Napkin Hs"</formula>
    </cfRule>
  </conditionalFormatting>
  <conditionalFormatting sqref="C159">
    <cfRule type="cellIs" dxfId="8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45"/>
  <sheetViews>
    <sheetView topLeftCell="AH1" zoomScale="80" zoomScaleNormal="80" workbookViewId="0">
      <selection activeCell="AY9" sqref="AY9:AY39"/>
    </sheetView>
  </sheetViews>
  <sheetFormatPr defaultColWidth="10.42578125" defaultRowHeight="12.75"/>
  <cols>
    <col min="1" max="1" width="8.140625" style="258" customWidth="1"/>
    <col min="2" max="2" width="13.5703125" style="258" customWidth="1"/>
    <col min="3" max="3" width="12.5703125" style="259" customWidth="1"/>
    <col min="4" max="4" width="11.140625" style="259" customWidth="1"/>
    <col min="5" max="5" width="11" style="260" customWidth="1"/>
    <col min="6" max="17" width="12.42578125" style="520" customWidth="1"/>
    <col min="18" max="20" width="12.42578125" style="520" hidden="1" customWidth="1"/>
    <col min="21" max="23" width="12.42578125" style="520" customWidth="1"/>
    <col min="24" max="26" width="12.42578125" style="520" hidden="1" customWidth="1"/>
    <col min="27" max="41" width="12.42578125" style="520" customWidth="1"/>
    <col min="42" max="47" width="12.42578125" style="520" hidden="1" customWidth="1"/>
    <col min="48" max="56" width="12.42578125" style="520" customWidth="1"/>
    <col min="57" max="65" width="12.42578125" style="520" hidden="1" customWidth="1"/>
    <col min="66" max="269" width="12.42578125" style="520" customWidth="1"/>
    <col min="270" max="272" width="9.28515625" style="520" customWidth="1"/>
    <col min="273" max="303" width="5.5703125" style="520" customWidth="1"/>
    <col min="304" max="304" width="8.7109375" style="520" bestFit="1" customWidth="1"/>
    <col min="305" max="305" width="7.7109375" style="520" customWidth="1"/>
    <col min="306" max="306" width="21" style="520" bestFit="1" customWidth="1"/>
    <col min="307" max="307" width="19.85546875" style="520" bestFit="1" customWidth="1"/>
    <col min="308" max="16384" width="10.42578125" style="258"/>
  </cols>
  <sheetData>
    <row r="1" spans="1:308" ht="15.75">
      <c r="A1" s="554"/>
      <c r="B1" s="255"/>
      <c r="C1" s="256"/>
      <c r="D1" s="256"/>
      <c r="E1" s="257"/>
    </row>
    <row r="2" spans="1:308" ht="15.75">
      <c r="A2" s="554"/>
    </row>
    <row r="3" spans="1:308" ht="15">
      <c r="A3" s="555"/>
    </row>
    <row r="4" spans="1:308" ht="15.75">
      <c r="A4" s="492" t="s">
        <v>289</v>
      </c>
    </row>
    <row r="5" spans="1:308" ht="13.5" thickBot="1">
      <c r="F5" s="698" t="s">
        <v>309</v>
      </c>
      <c r="G5" s="699"/>
      <c r="H5" s="699"/>
      <c r="I5" s="699"/>
      <c r="J5" s="699"/>
      <c r="K5" s="699"/>
      <c r="L5" s="699"/>
      <c r="M5" s="699"/>
      <c r="N5" s="699"/>
      <c r="O5" s="699"/>
      <c r="P5" s="699"/>
      <c r="Q5" s="699"/>
      <c r="R5" s="699"/>
      <c r="S5" s="699"/>
      <c r="T5" s="699"/>
      <c r="U5" s="699"/>
      <c r="V5" s="699"/>
      <c r="W5" s="699"/>
      <c r="X5" s="699"/>
      <c r="Y5" s="699"/>
      <c r="Z5" s="699"/>
      <c r="AA5" s="699"/>
      <c r="AB5" s="699"/>
      <c r="AC5" s="699"/>
      <c r="AD5" s="699"/>
      <c r="AE5" s="699"/>
      <c r="AF5" s="699"/>
      <c r="AG5" s="699"/>
      <c r="AH5" s="699"/>
      <c r="AI5" s="699"/>
      <c r="AJ5" s="699"/>
      <c r="AK5" s="699"/>
      <c r="AL5" s="699"/>
      <c r="AM5" s="699"/>
      <c r="AN5" s="699"/>
      <c r="AO5" s="699"/>
      <c r="AP5" s="699"/>
      <c r="AQ5" s="699"/>
      <c r="AR5" s="699"/>
      <c r="AS5" s="699"/>
      <c r="AT5" s="699"/>
      <c r="AU5" s="699"/>
      <c r="AV5" s="699"/>
      <c r="AW5" s="699"/>
      <c r="AX5" s="699"/>
      <c r="AY5" s="699"/>
      <c r="AZ5" s="699"/>
      <c r="BA5" s="699"/>
      <c r="BB5" s="699"/>
      <c r="BC5" s="699"/>
      <c r="BD5" s="699"/>
      <c r="BE5" s="699"/>
      <c r="BF5" s="699"/>
      <c r="BG5" s="699"/>
      <c r="BH5" s="699"/>
      <c r="BI5" s="699"/>
      <c r="BJ5" s="699"/>
      <c r="BK5" s="699"/>
      <c r="BL5" s="699"/>
      <c r="BM5" s="699"/>
      <c r="BN5" s="699"/>
      <c r="BO5" s="699"/>
      <c r="BP5" s="699"/>
      <c r="BQ5" s="699"/>
      <c r="BR5" s="699"/>
      <c r="BS5" s="699"/>
      <c r="BT5" s="699"/>
      <c r="BU5" s="699"/>
      <c r="BV5" s="699"/>
      <c r="BW5" s="699"/>
      <c r="BX5" s="699"/>
      <c r="BY5" s="699"/>
      <c r="BZ5" s="699"/>
      <c r="CA5" s="699"/>
      <c r="CB5" s="699"/>
      <c r="CC5" s="699"/>
      <c r="CD5" s="699"/>
      <c r="CE5" s="699"/>
      <c r="CF5" s="699"/>
      <c r="CG5" s="699"/>
      <c r="CH5" s="699"/>
      <c r="CI5" s="699"/>
      <c r="CJ5" s="699"/>
      <c r="CK5" s="699"/>
      <c r="CL5" s="699"/>
      <c r="CM5" s="699"/>
      <c r="CN5" s="699"/>
      <c r="CO5" s="699"/>
      <c r="CP5" s="699"/>
      <c r="CQ5" s="699"/>
      <c r="CR5" s="699"/>
      <c r="CS5" s="699"/>
      <c r="CT5" s="699"/>
      <c r="CU5" s="699"/>
      <c r="CV5" s="699"/>
      <c r="CW5" s="699"/>
      <c r="CX5" s="699"/>
      <c r="CY5" s="699"/>
      <c r="CZ5" s="699"/>
      <c r="DA5" s="699"/>
      <c r="DB5" s="699"/>
      <c r="DC5" s="699"/>
      <c r="DD5" s="699"/>
      <c r="DE5" s="699"/>
      <c r="DF5" s="699"/>
      <c r="DG5" s="699"/>
      <c r="DH5" s="699"/>
      <c r="DI5" s="699"/>
      <c r="DJ5" s="699"/>
      <c r="DK5" s="699"/>
      <c r="DL5" s="699"/>
      <c r="DM5" s="699"/>
      <c r="DN5" s="699"/>
      <c r="DO5" s="699"/>
      <c r="DP5" s="699"/>
      <c r="DQ5" s="699"/>
      <c r="DR5" s="699"/>
      <c r="DS5" s="699"/>
      <c r="DT5" s="699"/>
      <c r="DU5" s="699"/>
      <c r="DV5" s="699"/>
      <c r="DW5" s="699"/>
      <c r="DX5" s="699"/>
      <c r="DY5" s="699"/>
      <c r="DZ5" s="699"/>
      <c r="EA5" s="699"/>
      <c r="EB5" s="699"/>
      <c r="EC5" s="699"/>
      <c r="ED5" s="699"/>
      <c r="EE5" s="699"/>
      <c r="EF5" s="699"/>
      <c r="EG5" s="699"/>
      <c r="EH5" s="699"/>
      <c r="EI5" s="699"/>
      <c r="EJ5" s="699"/>
      <c r="EK5" s="699"/>
      <c r="EL5" s="699"/>
      <c r="EM5" s="699"/>
      <c r="EN5" s="699"/>
      <c r="EO5" s="699"/>
      <c r="EP5" s="699"/>
      <c r="EQ5" s="699"/>
      <c r="ER5" s="699"/>
      <c r="ES5" s="699"/>
      <c r="ET5" s="699"/>
      <c r="EU5" s="699"/>
      <c r="EV5" s="699"/>
      <c r="EW5" s="699"/>
      <c r="EX5" s="699"/>
      <c r="EY5" s="699"/>
      <c r="EZ5" s="699"/>
      <c r="FA5" s="699"/>
      <c r="FB5" s="699"/>
      <c r="FC5" s="699"/>
      <c r="FD5" s="699"/>
      <c r="FE5" s="699"/>
      <c r="FF5" s="699"/>
      <c r="FG5" s="699"/>
      <c r="FH5" s="699"/>
      <c r="FI5" s="699"/>
      <c r="FJ5" s="699"/>
      <c r="FK5" s="699"/>
      <c r="FL5" s="699"/>
      <c r="FM5" s="699"/>
      <c r="FN5" s="699"/>
      <c r="FO5" s="699"/>
      <c r="FP5" s="699"/>
      <c r="FQ5" s="699"/>
      <c r="FR5" s="699"/>
      <c r="FS5" s="699"/>
      <c r="FT5" s="699"/>
      <c r="FU5" s="699"/>
      <c r="FV5" s="699"/>
      <c r="FW5" s="699"/>
      <c r="FX5" s="699"/>
      <c r="FY5" s="699"/>
      <c r="FZ5" s="699"/>
      <c r="GA5" s="699"/>
      <c r="GB5" s="699"/>
      <c r="GC5" s="700"/>
      <c r="GD5" s="698" t="s">
        <v>310</v>
      </c>
      <c r="GE5" s="699"/>
      <c r="GF5" s="699"/>
      <c r="GG5" s="699"/>
      <c r="GH5" s="699"/>
      <c r="GI5" s="699"/>
      <c r="GJ5" s="699"/>
      <c r="GK5" s="699"/>
      <c r="GL5" s="699"/>
      <c r="GM5" s="699"/>
      <c r="GN5" s="699"/>
      <c r="GO5" s="699"/>
      <c r="GP5" s="699"/>
      <c r="GQ5" s="699"/>
      <c r="GR5" s="699"/>
      <c r="GS5" s="699"/>
      <c r="GT5" s="699"/>
      <c r="GU5" s="699"/>
      <c r="GV5" s="699"/>
      <c r="GW5" s="699"/>
      <c r="GX5" s="699"/>
      <c r="GY5" s="699"/>
      <c r="GZ5" s="699"/>
      <c r="HA5" s="699"/>
      <c r="HB5" s="699"/>
      <c r="HC5" s="699"/>
      <c r="HD5" s="699"/>
      <c r="HE5" s="699"/>
      <c r="HF5" s="699"/>
      <c r="HG5" s="699"/>
      <c r="HH5" s="699"/>
      <c r="HI5" s="699"/>
      <c r="HJ5" s="699"/>
      <c r="HK5" s="699"/>
      <c r="HL5" s="699"/>
      <c r="HM5" s="699"/>
      <c r="HN5" s="699"/>
      <c r="HO5" s="699"/>
      <c r="HP5" s="699"/>
      <c r="HQ5" s="699"/>
      <c r="HR5" s="699"/>
      <c r="HS5" s="699"/>
      <c r="HT5" s="699"/>
      <c r="HU5" s="699"/>
      <c r="HV5" s="699"/>
      <c r="HW5" s="699"/>
      <c r="HX5" s="699"/>
      <c r="HY5" s="699"/>
      <c r="HZ5" s="699"/>
      <c r="IA5" s="699"/>
      <c r="IB5" s="699"/>
      <c r="IC5" s="699"/>
      <c r="ID5" s="699"/>
      <c r="IE5" s="699"/>
      <c r="IF5" s="699"/>
      <c r="IG5" s="699"/>
      <c r="IH5" s="699"/>
      <c r="II5" s="699"/>
      <c r="IJ5" s="699"/>
      <c r="IK5" s="699"/>
      <c r="IL5" s="699"/>
      <c r="IM5" s="699"/>
      <c r="IN5" s="699"/>
      <c r="IO5" s="699"/>
      <c r="IP5" s="699"/>
      <c r="IQ5" s="699"/>
      <c r="IR5" s="699"/>
      <c r="IS5" s="699"/>
      <c r="IT5" s="699"/>
      <c r="IU5" s="699"/>
      <c r="IV5" s="699"/>
      <c r="IW5" s="699"/>
      <c r="IX5" s="699"/>
      <c r="IY5" s="699"/>
      <c r="IZ5" s="699"/>
      <c r="JA5" s="699"/>
      <c r="JB5" s="699"/>
      <c r="JC5" s="699"/>
      <c r="JD5" s="699"/>
      <c r="JE5" s="699"/>
      <c r="JF5" s="699"/>
      <c r="JG5" s="699"/>
      <c r="JH5" s="699"/>
      <c r="JI5" s="699"/>
      <c r="JJ5" s="699"/>
      <c r="JK5" s="699"/>
      <c r="JL5" s="699"/>
      <c r="JM5" s="699"/>
      <c r="JN5" s="699"/>
      <c r="JO5" s="699"/>
      <c r="JP5" s="699"/>
      <c r="JQ5" s="699"/>
      <c r="JR5" s="699"/>
      <c r="JS5" s="699"/>
      <c r="JT5" s="699"/>
      <c r="JU5" s="699"/>
      <c r="JV5" s="699"/>
      <c r="JW5" s="699"/>
      <c r="JX5" s="699"/>
      <c r="JY5" s="699"/>
      <c r="JZ5" s="699"/>
      <c r="KA5" s="699"/>
      <c r="KB5" s="699"/>
      <c r="KC5" s="699"/>
      <c r="KD5" s="699"/>
      <c r="KE5" s="699"/>
      <c r="KF5" s="699"/>
      <c r="KG5" s="699"/>
      <c r="KH5" s="699"/>
      <c r="KI5" s="699"/>
      <c r="KJ5" s="699"/>
      <c r="KK5" s="699"/>
      <c r="KL5" s="699"/>
      <c r="KM5" s="699"/>
      <c r="KN5" s="699"/>
      <c r="KO5" s="699"/>
      <c r="KP5" s="699"/>
      <c r="KQ5" s="699"/>
      <c r="KR5" s="699"/>
      <c r="KS5" s="700"/>
      <c r="KT5" s="701" t="s">
        <v>311</v>
      </c>
      <c r="KU5" s="701" t="s">
        <v>310</v>
      </c>
    </row>
    <row r="6" spans="1:308">
      <c r="A6" s="702" t="s">
        <v>29</v>
      </c>
      <c r="B6" s="705" t="s">
        <v>4</v>
      </c>
      <c r="C6" s="705" t="s">
        <v>5</v>
      </c>
      <c r="D6" s="708" t="s">
        <v>41</v>
      </c>
      <c r="E6" s="711" t="s">
        <v>39</v>
      </c>
      <c r="F6" s="714" t="s">
        <v>312</v>
      </c>
      <c r="G6" s="715"/>
      <c r="H6" s="716"/>
      <c r="I6" s="714" t="s">
        <v>313</v>
      </c>
      <c r="J6" s="715"/>
      <c r="K6" s="716"/>
      <c r="L6" s="714" t="s">
        <v>314</v>
      </c>
      <c r="M6" s="715"/>
      <c r="N6" s="716"/>
      <c r="O6" s="714" t="s">
        <v>315</v>
      </c>
      <c r="P6" s="715"/>
      <c r="Q6" s="716"/>
      <c r="R6" s="714" t="s">
        <v>316</v>
      </c>
      <c r="S6" s="715"/>
      <c r="T6" s="716"/>
      <c r="U6" s="714" t="s">
        <v>317</v>
      </c>
      <c r="V6" s="715"/>
      <c r="W6" s="716"/>
      <c r="X6" s="714" t="s">
        <v>318</v>
      </c>
      <c r="Y6" s="715"/>
      <c r="Z6" s="716"/>
      <c r="AA6" s="714" t="s">
        <v>319</v>
      </c>
      <c r="AB6" s="715"/>
      <c r="AC6" s="716"/>
      <c r="AD6" s="714" t="s">
        <v>320</v>
      </c>
      <c r="AE6" s="715"/>
      <c r="AF6" s="716"/>
      <c r="AG6" s="714" t="s">
        <v>321</v>
      </c>
      <c r="AH6" s="715"/>
      <c r="AI6" s="716"/>
      <c r="AJ6" s="714" t="s">
        <v>322</v>
      </c>
      <c r="AK6" s="715"/>
      <c r="AL6" s="716"/>
      <c r="AM6" s="714" t="s">
        <v>323</v>
      </c>
      <c r="AN6" s="715"/>
      <c r="AO6" s="716"/>
      <c r="AP6" s="714" t="s">
        <v>324</v>
      </c>
      <c r="AQ6" s="715"/>
      <c r="AR6" s="716"/>
      <c r="AS6" s="714" t="s">
        <v>325</v>
      </c>
      <c r="AT6" s="715"/>
      <c r="AU6" s="716"/>
      <c r="AV6" s="714" t="s">
        <v>326</v>
      </c>
      <c r="AW6" s="715"/>
      <c r="AX6" s="716"/>
      <c r="AY6" s="717" t="s">
        <v>327</v>
      </c>
      <c r="AZ6" s="718"/>
      <c r="BA6" s="718"/>
      <c r="BB6" s="717" t="s">
        <v>328</v>
      </c>
      <c r="BC6" s="718"/>
      <c r="BD6" s="719"/>
      <c r="BE6" s="717" t="s">
        <v>329</v>
      </c>
      <c r="BF6" s="718"/>
      <c r="BG6" s="718"/>
      <c r="BH6" s="717" t="s">
        <v>330</v>
      </c>
      <c r="BI6" s="718"/>
      <c r="BJ6" s="719"/>
      <c r="BK6" s="717" t="s">
        <v>331</v>
      </c>
      <c r="BL6" s="718"/>
      <c r="BM6" s="718"/>
      <c r="BN6" s="717" t="s">
        <v>332</v>
      </c>
      <c r="BO6" s="718"/>
      <c r="BP6" s="719"/>
      <c r="BQ6" s="717" t="s">
        <v>333</v>
      </c>
      <c r="BR6" s="718"/>
      <c r="BS6" s="718"/>
      <c r="BT6" s="717" t="s">
        <v>334</v>
      </c>
      <c r="BU6" s="718"/>
      <c r="BV6" s="719"/>
      <c r="BW6" s="717" t="s">
        <v>335</v>
      </c>
      <c r="BX6" s="718"/>
      <c r="BY6" s="718"/>
      <c r="BZ6" s="717" t="s">
        <v>336</v>
      </c>
      <c r="CA6" s="718"/>
      <c r="CB6" s="719"/>
      <c r="CC6" s="717" t="s">
        <v>337</v>
      </c>
      <c r="CD6" s="718"/>
      <c r="CE6" s="718"/>
      <c r="CF6" s="717" t="s">
        <v>338</v>
      </c>
      <c r="CG6" s="718"/>
      <c r="CH6" s="719"/>
      <c r="CI6" s="717" t="s">
        <v>339</v>
      </c>
      <c r="CJ6" s="718"/>
      <c r="CK6" s="718"/>
      <c r="CL6" s="717" t="s">
        <v>340</v>
      </c>
      <c r="CM6" s="718"/>
      <c r="CN6" s="719"/>
      <c r="CO6" s="717" t="s">
        <v>341</v>
      </c>
      <c r="CP6" s="718"/>
      <c r="CQ6" s="718"/>
      <c r="CR6" s="717" t="s">
        <v>342</v>
      </c>
      <c r="CS6" s="718"/>
      <c r="CT6" s="719"/>
      <c r="CU6" s="717" t="s">
        <v>225</v>
      </c>
      <c r="CV6" s="718"/>
      <c r="CW6" s="718"/>
      <c r="CX6" s="717" t="s">
        <v>343</v>
      </c>
      <c r="CY6" s="718"/>
      <c r="CZ6" s="719"/>
      <c r="DA6" s="717" t="s">
        <v>344</v>
      </c>
      <c r="DB6" s="718"/>
      <c r="DC6" s="718"/>
      <c r="DD6" s="717" t="s">
        <v>345</v>
      </c>
      <c r="DE6" s="718"/>
      <c r="DF6" s="719"/>
      <c r="DG6" s="717" t="s">
        <v>346</v>
      </c>
      <c r="DH6" s="718"/>
      <c r="DI6" s="718"/>
      <c r="DJ6" s="717" t="s">
        <v>347</v>
      </c>
      <c r="DK6" s="718"/>
      <c r="DL6" s="719"/>
      <c r="DM6" s="717" t="s">
        <v>348</v>
      </c>
      <c r="DN6" s="718"/>
      <c r="DO6" s="718"/>
      <c r="DP6" s="717" t="s">
        <v>349</v>
      </c>
      <c r="DQ6" s="718"/>
      <c r="DR6" s="719"/>
      <c r="DS6" s="717" t="s">
        <v>350</v>
      </c>
      <c r="DT6" s="718"/>
      <c r="DU6" s="718"/>
      <c r="DV6" s="717" t="s">
        <v>351</v>
      </c>
      <c r="DW6" s="718"/>
      <c r="DX6" s="719"/>
      <c r="DY6" s="717" t="s">
        <v>352</v>
      </c>
      <c r="DZ6" s="718"/>
      <c r="EA6" s="718"/>
      <c r="EB6" s="717" t="s">
        <v>382</v>
      </c>
      <c r="EC6" s="718"/>
      <c r="ED6" s="719"/>
      <c r="EE6" s="717" t="s">
        <v>433</v>
      </c>
      <c r="EF6" s="718"/>
      <c r="EG6" s="718"/>
      <c r="EH6" s="717" t="s">
        <v>434</v>
      </c>
      <c r="EI6" s="718"/>
      <c r="EJ6" s="719"/>
      <c r="EK6" s="717" t="s">
        <v>437</v>
      </c>
      <c r="EL6" s="718"/>
      <c r="EM6" s="718"/>
      <c r="EN6" s="717" t="s">
        <v>435</v>
      </c>
      <c r="EO6" s="718"/>
      <c r="EP6" s="719"/>
      <c r="EQ6" s="717" t="s">
        <v>436</v>
      </c>
      <c r="ER6" s="718"/>
      <c r="ES6" s="719"/>
      <c r="ET6" s="717" t="s">
        <v>483</v>
      </c>
      <c r="EU6" s="718"/>
      <c r="EV6" s="719"/>
      <c r="EW6" s="717" t="s">
        <v>816</v>
      </c>
      <c r="EX6" s="718"/>
      <c r="EY6" s="718"/>
      <c r="EZ6" s="717"/>
      <c r="FA6" s="718"/>
      <c r="FB6" s="719"/>
      <c r="FC6" s="717"/>
      <c r="FD6" s="718"/>
      <c r="FE6" s="718"/>
      <c r="FF6" s="717"/>
      <c r="FG6" s="718"/>
      <c r="FH6" s="719"/>
      <c r="FI6" s="717"/>
      <c r="FJ6" s="718"/>
      <c r="FK6" s="718"/>
      <c r="FL6" s="717"/>
      <c r="FM6" s="718"/>
      <c r="FN6" s="719"/>
      <c r="FO6" s="717"/>
      <c r="FP6" s="718"/>
      <c r="FQ6" s="718"/>
      <c r="FR6" s="717"/>
      <c r="FS6" s="718"/>
      <c r="FT6" s="719"/>
      <c r="FU6" s="717"/>
      <c r="FV6" s="718"/>
      <c r="FW6" s="718"/>
      <c r="FX6" s="717"/>
      <c r="FY6" s="718"/>
      <c r="FZ6" s="719"/>
      <c r="GA6" s="717"/>
      <c r="GB6" s="718"/>
      <c r="GC6" s="718"/>
      <c r="GD6" s="717" t="s">
        <v>353</v>
      </c>
      <c r="GE6" s="718"/>
      <c r="GF6" s="719"/>
      <c r="GG6" s="717" t="s">
        <v>354</v>
      </c>
      <c r="GH6" s="718"/>
      <c r="GI6" s="718"/>
      <c r="GJ6" s="717" t="s">
        <v>355</v>
      </c>
      <c r="GK6" s="718"/>
      <c r="GL6" s="719"/>
      <c r="GM6" s="717" t="s">
        <v>356</v>
      </c>
      <c r="GN6" s="718"/>
      <c r="GO6" s="718"/>
      <c r="GP6" s="717" t="s">
        <v>357</v>
      </c>
      <c r="GQ6" s="718"/>
      <c r="GR6" s="719"/>
      <c r="GS6" s="717" t="s">
        <v>358</v>
      </c>
      <c r="GT6" s="718"/>
      <c r="GU6" s="718"/>
      <c r="GV6" s="717" t="s">
        <v>359</v>
      </c>
      <c r="GW6" s="718"/>
      <c r="GX6" s="719"/>
      <c r="GY6" s="717" t="s">
        <v>360</v>
      </c>
      <c r="GZ6" s="718"/>
      <c r="HA6" s="718"/>
      <c r="HB6" s="717" t="s">
        <v>336</v>
      </c>
      <c r="HC6" s="718"/>
      <c r="HD6" s="719"/>
      <c r="HE6" s="717" t="s">
        <v>351</v>
      </c>
      <c r="HF6" s="718"/>
      <c r="HG6" s="718"/>
      <c r="HH6" s="717" t="s">
        <v>350</v>
      </c>
      <c r="HI6" s="718"/>
      <c r="HJ6" s="719"/>
      <c r="HK6" s="717" t="s">
        <v>332</v>
      </c>
      <c r="HL6" s="718"/>
      <c r="HM6" s="718"/>
      <c r="HN6" s="717" t="s">
        <v>361</v>
      </c>
      <c r="HO6" s="718"/>
      <c r="HP6" s="719"/>
      <c r="HQ6" s="717" t="s">
        <v>225</v>
      </c>
      <c r="HR6" s="718"/>
      <c r="HS6" s="718"/>
      <c r="HT6" s="717" t="s">
        <v>362</v>
      </c>
      <c r="HU6" s="718"/>
      <c r="HV6" s="719"/>
      <c r="HW6" s="717" t="s">
        <v>363</v>
      </c>
      <c r="HX6" s="718"/>
      <c r="HY6" s="718"/>
      <c r="HZ6" s="717" t="s">
        <v>364</v>
      </c>
      <c r="IA6" s="718"/>
      <c r="IB6" s="719"/>
      <c r="IC6" s="717" t="s">
        <v>365</v>
      </c>
      <c r="ID6" s="718"/>
      <c r="IE6" s="718"/>
      <c r="IF6" s="717" t="s">
        <v>366</v>
      </c>
      <c r="IG6" s="718"/>
      <c r="IH6" s="719"/>
      <c r="II6" s="720" t="s">
        <v>338</v>
      </c>
      <c r="IJ6" s="720"/>
      <c r="IK6" s="720"/>
      <c r="IL6" s="717" t="s">
        <v>341</v>
      </c>
      <c r="IM6" s="718"/>
      <c r="IN6" s="719"/>
      <c r="IO6" s="717" t="s">
        <v>342</v>
      </c>
      <c r="IP6" s="718"/>
      <c r="IQ6" s="718"/>
      <c r="IR6" s="717" t="s">
        <v>337</v>
      </c>
      <c r="IS6" s="718"/>
      <c r="IT6" s="719"/>
      <c r="IU6" s="717" t="s">
        <v>367</v>
      </c>
      <c r="IV6" s="718"/>
      <c r="IW6" s="718"/>
      <c r="IX6" s="717" t="s">
        <v>344</v>
      </c>
      <c r="IY6" s="718"/>
      <c r="IZ6" s="719"/>
      <c r="JA6" s="717" t="s">
        <v>368</v>
      </c>
      <c r="JB6" s="718"/>
      <c r="JC6" s="718"/>
      <c r="JD6" s="717" t="s">
        <v>369</v>
      </c>
      <c r="JE6" s="718"/>
      <c r="JF6" s="719"/>
      <c r="JG6" s="717" t="s">
        <v>370</v>
      </c>
      <c r="JH6" s="718"/>
      <c r="JI6" s="718"/>
      <c r="JJ6" s="717" t="s">
        <v>383</v>
      </c>
      <c r="JK6" s="718"/>
      <c r="JL6" s="719"/>
      <c r="JM6" s="717"/>
      <c r="JN6" s="718"/>
      <c r="JO6" s="718"/>
      <c r="JP6" s="717"/>
      <c r="JQ6" s="718"/>
      <c r="JR6" s="719"/>
      <c r="JS6" s="717"/>
      <c r="JT6" s="718"/>
      <c r="JU6" s="718"/>
      <c r="JV6" s="717"/>
      <c r="JW6" s="718"/>
      <c r="JX6" s="719"/>
      <c r="JY6" s="717"/>
      <c r="JZ6" s="718"/>
      <c r="KA6" s="718"/>
      <c r="KB6" s="717"/>
      <c r="KC6" s="718"/>
      <c r="KD6" s="719"/>
      <c r="KE6" s="717"/>
      <c r="KF6" s="718"/>
      <c r="KG6" s="718"/>
      <c r="KH6" s="717"/>
      <c r="KI6" s="718"/>
      <c r="KJ6" s="719"/>
      <c r="KK6" s="717"/>
      <c r="KL6" s="718"/>
      <c r="KM6" s="718"/>
      <c r="KN6" s="717"/>
      <c r="KO6" s="718"/>
      <c r="KP6" s="719"/>
      <c r="KQ6" s="720"/>
      <c r="KR6" s="720"/>
      <c r="KS6" s="720"/>
      <c r="KT6" s="701"/>
      <c r="KU6" s="701"/>
    </row>
    <row r="7" spans="1:308">
      <c r="A7" s="703"/>
      <c r="B7" s="706"/>
      <c r="C7" s="706"/>
      <c r="D7" s="709"/>
      <c r="E7" s="712"/>
      <c r="F7" s="714" t="s">
        <v>134</v>
      </c>
      <c r="G7" s="716"/>
      <c r="H7" s="521" t="s">
        <v>371</v>
      </c>
      <c r="I7" s="714" t="s">
        <v>134</v>
      </c>
      <c r="J7" s="716"/>
      <c r="K7" s="521" t="s">
        <v>371</v>
      </c>
      <c r="L7" s="714" t="s">
        <v>134</v>
      </c>
      <c r="M7" s="716"/>
      <c r="N7" s="521" t="s">
        <v>371</v>
      </c>
      <c r="O7" s="714" t="s">
        <v>134</v>
      </c>
      <c r="P7" s="716"/>
      <c r="Q7" s="521" t="s">
        <v>371</v>
      </c>
      <c r="R7" s="714" t="s">
        <v>134</v>
      </c>
      <c r="S7" s="716"/>
      <c r="T7" s="521" t="s">
        <v>371</v>
      </c>
      <c r="U7" s="714" t="s">
        <v>134</v>
      </c>
      <c r="V7" s="716"/>
      <c r="W7" s="521" t="s">
        <v>371</v>
      </c>
      <c r="X7" s="714" t="s">
        <v>134</v>
      </c>
      <c r="Y7" s="716"/>
      <c r="Z7" s="521" t="s">
        <v>371</v>
      </c>
      <c r="AA7" s="714" t="s">
        <v>134</v>
      </c>
      <c r="AB7" s="716"/>
      <c r="AC7" s="521" t="s">
        <v>371</v>
      </c>
      <c r="AD7" s="714" t="s">
        <v>134</v>
      </c>
      <c r="AE7" s="716"/>
      <c r="AF7" s="521" t="s">
        <v>371</v>
      </c>
      <c r="AG7" s="714" t="s">
        <v>134</v>
      </c>
      <c r="AH7" s="716"/>
      <c r="AI7" s="521" t="s">
        <v>371</v>
      </c>
      <c r="AJ7" s="714" t="s">
        <v>134</v>
      </c>
      <c r="AK7" s="716"/>
      <c r="AL7" s="521" t="s">
        <v>371</v>
      </c>
      <c r="AM7" s="714" t="s">
        <v>134</v>
      </c>
      <c r="AN7" s="716"/>
      <c r="AO7" s="521" t="s">
        <v>371</v>
      </c>
      <c r="AP7" s="714" t="s">
        <v>134</v>
      </c>
      <c r="AQ7" s="716"/>
      <c r="AR7" s="521" t="s">
        <v>371</v>
      </c>
      <c r="AS7" s="714" t="s">
        <v>134</v>
      </c>
      <c r="AT7" s="716"/>
      <c r="AU7" s="521" t="s">
        <v>371</v>
      </c>
      <c r="AV7" s="714" t="s">
        <v>134</v>
      </c>
      <c r="AW7" s="716"/>
      <c r="AX7" s="521" t="s">
        <v>371</v>
      </c>
      <c r="AY7" s="714" t="s">
        <v>134</v>
      </c>
      <c r="AZ7" s="716"/>
      <c r="BA7" s="521" t="s">
        <v>371</v>
      </c>
      <c r="BB7" s="714" t="s">
        <v>134</v>
      </c>
      <c r="BC7" s="716"/>
      <c r="BD7" s="521" t="s">
        <v>371</v>
      </c>
      <c r="BE7" s="714" t="s">
        <v>134</v>
      </c>
      <c r="BF7" s="716"/>
      <c r="BG7" s="521" t="s">
        <v>371</v>
      </c>
      <c r="BH7" s="714" t="s">
        <v>134</v>
      </c>
      <c r="BI7" s="716"/>
      <c r="BJ7" s="521" t="s">
        <v>371</v>
      </c>
      <c r="BK7" s="714" t="s">
        <v>134</v>
      </c>
      <c r="BL7" s="716"/>
      <c r="BM7" s="521" t="s">
        <v>371</v>
      </c>
      <c r="BN7" s="714" t="s">
        <v>134</v>
      </c>
      <c r="BO7" s="716"/>
      <c r="BP7" s="521" t="s">
        <v>371</v>
      </c>
      <c r="BQ7" s="714" t="s">
        <v>134</v>
      </c>
      <c r="BR7" s="716"/>
      <c r="BS7" s="521" t="s">
        <v>371</v>
      </c>
      <c r="BT7" s="714" t="s">
        <v>134</v>
      </c>
      <c r="BU7" s="716"/>
      <c r="BV7" s="521" t="s">
        <v>371</v>
      </c>
      <c r="BW7" s="714" t="s">
        <v>134</v>
      </c>
      <c r="BX7" s="716"/>
      <c r="BY7" s="521" t="s">
        <v>371</v>
      </c>
      <c r="BZ7" s="714" t="s">
        <v>134</v>
      </c>
      <c r="CA7" s="716"/>
      <c r="CB7" s="521" t="s">
        <v>371</v>
      </c>
      <c r="CC7" s="714" t="s">
        <v>134</v>
      </c>
      <c r="CD7" s="716"/>
      <c r="CE7" s="521" t="s">
        <v>371</v>
      </c>
      <c r="CF7" s="714" t="s">
        <v>134</v>
      </c>
      <c r="CG7" s="716"/>
      <c r="CH7" s="521" t="s">
        <v>371</v>
      </c>
      <c r="CI7" s="714" t="s">
        <v>134</v>
      </c>
      <c r="CJ7" s="716"/>
      <c r="CK7" s="521" t="s">
        <v>371</v>
      </c>
      <c r="CL7" s="714" t="s">
        <v>134</v>
      </c>
      <c r="CM7" s="716"/>
      <c r="CN7" s="521" t="s">
        <v>371</v>
      </c>
      <c r="CO7" s="714" t="s">
        <v>134</v>
      </c>
      <c r="CP7" s="716"/>
      <c r="CQ7" s="521" t="s">
        <v>371</v>
      </c>
      <c r="CR7" s="714" t="s">
        <v>134</v>
      </c>
      <c r="CS7" s="716"/>
      <c r="CT7" s="521" t="s">
        <v>371</v>
      </c>
      <c r="CU7" s="714" t="s">
        <v>134</v>
      </c>
      <c r="CV7" s="716"/>
      <c r="CW7" s="521" t="s">
        <v>371</v>
      </c>
      <c r="CX7" s="714" t="s">
        <v>134</v>
      </c>
      <c r="CY7" s="716"/>
      <c r="CZ7" s="521" t="s">
        <v>371</v>
      </c>
      <c r="DA7" s="714" t="s">
        <v>134</v>
      </c>
      <c r="DB7" s="716"/>
      <c r="DC7" s="521" t="s">
        <v>371</v>
      </c>
      <c r="DD7" s="714" t="s">
        <v>134</v>
      </c>
      <c r="DE7" s="716"/>
      <c r="DF7" s="521" t="s">
        <v>371</v>
      </c>
      <c r="DG7" s="714" t="s">
        <v>134</v>
      </c>
      <c r="DH7" s="716"/>
      <c r="DI7" s="521" t="s">
        <v>371</v>
      </c>
      <c r="DJ7" s="714" t="s">
        <v>134</v>
      </c>
      <c r="DK7" s="716"/>
      <c r="DL7" s="521" t="s">
        <v>371</v>
      </c>
      <c r="DM7" s="714" t="s">
        <v>134</v>
      </c>
      <c r="DN7" s="716"/>
      <c r="DO7" s="521" t="s">
        <v>371</v>
      </c>
      <c r="DP7" s="714" t="s">
        <v>134</v>
      </c>
      <c r="DQ7" s="716"/>
      <c r="DR7" s="521" t="s">
        <v>371</v>
      </c>
      <c r="DS7" s="714" t="s">
        <v>134</v>
      </c>
      <c r="DT7" s="716"/>
      <c r="DU7" s="521" t="s">
        <v>371</v>
      </c>
      <c r="DV7" s="714" t="s">
        <v>134</v>
      </c>
      <c r="DW7" s="716"/>
      <c r="DX7" s="521" t="s">
        <v>371</v>
      </c>
      <c r="DY7" s="714" t="s">
        <v>134</v>
      </c>
      <c r="DZ7" s="716"/>
      <c r="EA7" s="521" t="s">
        <v>371</v>
      </c>
      <c r="EB7" s="714" t="s">
        <v>134</v>
      </c>
      <c r="EC7" s="716"/>
      <c r="ED7" s="521" t="s">
        <v>371</v>
      </c>
      <c r="EE7" s="714" t="s">
        <v>134</v>
      </c>
      <c r="EF7" s="716"/>
      <c r="EG7" s="521" t="s">
        <v>371</v>
      </c>
      <c r="EH7" s="714" t="s">
        <v>134</v>
      </c>
      <c r="EI7" s="716"/>
      <c r="EJ7" s="521" t="s">
        <v>371</v>
      </c>
      <c r="EK7" s="714" t="s">
        <v>134</v>
      </c>
      <c r="EL7" s="716"/>
      <c r="EM7" s="521" t="s">
        <v>371</v>
      </c>
      <c r="EN7" s="714" t="s">
        <v>134</v>
      </c>
      <c r="EO7" s="716"/>
      <c r="EP7" s="521" t="s">
        <v>371</v>
      </c>
      <c r="EQ7" s="714" t="s">
        <v>134</v>
      </c>
      <c r="ER7" s="716"/>
      <c r="ES7" s="521" t="s">
        <v>371</v>
      </c>
      <c r="ET7" s="714" t="s">
        <v>134</v>
      </c>
      <c r="EU7" s="716"/>
      <c r="EV7" s="521" t="s">
        <v>371</v>
      </c>
      <c r="EW7" s="714" t="s">
        <v>134</v>
      </c>
      <c r="EX7" s="716"/>
      <c r="EY7" s="521" t="s">
        <v>371</v>
      </c>
      <c r="EZ7" s="714" t="s">
        <v>134</v>
      </c>
      <c r="FA7" s="716"/>
      <c r="FB7" s="521" t="s">
        <v>371</v>
      </c>
      <c r="FC7" s="714" t="s">
        <v>134</v>
      </c>
      <c r="FD7" s="716"/>
      <c r="FE7" s="521" t="s">
        <v>371</v>
      </c>
      <c r="FF7" s="714" t="s">
        <v>134</v>
      </c>
      <c r="FG7" s="716"/>
      <c r="FH7" s="521" t="s">
        <v>371</v>
      </c>
      <c r="FI7" s="714" t="s">
        <v>134</v>
      </c>
      <c r="FJ7" s="716"/>
      <c r="FK7" s="521" t="s">
        <v>371</v>
      </c>
      <c r="FL7" s="714" t="s">
        <v>134</v>
      </c>
      <c r="FM7" s="716"/>
      <c r="FN7" s="521" t="s">
        <v>371</v>
      </c>
      <c r="FO7" s="714" t="s">
        <v>134</v>
      </c>
      <c r="FP7" s="716"/>
      <c r="FQ7" s="521" t="s">
        <v>371</v>
      </c>
      <c r="FR7" s="714" t="s">
        <v>134</v>
      </c>
      <c r="FS7" s="716"/>
      <c r="FT7" s="521" t="s">
        <v>371</v>
      </c>
      <c r="FU7" s="714" t="s">
        <v>134</v>
      </c>
      <c r="FV7" s="716"/>
      <c r="FW7" s="521" t="s">
        <v>371</v>
      </c>
      <c r="FX7" s="714" t="s">
        <v>134</v>
      </c>
      <c r="FY7" s="716"/>
      <c r="FZ7" s="521" t="s">
        <v>371</v>
      </c>
      <c r="GA7" s="714" t="s">
        <v>134</v>
      </c>
      <c r="GB7" s="716"/>
      <c r="GC7" s="521" t="s">
        <v>371</v>
      </c>
      <c r="GD7" s="714" t="s">
        <v>134</v>
      </c>
      <c r="GE7" s="716"/>
      <c r="GF7" s="521" t="s">
        <v>371</v>
      </c>
      <c r="GG7" s="714" t="s">
        <v>134</v>
      </c>
      <c r="GH7" s="716"/>
      <c r="GI7" s="521" t="s">
        <v>371</v>
      </c>
      <c r="GJ7" s="714" t="s">
        <v>134</v>
      </c>
      <c r="GK7" s="716"/>
      <c r="GL7" s="521" t="s">
        <v>371</v>
      </c>
      <c r="GM7" s="714" t="s">
        <v>134</v>
      </c>
      <c r="GN7" s="716"/>
      <c r="GO7" s="521" t="s">
        <v>371</v>
      </c>
      <c r="GP7" s="714" t="s">
        <v>134</v>
      </c>
      <c r="GQ7" s="716"/>
      <c r="GR7" s="521" t="s">
        <v>371</v>
      </c>
      <c r="GS7" s="714" t="s">
        <v>134</v>
      </c>
      <c r="GT7" s="716"/>
      <c r="GU7" s="521" t="s">
        <v>371</v>
      </c>
      <c r="GV7" s="714" t="s">
        <v>134</v>
      </c>
      <c r="GW7" s="716"/>
      <c r="GX7" s="521" t="s">
        <v>371</v>
      </c>
      <c r="GY7" s="714" t="s">
        <v>134</v>
      </c>
      <c r="GZ7" s="716"/>
      <c r="HA7" s="521" t="s">
        <v>371</v>
      </c>
      <c r="HB7" s="714" t="s">
        <v>134</v>
      </c>
      <c r="HC7" s="716"/>
      <c r="HD7" s="521" t="s">
        <v>371</v>
      </c>
      <c r="HE7" s="714" t="s">
        <v>134</v>
      </c>
      <c r="HF7" s="716"/>
      <c r="HG7" s="521" t="s">
        <v>371</v>
      </c>
      <c r="HH7" s="714" t="s">
        <v>134</v>
      </c>
      <c r="HI7" s="716"/>
      <c r="HJ7" s="521" t="s">
        <v>371</v>
      </c>
      <c r="HK7" s="714" t="s">
        <v>134</v>
      </c>
      <c r="HL7" s="716"/>
      <c r="HM7" s="521" t="s">
        <v>371</v>
      </c>
      <c r="HN7" s="714" t="s">
        <v>134</v>
      </c>
      <c r="HO7" s="716"/>
      <c r="HP7" s="521" t="s">
        <v>371</v>
      </c>
      <c r="HQ7" s="714" t="s">
        <v>134</v>
      </c>
      <c r="HR7" s="716"/>
      <c r="HS7" s="521" t="s">
        <v>371</v>
      </c>
      <c r="HT7" s="714" t="s">
        <v>134</v>
      </c>
      <c r="HU7" s="716"/>
      <c r="HV7" s="521" t="s">
        <v>371</v>
      </c>
      <c r="HW7" s="714" t="s">
        <v>134</v>
      </c>
      <c r="HX7" s="716"/>
      <c r="HY7" s="521" t="s">
        <v>371</v>
      </c>
      <c r="HZ7" s="714" t="s">
        <v>134</v>
      </c>
      <c r="IA7" s="716"/>
      <c r="IB7" s="521" t="s">
        <v>371</v>
      </c>
      <c r="IC7" s="714" t="s">
        <v>134</v>
      </c>
      <c r="ID7" s="716"/>
      <c r="IE7" s="521" t="s">
        <v>371</v>
      </c>
      <c r="IF7" s="714" t="s">
        <v>134</v>
      </c>
      <c r="IG7" s="716"/>
      <c r="IH7" s="521" t="s">
        <v>371</v>
      </c>
      <c r="II7" s="720" t="s">
        <v>134</v>
      </c>
      <c r="IJ7" s="720"/>
      <c r="IK7" s="522" t="s">
        <v>371</v>
      </c>
      <c r="IL7" s="714" t="s">
        <v>134</v>
      </c>
      <c r="IM7" s="716"/>
      <c r="IN7" s="521" t="s">
        <v>371</v>
      </c>
      <c r="IO7" s="714" t="s">
        <v>134</v>
      </c>
      <c r="IP7" s="716"/>
      <c r="IQ7" s="521" t="s">
        <v>371</v>
      </c>
      <c r="IR7" s="714" t="s">
        <v>134</v>
      </c>
      <c r="IS7" s="716"/>
      <c r="IT7" s="521" t="s">
        <v>371</v>
      </c>
      <c r="IU7" s="714" t="s">
        <v>134</v>
      </c>
      <c r="IV7" s="716"/>
      <c r="IW7" s="521" t="s">
        <v>371</v>
      </c>
      <c r="IX7" s="714" t="s">
        <v>134</v>
      </c>
      <c r="IY7" s="716"/>
      <c r="IZ7" s="521" t="s">
        <v>371</v>
      </c>
      <c r="JA7" s="714" t="s">
        <v>134</v>
      </c>
      <c r="JB7" s="716"/>
      <c r="JC7" s="521" t="s">
        <v>371</v>
      </c>
      <c r="JD7" s="714" t="s">
        <v>134</v>
      </c>
      <c r="JE7" s="716"/>
      <c r="JF7" s="521" t="s">
        <v>371</v>
      </c>
      <c r="JG7" s="714" t="s">
        <v>134</v>
      </c>
      <c r="JH7" s="716"/>
      <c r="JI7" s="521" t="s">
        <v>371</v>
      </c>
      <c r="JJ7" s="714" t="s">
        <v>134</v>
      </c>
      <c r="JK7" s="716"/>
      <c r="JL7" s="521" t="s">
        <v>371</v>
      </c>
      <c r="JM7" s="714" t="s">
        <v>134</v>
      </c>
      <c r="JN7" s="716"/>
      <c r="JO7" s="521" t="s">
        <v>371</v>
      </c>
      <c r="JP7" s="714" t="s">
        <v>134</v>
      </c>
      <c r="JQ7" s="716"/>
      <c r="JR7" s="521" t="s">
        <v>371</v>
      </c>
      <c r="JS7" s="714" t="s">
        <v>134</v>
      </c>
      <c r="JT7" s="716"/>
      <c r="JU7" s="521" t="s">
        <v>371</v>
      </c>
      <c r="JV7" s="714" t="s">
        <v>134</v>
      </c>
      <c r="JW7" s="716"/>
      <c r="JX7" s="521" t="s">
        <v>371</v>
      </c>
      <c r="JY7" s="714" t="s">
        <v>134</v>
      </c>
      <c r="JZ7" s="716"/>
      <c r="KA7" s="521" t="s">
        <v>371</v>
      </c>
      <c r="KB7" s="714" t="s">
        <v>134</v>
      </c>
      <c r="KC7" s="716"/>
      <c r="KD7" s="521" t="s">
        <v>371</v>
      </c>
      <c r="KE7" s="714" t="s">
        <v>134</v>
      </c>
      <c r="KF7" s="716"/>
      <c r="KG7" s="521" t="s">
        <v>371</v>
      </c>
      <c r="KH7" s="714" t="s">
        <v>134</v>
      </c>
      <c r="KI7" s="716"/>
      <c r="KJ7" s="521" t="s">
        <v>371</v>
      </c>
      <c r="KK7" s="714" t="s">
        <v>134</v>
      </c>
      <c r="KL7" s="716"/>
      <c r="KM7" s="521" t="s">
        <v>371</v>
      </c>
      <c r="KN7" s="714" t="s">
        <v>134</v>
      </c>
      <c r="KO7" s="716"/>
      <c r="KP7" s="521" t="s">
        <v>371</v>
      </c>
      <c r="KQ7" s="720" t="s">
        <v>134</v>
      </c>
      <c r="KR7" s="720"/>
      <c r="KS7" s="522" t="s">
        <v>371</v>
      </c>
      <c r="KT7" s="701"/>
      <c r="KU7" s="701"/>
    </row>
    <row r="8" spans="1:308" ht="13.5" thickBot="1">
      <c r="A8" s="704"/>
      <c r="B8" s="707"/>
      <c r="C8" s="707"/>
      <c r="D8" s="710"/>
      <c r="E8" s="713"/>
      <c r="F8" s="537" t="s">
        <v>136</v>
      </c>
      <c r="G8" s="537" t="s">
        <v>40</v>
      </c>
      <c r="H8" s="538"/>
      <c r="I8" s="537" t="s">
        <v>136</v>
      </c>
      <c r="J8" s="537" t="s">
        <v>40</v>
      </c>
      <c r="K8" s="538"/>
      <c r="L8" s="537" t="s">
        <v>136</v>
      </c>
      <c r="M8" s="537" t="s">
        <v>40</v>
      </c>
      <c r="N8" s="538"/>
      <c r="O8" s="537" t="s">
        <v>136</v>
      </c>
      <c r="P8" s="537" t="s">
        <v>40</v>
      </c>
      <c r="Q8" s="538"/>
      <c r="R8" s="537" t="s">
        <v>136</v>
      </c>
      <c r="S8" s="537" t="s">
        <v>40</v>
      </c>
      <c r="T8" s="538"/>
      <c r="U8" s="537" t="s">
        <v>136</v>
      </c>
      <c r="V8" s="537" t="s">
        <v>40</v>
      </c>
      <c r="W8" s="538"/>
      <c r="X8" s="537" t="s">
        <v>136</v>
      </c>
      <c r="Y8" s="537" t="s">
        <v>40</v>
      </c>
      <c r="Z8" s="538"/>
      <c r="AA8" s="537" t="s">
        <v>136</v>
      </c>
      <c r="AB8" s="537" t="s">
        <v>40</v>
      </c>
      <c r="AC8" s="538"/>
      <c r="AD8" s="537" t="s">
        <v>136</v>
      </c>
      <c r="AE8" s="537" t="s">
        <v>40</v>
      </c>
      <c r="AF8" s="538"/>
      <c r="AG8" s="537" t="s">
        <v>136</v>
      </c>
      <c r="AH8" s="537" t="s">
        <v>40</v>
      </c>
      <c r="AI8" s="538"/>
      <c r="AJ8" s="537" t="s">
        <v>136</v>
      </c>
      <c r="AK8" s="537" t="s">
        <v>40</v>
      </c>
      <c r="AL8" s="538"/>
      <c r="AM8" s="537" t="s">
        <v>136</v>
      </c>
      <c r="AN8" s="537" t="s">
        <v>40</v>
      </c>
      <c r="AO8" s="538"/>
      <c r="AP8" s="537" t="s">
        <v>136</v>
      </c>
      <c r="AQ8" s="537" t="s">
        <v>40</v>
      </c>
      <c r="AR8" s="538"/>
      <c r="AS8" s="537" t="s">
        <v>136</v>
      </c>
      <c r="AT8" s="537" t="s">
        <v>40</v>
      </c>
      <c r="AU8" s="538"/>
      <c r="AV8" s="537" t="s">
        <v>136</v>
      </c>
      <c r="AW8" s="537" t="s">
        <v>40</v>
      </c>
      <c r="AX8" s="538"/>
      <c r="AY8" s="537" t="s">
        <v>136</v>
      </c>
      <c r="AZ8" s="537" t="s">
        <v>40</v>
      </c>
      <c r="BA8" s="538"/>
      <c r="BB8" s="537" t="s">
        <v>136</v>
      </c>
      <c r="BC8" s="537" t="s">
        <v>40</v>
      </c>
      <c r="BD8" s="538"/>
      <c r="BE8" s="537" t="s">
        <v>136</v>
      </c>
      <c r="BF8" s="537" t="s">
        <v>40</v>
      </c>
      <c r="BG8" s="538"/>
      <c r="BH8" s="537" t="s">
        <v>136</v>
      </c>
      <c r="BI8" s="537" t="s">
        <v>40</v>
      </c>
      <c r="BJ8" s="538"/>
      <c r="BK8" s="537" t="s">
        <v>136</v>
      </c>
      <c r="BL8" s="537" t="s">
        <v>40</v>
      </c>
      <c r="BM8" s="538"/>
      <c r="BN8" s="537" t="s">
        <v>136</v>
      </c>
      <c r="BO8" s="537" t="s">
        <v>40</v>
      </c>
      <c r="BP8" s="538"/>
      <c r="BQ8" s="537" t="s">
        <v>136</v>
      </c>
      <c r="BR8" s="537" t="s">
        <v>40</v>
      </c>
      <c r="BS8" s="538"/>
      <c r="BT8" s="537" t="s">
        <v>136</v>
      </c>
      <c r="BU8" s="537" t="s">
        <v>40</v>
      </c>
      <c r="BV8" s="538"/>
      <c r="BW8" s="537" t="s">
        <v>136</v>
      </c>
      <c r="BX8" s="537" t="s">
        <v>40</v>
      </c>
      <c r="BY8" s="538"/>
      <c r="BZ8" s="537" t="s">
        <v>136</v>
      </c>
      <c r="CA8" s="537" t="s">
        <v>40</v>
      </c>
      <c r="CB8" s="538"/>
      <c r="CC8" s="537" t="s">
        <v>136</v>
      </c>
      <c r="CD8" s="537" t="s">
        <v>40</v>
      </c>
      <c r="CE8" s="538"/>
      <c r="CF8" s="537" t="s">
        <v>136</v>
      </c>
      <c r="CG8" s="537" t="s">
        <v>40</v>
      </c>
      <c r="CH8" s="538"/>
      <c r="CI8" s="537" t="s">
        <v>136</v>
      </c>
      <c r="CJ8" s="537" t="s">
        <v>40</v>
      </c>
      <c r="CK8" s="538"/>
      <c r="CL8" s="537" t="s">
        <v>136</v>
      </c>
      <c r="CM8" s="537" t="s">
        <v>40</v>
      </c>
      <c r="CN8" s="538"/>
      <c r="CO8" s="537" t="s">
        <v>136</v>
      </c>
      <c r="CP8" s="537" t="s">
        <v>40</v>
      </c>
      <c r="CQ8" s="538"/>
      <c r="CR8" s="537" t="s">
        <v>136</v>
      </c>
      <c r="CS8" s="537" t="s">
        <v>40</v>
      </c>
      <c r="CT8" s="538"/>
      <c r="CU8" s="537" t="s">
        <v>136</v>
      </c>
      <c r="CV8" s="537" t="s">
        <v>40</v>
      </c>
      <c r="CW8" s="538"/>
      <c r="CX8" s="537" t="s">
        <v>136</v>
      </c>
      <c r="CY8" s="537" t="s">
        <v>40</v>
      </c>
      <c r="CZ8" s="538"/>
      <c r="DA8" s="537" t="s">
        <v>136</v>
      </c>
      <c r="DB8" s="537" t="s">
        <v>40</v>
      </c>
      <c r="DC8" s="538"/>
      <c r="DD8" s="537" t="s">
        <v>136</v>
      </c>
      <c r="DE8" s="537" t="s">
        <v>40</v>
      </c>
      <c r="DF8" s="538"/>
      <c r="DG8" s="537" t="s">
        <v>136</v>
      </c>
      <c r="DH8" s="537" t="s">
        <v>40</v>
      </c>
      <c r="DI8" s="538"/>
      <c r="DJ8" s="537" t="s">
        <v>136</v>
      </c>
      <c r="DK8" s="537" t="s">
        <v>40</v>
      </c>
      <c r="DL8" s="538"/>
      <c r="DM8" s="537" t="s">
        <v>136</v>
      </c>
      <c r="DN8" s="537" t="s">
        <v>40</v>
      </c>
      <c r="DO8" s="538"/>
      <c r="DP8" s="537" t="s">
        <v>136</v>
      </c>
      <c r="DQ8" s="537" t="s">
        <v>40</v>
      </c>
      <c r="DR8" s="538"/>
      <c r="DS8" s="537" t="s">
        <v>136</v>
      </c>
      <c r="DT8" s="537" t="s">
        <v>40</v>
      </c>
      <c r="DU8" s="538"/>
      <c r="DV8" s="537" t="s">
        <v>136</v>
      </c>
      <c r="DW8" s="537" t="s">
        <v>40</v>
      </c>
      <c r="DX8" s="538"/>
      <c r="DY8" s="537" t="s">
        <v>136</v>
      </c>
      <c r="DZ8" s="537" t="s">
        <v>40</v>
      </c>
      <c r="EA8" s="538"/>
      <c r="EB8" s="537" t="s">
        <v>136</v>
      </c>
      <c r="EC8" s="537" t="s">
        <v>40</v>
      </c>
      <c r="ED8" s="521"/>
      <c r="EE8" s="537" t="s">
        <v>136</v>
      </c>
      <c r="EF8" s="537" t="s">
        <v>40</v>
      </c>
      <c r="EG8" s="538"/>
      <c r="EH8" s="537" t="s">
        <v>136</v>
      </c>
      <c r="EI8" s="537" t="s">
        <v>40</v>
      </c>
      <c r="EJ8" s="538"/>
      <c r="EK8" s="537" t="s">
        <v>136</v>
      </c>
      <c r="EL8" s="537" t="s">
        <v>40</v>
      </c>
      <c r="EM8" s="538"/>
      <c r="EN8" s="537" t="s">
        <v>136</v>
      </c>
      <c r="EO8" s="537" t="s">
        <v>40</v>
      </c>
      <c r="EP8" s="538"/>
      <c r="EQ8" s="537" t="s">
        <v>136</v>
      </c>
      <c r="ER8" s="537" t="s">
        <v>40</v>
      </c>
      <c r="ES8" s="538"/>
      <c r="ET8" s="537" t="s">
        <v>136</v>
      </c>
      <c r="EU8" s="537" t="s">
        <v>40</v>
      </c>
      <c r="EV8" s="538"/>
      <c r="EW8" s="537" t="s">
        <v>136</v>
      </c>
      <c r="EX8" s="537" t="s">
        <v>40</v>
      </c>
      <c r="EY8" s="538"/>
      <c r="EZ8" s="537" t="s">
        <v>136</v>
      </c>
      <c r="FA8" s="537" t="s">
        <v>40</v>
      </c>
      <c r="FB8" s="538"/>
      <c r="FC8" s="537" t="s">
        <v>136</v>
      </c>
      <c r="FD8" s="537" t="s">
        <v>40</v>
      </c>
      <c r="FE8" s="538"/>
      <c r="FF8" s="537" t="s">
        <v>136</v>
      </c>
      <c r="FG8" s="537" t="s">
        <v>40</v>
      </c>
      <c r="FH8" s="538"/>
      <c r="FI8" s="537" t="s">
        <v>136</v>
      </c>
      <c r="FJ8" s="537" t="s">
        <v>40</v>
      </c>
      <c r="FK8" s="538"/>
      <c r="FL8" s="537" t="s">
        <v>136</v>
      </c>
      <c r="FM8" s="537" t="s">
        <v>40</v>
      </c>
      <c r="FN8" s="538"/>
      <c r="FO8" s="537" t="s">
        <v>136</v>
      </c>
      <c r="FP8" s="537" t="s">
        <v>40</v>
      </c>
      <c r="FQ8" s="538"/>
      <c r="FR8" s="537" t="s">
        <v>136</v>
      </c>
      <c r="FS8" s="537" t="s">
        <v>40</v>
      </c>
      <c r="FT8" s="538"/>
      <c r="FU8" s="537" t="s">
        <v>136</v>
      </c>
      <c r="FV8" s="537" t="s">
        <v>40</v>
      </c>
      <c r="FW8" s="538"/>
      <c r="FX8" s="537" t="s">
        <v>136</v>
      </c>
      <c r="FY8" s="537" t="s">
        <v>40</v>
      </c>
      <c r="FZ8" s="538"/>
      <c r="GA8" s="537" t="s">
        <v>136</v>
      </c>
      <c r="GB8" s="537" t="s">
        <v>40</v>
      </c>
      <c r="GC8" s="538"/>
      <c r="GD8" s="537" t="s">
        <v>136</v>
      </c>
      <c r="GE8" s="537" t="s">
        <v>40</v>
      </c>
      <c r="GF8" s="538"/>
      <c r="GG8" s="537" t="s">
        <v>136</v>
      </c>
      <c r="GH8" s="537" t="s">
        <v>40</v>
      </c>
      <c r="GI8" s="538"/>
      <c r="GJ8" s="537" t="s">
        <v>136</v>
      </c>
      <c r="GK8" s="537" t="s">
        <v>40</v>
      </c>
      <c r="GL8" s="538"/>
      <c r="GM8" s="537" t="s">
        <v>136</v>
      </c>
      <c r="GN8" s="537" t="s">
        <v>40</v>
      </c>
      <c r="GO8" s="538"/>
      <c r="GP8" s="537" t="s">
        <v>136</v>
      </c>
      <c r="GQ8" s="537" t="s">
        <v>40</v>
      </c>
      <c r="GR8" s="538"/>
      <c r="GS8" s="537" t="s">
        <v>136</v>
      </c>
      <c r="GT8" s="537" t="s">
        <v>40</v>
      </c>
      <c r="GU8" s="538"/>
      <c r="GV8" s="537" t="s">
        <v>136</v>
      </c>
      <c r="GW8" s="537" t="s">
        <v>40</v>
      </c>
      <c r="GX8" s="538"/>
      <c r="GY8" s="537" t="s">
        <v>136</v>
      </c>
      <c r="GZ8" s="537" t="s">
        <v>40</v>
      </c>
      <c r="HA8" s="538"/>
      <c r="HB8" s="537" t="s">
        <v>136</v>
      </c>
      <c r="HC8" s="537" t="s">
        <v>40</v>
      </c>
      <c r="HD8" s="538"/>
      <c r="HE8" s="537" t="s">
        <v>136</v>
      </c>
      <c r="HF8" s="537" t="s">
        <v>40</v>
      </c>
      <c r="HG8" s="538"/>
      <c r="HH8" s="537" t="s">
        <v>136</v>
      </c>
      <c r="HI8" s="537" t="s">
        <v>40</v>
      </c>
      <c r="HJ8" s="538"/>
      <c r="HK8" s="537" t="s">
        <v>136</v>
      </c>
      <c r="HL8" s="537" t="s">
        <v>40</v>
      </c>
      <c r="HM8" s="538"/>
      <c r="HN8" s="537" t="s">
        <v>136</v>
      </c>
      <c r="HO8" s="537" t="s">
        <v>40</v>
      </c>
      <c r="HP8" s="538"/>
      <c r="HQ8" s="537" t="s">
        <v>136</v>
      </c>
      <c r="HR8" s="537" t="s">
        <v>40</v>
      </c>
      <c r="HS8" s="538"/>
      <c r="HT8" s="537" t="s">
        <v>136</v>
      </c>
      <c r="HU8" s="537" t="s">
        <v>40</v>
      </c>
      <c r="HV8" s="538"/>
      <c r="HW8" s="537" t="s">
        <v>136</v>
      </c>
      <c r="HX8" s="537" t="s">
        <v>40</v>
      </c>
      <c r="HY8" s="538"/>
      <c r="HZ8" s="537" t="s">
        <v>136</v>
      </c>
      <c r="IA8" s="537" t="s">
        <v>40</v>
      </c>
      <c r="IB8" s="538"/>
      <c r="IC8" s="537" t="s">
        <v>136</v>
      </c>
      <c r="ID8" s="537" t="s">
        <v>40</v>
      </c>
      <c r="IE8" s="538"/>
      <c r="IF8" s="537" t="s">
        <v>136</v>
      </c>
      <c r="IG8" s="537" t="s">
        <v>40</v>
      </c>
      <c r="IH8" s="538"/>
      <c r="II8" s="537" t="s">
        <v>136</v>
      </c>
      <c r="IJ8" s="537" t="s">
        <v>40</v>
      </c>
      <c r="IK8" s="538"/>
      <c r="IL8" s="537" t="s">
        <v>136</v>
      </c>
      <c r="IM8" s="537" t="s">
        <v>40</v>
      </c>
      <c r="IN8" s="538"/>
      <c r="IO8" s="537" t="s">
        <v>136</v>
      </c>
      <c r="IP8" s="537" t="s">
        <v>40</v>
      </c>
      <c r="IQ8" s="538"/>
      <c r="IR8" s="537" t="s">
        <v>136</v>
      </c>
      <c r="IS8" s="537" t="s">
        <v>40</v>
      </c>
      <c r="IT8" s="538"/>
      <c r="IU8" s="537" t="s">
        <v>136</v>
      </c>
      <c r="IV8" s="537" t="s">
        <v>40</v>
      </c>
      <c r="IW8" s="538"/>
      <c r="IX8" s="537" t="s">
        <v>136</v>
      </c>
      <c r="IY8" s="537" t="s">
        <v>40</v>
      </c>
      <c r="IZ8" s="538"/>
      <c r="JA8" s="537" t="s">
        <v>136</v>
      </c>
      <c r="JB8" s="537" t="s">
        <v>40</v>
      </c>
      <c r="JC8" s="538"/>
      <c r="JD8" s="537" t="s">
        <v>136</v>
      </c>
      <c r="JE8" s="537" t="s">
        <v>40</v>
      </c>
      <c r="JF8" s="538"/>
      <c r="JG8" s="537" t="s">
        <v>136</v>
      </c>
      <c r="JH8" s="537" t="s">
        <v>40</v>
      </c>
      <c r="JI8" s="538"/>
      <c r="JJ8" s="537" t="s">
        <v>136</v>
      </c>
      <c r="JK8" s="537" t="s">
        <v>40</v>
      </c>
      <c r="JL8" s="538" t="s">
        <v>384</v>
      </c>
      <c r="JM8" s="537" t="s">
        <v>136</v>
      </c>
      <c r="JN8" s="537" t="s">
        <v>40</v>
      </c>
      <c r="JO8" s="538" t="s">
        <v>384</v>
      </c>
      <c r="JP8" s="537" t="s">
        <v>136</v>
      </c>
      <c r="JQ8" s="537" t="s">
        <v>40</v>
      </c>
      <c r="JR8" s="538" t="s">
        <v>384</v>
      </c>
      <c r="JS8" s="537" t="s">
        <v>136</v>
      </c>
      <c r="JT8" s="537" t="s">
        <v>40</v>
      </c>
      <c r="JU8" s="538" t="s">
        <v>384</v>
      </c>
      <c r="JV8" s="537" t="s">
        <v>136</v>
      </c>
      <c r="JW8" s="537" t="s">
        <v>40</v>
      </c>
      <c r="JX8" s="538" t="s">
        <v>384</v>
      </c>
      <c r="JY8" s="537" t="s">
        <v>136</v>
      </c>
      <c r="JZ8" s="537" t="s">
        <v>40</v>
      </c>
      <c r="KA8" s="538" t="s">
        <v>384</v>
      </c>
      <c r="KB8" s="537" t="s">
        <v>136</v>
      </c>
      <c r="KC8" s="537" t="s">
        <v>40</v>
      </c>
      <c r="KD8" s="538" t="s">
        <v>384</v>
      </c>
      <c r="KE8" s="537" t="s">
        <v>136</v>
      </c>
      <c r="KF8" s="537" t="s">
        <v>40</v>
      </c>
      <c r="KG8" s="538" t="s">
        <v>384</v>
      </c>
      <c r="KH8" s="537" t="s">
        <v>136</v>
      </c>
      <c r="KI8" s="537" t="s">
        <v>40</v>
      </c>
      <c r="KJ8" s="538" t="s">
        <v>384</v>
      </c>
      <c r="KK8" s="537" t="s">
        <v>136</v>
      </c>
      <c r="KL8" s="537" t="s">
        <v>40</v>
      </c>
      <c r="KM8" s="538" t="s">
        <v>384</v>
      </c>
      <c r="KN8" s="537" t="s">
        <v>136</v>
      </c>
      <c r="KO8" s="537" t="s">
        <v>40</v>
      </c>
      <c r="KP8" s="538" t="s">
        <v>384</v>
      </c>
      <c r="KQ8" s="537" t="s">
        <v>136</v>
      </c>
      <c r="KR8" s="537" t="s">
        <v>40</v>
      </c>
      <c r="KS8" s="538" t="s">
        <v>384</v>
      </c>
      <c r="KT8" s="701"/>
      <c r="KU8" s="701"/>
    </row>
    <row r="9" spans="1:308">
      <c r="A9" s="262">
        <f>+Report1!A9</f>
        <v>46113</v>
      </c>
      <c r="B9" s="263" t="str">
        <f>+Report1!B9</f>
        <v>Facial</v>
      </c>
      <c r="C9" s="263">
        <f>+Report1!C9</f>
        <v>11.5</v>
      </c>
      <c r="D9" s="264">
        <f>+Report1!P9</f>
        <v>36.92</v>
      </c>
      <c r="E9" s="556">
        <f>+Report1!R9</f>
        <v>34.951000000000001</v>
      </c>
      <c r="F9" s="523"/>
      <c r="G9" s="524">
        <f t="shared" ref="G9:G39" si="0">+F9/$E9</f>
        <v>0</v>
      </c>
      <c r="H9" s="525">
        <f>+F9*$H$8</f>
        <v>0</v>
      </c>
      <c r="I9" s="523">
        <v>267.44186046511641</v>
      </c>
      <c r="J9" s="524">
        <f t="shared" ref="J9:J39" si="1">+I9/$E9</f>
        <v>7.6519086854486682</v>
      </c>
      <c r="K9" s="525">
        <f>+I9*$H$8</f>
        <v>0</v>
      </c>
      <c r="L9" s="523"/>
      <c r="M9" s="524">
        <f t="shared" ref="M9:M39" si="2">+L9/$E9</f>
        <v>0</v>
      </c>
      <c r="N9" s="525">
        <f>+L9*$H$8</f>
        <v>0</v>
      </c>
      <c r="O9" s="523">
        <v>5.9999999999999716</v>
      </c>
      <c r="P9" s="524">
        <f t="shared" ref="P9:P39" si="3">+O9/$E9</f>
        <v>0.1716689078996301</v>
      </c>
      <c r="Q9" s="525">
        <f>+O9*$H$8</f>
        <v>0</v>
      </c>
      <c r="R9" s="523"/>
      <c r="S9" s="524">
        <f t="shared" ref="S9:S39" si="4">+R9/$E9</f>
        <v>0</v>
      </c>
      <c r="T9" s="525">
        <f>+R9*$H$8</f>
        <v>0</v>
      </c>
      <c r="U9" s="523">
        <v>7.6875000000000071</v>
      </c>
      <c r="V9" s="524">
        <f t="shared" ref="V9:V39" si="5">+U9/$E9</f>
        <v>0.2199507882464023</v>
      </c>
      <c r="W9" s="525">
        <f>+U9*$H$8</f>
        <v>0</v>
      </c>
      <c r="X9" s="523"/>
      <c r="Y9" s="524">
        <f t="shared" ref="Y9:Y39" si="6">+X9/$E9</f>
        <v>0</v>
      </c>
      <c r="Z9" s="525">
        <f>+X9*$H$8</f>
        <v>0</v>
      </c>
      <c r="AA9" s="523">
        <v>9.375</v>
      </c>
      <c r="AB9" s="524">
        <f t="shared" ref="AB9:AB39" si="7">+AA9/$E9</f>
        <v>0.2682326685931733</v>
      </c>
      <c r="AC9" s="525">
        <f>+AA9*$H$8</f>
        <v>0</v>
      </c>
      <c r="AD9" s="523"/>
      <c r="AE9" s="524">
        <f t="shared" ref="AE9:AE39" si="8">+AD9/$E9</f>
        <v>0</v>
      </c>
      <c r="AF9" s="525">
        <f>+AD9*$H$8</f>
        <v>0</v>
      </c>
      <c r="AG9" s="523"/>
      <c r="AH9" s="524">
        <f t="shared" ref="AH9:AH39" si="9">+AG9/$E9</f>
        <v>0</v>
      </c>
      <c r="AI9" s="525">
        <f>+AG9*$H$8</f>
        <v>0</v>
      </c>
      <c r="AJ9" s="523"/>
      <c r="AK9" s="524">
        <f t="shared" ref="AK9:AK39" si="10">+AJ9/$E9</f>
        <v>0</v>
      </c>
      <c r="AL9" s="525">
        <f>+AJ9*$H$8</f>
        <v>0</v>
      </c>
      <c r="AM9" s="523"/>
      <c r="AN9" s="524">
        <f t="shared" ref="AN9:AN39" si="11">+AM9/$E9</f>
        <v>0</v>
      </c>
      <c r="AO9" s="525">
        <f>+AM9*$H$8</f>
        <v>0</v>
      </c>
      <c r="AP9" s="523"/>
      <c r="AQ9" s="524">
        <f t="shared" ref="AQ9:AQ39" si="12">+AP9/$E9</f>
        <v>0</v>
      </c>
      <c r="AR9" s="525">
        <f>+AP9*$H$8</f>
        <v>0</v>
      </c>
      <c r="AS9" s="523"/>
      <c r="AT9" s="524">
        <f t="shared" ref="AT9:AT39" si="13">+AS9/$E9</f>
        <v>0</v>
      </c>
      <c r="AU9" s="525">
        <f>+AS9*$H$8</f>
        <v>0</v>
      </c>
      <c r="AV9" s="523"/>
      <c r="AW9" s="524">
        <f t="shared" ref="AW9:AW39" si="14">+AV9/$E9</f>
        <v>0</v>
      </c>
      <c r="AX9" s="525">
        <f>+AV9*$H$8</f>
        <v>0</v>
      </c>
      <c r="AY9" s="523"/>
      <c r="AZ9" s="524">
        <f t="shared" ref="AZ9:AZ39" si="15">+AY9/$E9</f>
        <v>0</v>
      </c>
      <c r="BA9" s="525">
        <f>+AY9*$H$8</f>
        <v>0</v>
      </c>
      <c r="BB9" s="523"/>
      <c r="BC9" s="524">
        <f t="shared" ref="BC9:BC39" si="16">+BB9/$E9</f>
        <v>0</v>
      </c>
      <c r="BD9" s="525">
        <f>+BB9*$H$8</f>
        <v>0</v>
      </c>
      <c r="BE9" s="523"/>
      <c r="BF9" s="524">
        <f t="shared" ref="BF9:BF39" si="17">+BE9/$E9</f>
        <v>0</v>
      </c>
      <c r="BG9" s="525">
        <f>+BE9*$H$8</f>
        <v>0</v>
      </c>
      <c r="BH9" s="523"/>
      <c r="BI9" s="524">
        <f t="shared" ref="BI9:BI39" si="18">+BH9/$E9</f>
        <v>0</v>
      </c>
      <c r="BJ9" s="525">
        <f>+BH9*$H$8</f>
        <v>0</v>
      </c>
      <c r="BK9" s="523"/>
      <c r="BL9" s="524">
        <f t="shared" ref="BL9:BL39" si="19">+BK9/$E9</f>
        <v>0</v>
      </c>
      <c r="BM9" s="525">
        <f>+BK9*$H$8</f>
        <v>0</v>
      </c>
      <c r="BN9" s="523"/>
      <c r="BO9" s="524">
        <f t="shared" ref="BO9:BO39" si="20">+BN9/$E9</f>
        <v>0</v>
      </c>
      <c r="BP9" s="525">
        <f>+BN9*$H$8</f>
        <v>0</v>
      </c>
      <c r="BQ9" s="523">
        <v>91.139240506329202</v>
      </c>
      <c r="BR9" s="524">
        <f t="shared" ref="BR9:BR39" si="21">+BQ9/$E9</f>
        <v>2.6076289807538897</v>
      </c>
      <c r="BS9" s="525">
        <f>+BQ9*$H$8</f>
        <v>0</v>
      </c>
      <c r="BT9" s="523"/>
      <c r="BU9" s="524">
        <f t="shared" ref="BU9:BU39" si="22">+BT9/$E9</f>
        <v>0</v>
      </c>
      <c r="BV9" s="525">
        <f>+BT9*$H$8</f>
        <v>0</v>
      </c>
      <c r="BW9" s="523"/>
      <c r="BX9" s="524">
        <f t="shared" ref="BX9:BX39" si="23">+BW9/$E9</f>
        <v>0</v>
      </c>
      <c r="BY9" s="525">
        <f>+BW9*$H$8</f>
        <v>0</v>
      </c>
      <c r="BZ9" s="523"/>
      <c r="CA9" s="524">
        <f t="shared" ref="CA9:CA39" si="24">+BZ9/$E9</f>
        <v>0</v>
      </c>
      <c r="CB9" s="525">
        <f>+BZ9*$H$8</f>
        <v>0</v>
      </c>
      <c r="CC9" s="523"/>
      <c r="CD9" s="524">
        <f t="shared" ref="CD9:CD39" si="25">+CC9/$E9</f>
        <v>0</v>
      </c>
      <c r="CE9" s="525">
        <f>+CC9*$H$8</f>
        <v>0</v>
      </c>
      <c r="CF9" s="523">
        <v>0.5</v>
      </c>
      <c r="CG9" s="524">
        <f t="shared" ref="CG9:CG39" si="26">+CF9/$E9</f>
        <v>1.4305742324969242E-2</v>
      </c>
      <c r="CH9" s="525">
        <f>+CF9*$H$8</f>
        <v>0</v>
      </c>
      <c r="CI9" s="523"/>
      <c r="CJ9" s="524">
        <f t="shared" ref="CJ9:CJ39" si="27">+CI9/$E9</f>
        <v>0</v>
      </c>
      <c r="CK9" s="525">
        <f>+CI9*$H$8</f>
        <v>0</v>
      </c>
      <c r="CL9" s="523"/>
      <c r="CM9" s="524">
        <f t="shared" ref="CM9:CM39" si="28">+CL9/$E9</f>
        <v>0</v>
      </c>
      <c r="CN9" s="525">
        <f>+CL9*$H$8</f>
        <v>0</v>
      </c>
      <c r="CO9" s="523"/>
      <c r="CP9" s="524">
        <f t="shared" ref="CP9:CP39" si="29">+CO9/$E9</f>
        <v>0</v>
      </c>
      <c r="CQ9" s="525">
        <f>+CO9*$H$8</f>
        <v>0</v>
      </c>
      <c r="CR9" s="523"/>
      <c r="CS9" s="524">
        <f t="shared" ref="CS9:CS39" si="30">+CR9/$E9</f>
        <v>0</v>
      </c>
      <c r="CT9" s="525">
        <f>+CR9*$H$8</f>
        <v>0</v>
      </c>
      <c r="CU9" s="523"/>
      <c r="CV9" s="524">
        <f t="shared" ref="CV9:CV39" si="31">+CU9/$E9</f>
        <v>0</v>
      </c>
      <c r="CW9" s="525">
        <f>+CU9*$H$8</f>
        <v>0</v>
      </c>
      <c r="CX9" s="523"/>
      <c r="CY9" s="524">
        <f t="shared" ref="CY9:CY39" si="32">+CX9/$E9</f>
        <v>0</v>
      </c>
      <c r="CZ9" s="525">
        <f>+CX9*$H$8</f>
        <v>0</v>
      </c>
      <c r="DA9" s="523"/>
      <c r="DB9" s="524">
        <f t="shared" ref="DB9:DB39" si="33">+DA9/$E9</f>
        <v>0</v>
      </c>
      <c r="DC9" s="525">
        <f>+DA9*$H$8</f>
        <v>0</v>
      </c>
      <c r="DD9" s="523"/>
      <c r="DE9" s="524">
        <f t="shared" ref="DE9:DE39" si="34">+DD9/$E9</f>
        <v>0</v>
      </c>
      <c r="DF9" s="525">
        <f>+DD9*$H$8</f>
        <v>0</v>
      </c>
      <c r="DG9" s="523"/>
      <c r="DH9" s="524">
        <f t="shared" ref="DH9:DH39" si="35">+DG9/$E9</f>
        <v>0</v>
      </c>
      <c r="DI9" s="525">
        <v>0</v>
      </c>
      <c r="DJ9" s="523"/>
      <c r="DK9" s="524">
        <f t="shared" ref="DK9:DK39" si="36">+DJ9/$E9</f>
        <v>0</v>
      </c>
      <c r="DL9" s="525">
        <f>+DJ9*$H$8</f>
        <v>0</v>
      </c>
      <c r="DM9" s="523"/>
      <c r="DN9" s="524">
        <f t="shared" ref="DN9:DN39" si="37">+DM9/$E9</f>
        <v>0</v>
      </c>
      <c r="DO9" s="525">
        <f>+DM9*$H$8</f>
        <v>0</v>
      </c>
      <c r="DP9" s="523"/>
      <c r="DQ9" s="524">
        <f t="shared" ref="DQ9:DQ39" si="38">+DP9/$E9</f>
        <v>0</v>
      </c>
      <c r="DR9" s="525">
        <f>+DP9*$H$8</f>
        <v>0</v>
      </c>
      <c r="DS9" s="523"/>
      <c r="DT9" s="524">
        <f t="shared" ref="DT9:DT39" si="39">+DS9/$E9</f>
        <v>0</v>
      </c>
      <c r="DU9" s="525">
        <f>+DS9*$H$8</f>
        <v>0</v>
      </c>
      <c r="DV9" s="523"/>
      <c r="DW9" s="524">
        <f t="shared" ref="DW9:DW39" si="40">+DV9/$E9</f>
        <v>0</v>
      </c>
      <c r="DX9" s="525">
        <f>+DV9*$H$8</f>
        <v>0</v>
      </c>
      <c r="DY9" s="523"/>
      <c r="DZ9" s="524">
        <f t="shared" ref="DZ9:DZ39" si="41">+DY9/$E9</f>
        <v>0</v>
      </c>
      <c r="EA9" s="525">
        <f>+DY9*$H$8</f>
        <v>0</v>
      </c>
      <c r="EB9" s="523"/>
      <c r="EC9" s="524">
        <f t="shared" ref="EC9:EC39" si="42">+EB9/$E9</f>
        <v>0</v>
      </c>
      <c r="ED9" s="525">
        <f>+EB9*$H$8</f>
        <v>0</v>
      </c>
      <c r="EE9" s="523">
        <v>21.802325581395394</v>
      </c>
      <c r="EF9" s="524">
        <f t="shared" ref="EF9:EF39" si="43">+EE9/$E9</f>
        <v>0.62379690370505547</v>
      </c>
      <c r="EG9" s="525">
        <f>+EE9*$H$8</f>
        <v>0</v>
      </c>
      <c r="EH9" s="523">
        <v>70.447058823529346</v>
      </c>
      <c r="EI9" s="524">
        <f t="shared" ref="EI9:EI39" si="44">+EH9/$E9</f>
        <v>2.0155949421627235</v>
      </c>
      <c r="EJ9" s="525">
        <f>+EH9*$H$8</f>
        <v>0</v>
      </c>
      <c r="EK9" s="523">
        <v>3</v>
      </c>
      <c r="EL9" s="524">
        <f t="shared" ref="EL9:EL39" si="45">+EK9/$E9</f>
        <v>8.5834453949815454E-2</v>
      </c>
      <c r="EM9" s="525">
        <f>+EK9*$H$8</f>
        <v>0</v>
      </c>
      <c r="EN9" s="523">
        <v>42.68292682926824</v>
      </c>
      <c r="EO9" s="524">
        <f t="shared" ref="EO9:EO39" si="46">+EN9/$E9</f>
        <v>1.2212219057900557</v>
      </c>
      <c r="EP9" s="525">
        <f>+EN9*$H$8</f>
        <v>0</v>
      </c>
      <c r="EQ9" s="523">
        <v>49.418604651162696</v>
      </c>
      <c r="ER9" s="524">
        <f t="shared" ref="ER9:ER39" si="47">+EQ9/$E9</f>
        <v>1.4139396483981201</v>
      </c>
      <c r="ES9" s="525">
        <f>+EQ9*$H$8</f>
        <v>0</v>
      </c>
      <c r="ET9" s="523"/>
      <c r="EU9" s="524">
        <f t="shared" ref="EU9:EU39" si="48">+ET9/$E9</f>
        <v>0</v>
      </c>
      <c r="EV9" s="525">
        <f>+ET9*$H$8</f>
        <v>0</v>
      </c>
      <c r="EW9" s="523"/>
      <c r="EX9" s="524">
        <f t="shared" ref="EX9:EX39" si="49">+EW9/$E9</f>
        <v>0</v>
      </c>
      <c r="EY9" s="525">
        <f>+EW9*$H$8</f>
        <v>0</v>
      </c>
      <c r="EZ9" s="523"/>
      <c r="FA9" s="524">
        <f t="shared" ref="FA9:FA39" si="50">+EZ9/$E9</f>
        <v>0</v>
      </c>
      <c r="FB9" s="525">
        <f>+EZ9*$H$8</f>
        <v>0</v>
      </c>
      <c r="FC9" s="523"/>
      <c r="FD9" s="524">
        <f t="shared" ref="FD9:FD39" si="51">+FC9/$E9</f>
        <v>0</v>
      </c>
      <c r="FE9" s="525">
        <f>+FC9*$H$8</f>
        <v>0</v>
      </c>
      <c r="FF9" s="523"/>
      <c r="FG9" s="524">
        <f t="shared" ref="FG9:FG39" si="52">+FF9/$E9</f>
        <v>0</v>
      </c>
      <c r="FH9" s="525">
        <f>+FF9*$H$8</f>
        <v>0</v>
      </c>
      <c r="FI9" s="523"/>
      <c r="FJ9" s="524">
        <f t="shared" ref="FJ9:FJ39" si="53">+FI9/$E9</f>
        <v>0</v>
      </c>
      <c r="FK9" s="525">
        <f>+FI9*$H$8</f>
        <v>0</v>
      </c>
      <c r="FL9" s="523"/>
      <c r="FM9" s="524">
        <f t="shared" ref="FM9:FM39" si="54">+FL9/$E9</f>
        <v>0</v>
      </c>
      <c r="FN9" s="525">
        <f>+FL9*$H$8</f>
        <v>0</v>
      </c>
      <c r="FO9" s="523"/>
      <c r="FP9" s="524">
        <f t="shared" ref="FP9:FP39" si="55">+FO9/$E9</f>
        <v>0</v>
      </c>
      <c r="FQ9" s="525">
        <f>+FO9*$H$8</f>
        <v>0</v>
      </c>
      <c r="FR9" s="523"/>
      <c r="FS9" s="524">
        <f t="shared" ref="FS9:FS39" si="56">+FR9/$E9</f>
        <v>0</v>
      </c>
      <c r="FT9" s="525">
        <f>+FR9*$H$8</f>
        <v>0</v>
      </c>
      <c r="FU9" s="523"/>
      <c r="FV9" s="524">
        <f t="shared" ref="FV9:FV39" si="57">+FU9/$E9</f>
        <v>0</v>
      </c>
      <c r="FW9" s="525">
        <f>+FU9*$H$8</f>
        <v>0</v>
      </c>
      <c r="FX9" s="523"/>
      <c r="FY9" s="524">
        <f t="shared" ref="FY9:FY39" si="58">+FX9/$E9</f>
        <v>0</v>
      </c>
      <c r="FZ9" s="525">
        <f>+FX9*$H$8</f>
        <v>0</v>
      </c>
      <c r="GA9" s="523"/>
      <c r="GB9" s="524">
        <f t="shared" ref="GB9:GB39" si="59">+GA9/$E9</f>
        <v>0</v>
      </c>
      <c r="GC9" s="525">
        <f>+GA9*$H$8</f>
        <v>0</v>
      </c>
      <c r="GD9" s="523"/>
      <c r="GE9" s="524">
        <f t="shared" ref="GE9:GE39" si="60">+GD9/$E9</f>
        <v>0</v>
      </c>
      <c r="GF9" s="525">
        <f>+GD9*$H$8</f>
        <v>0</v>
      </c>
      <c r="GG9" s="523"/>
      <c r="GH9" s="524">
        <f t="shared" ref="GH9:GH39" si="61">+GG9/$E9</f>
        <v>0</v>
      </c>
      <c r="GI9" s="525">
        <f>+GG9*$H$8</f>
        <v>0</v>
      </c>
      <c r="GJ9" s="523"/>
      <c r="GK9" s="524">
        <f t="shared" ref="GK9:GK39" si="62">+GJ9/$E9</f>
        <v>0</v>
      </c>
      <c r="GL9" s="525">
        <f>+GJ9*$H$8</f>
        <v>0</v>
      </c>
      <c r="GM9" s="523"/>
      <c r="GN9" s="524">
        <f t="shared" ref="GN9:GN39" si="63">+GM9/$E9</f>
        <v>0</v>
      </c>
      <c r="GO9" s="525">
        <f>+GM9*$H$8</f>
        <v>0</v>
      </c>
      <c r="GP9" s="523"/>
      <c r="GQ9" s="524">
        <f t="shared" ref="GQ9:GQ39" si="64">+GP9/$E9</f>
        <v>0</v>
      </c>
      <c r="GR9" s="525">
        <f>+GP9*$H$8</f>
        <v>0</v>
      </c>
      <c r="GS9" s="523"/>
      <c r="GT9" s="524">
        <f t="shared" ref="GT9:GT39" si="65">+GS9/$E9</f>
        <v>0</v>
      </c>
      <c r="GU9" s="525">
        <f>+GS9*$H$8</f>
        <v>0</v>
      </c>
      <c r="GV9" s="523"/>
      <c r="GW9" s="524">
        <f t="shared" ref="GW9:GW39" si="66">+GV9/$E9</f>
        <v>0</v>
      </c>
      <c r="GX9" s="525">
        <f>+GV9*$H$8</f>
        <v>0</v>
      </c>
      <c r="GY9" s="523"/>
      <c r="GZ9" s="524">
        <f t="shared" ref="GZ9:GZ39" si="67">+GY9/$E9</f>
        <v>0</v>
      </c>
      <c r="HA9" s="525">
        <f>+GY9*$H$8</f>
        <v>0</v>
      </c>
      <c r="HB9" s="523"/>
      <c r="HC9" s="524">
        <f t="shared" ref="HC9:HC39" si="68">+HB9/$E9</f>
        <v>0</v>
      </c>
      <c r="HD9" s="525">
        <f>+HB9*$H$8</f>
        <v>0</v>
      </c>
      <c r="HE9" s="523"/>
      <c r="HF9" s="524">
        <f t="shared" ref="HF9:HF39" si="69">+HE9/$E9</f>
        <v>0</v>
      </c>
      <c r="HG9" s="525">
        <f>+HE9*$H$8</f>
        <v>0</v>
      </c>
      <c r="HH9" s="523"/>
      <c r="HI9" s="524">
        <f t="shared" ref="HI9:HI39" si="70">+HH9/$E9</f>
        <v>0</v>
      </c>
      <c r="HJ9" s="525">
        <f>+HH9*$H$8</f>
        <v>0</v>
      </c>
      <c r="HK9" s="523"/>
      <c r="HL9" s="524">
        <f t="shared" ref="HL9:HL39" si="71">+HK9/$E9</f>
        <v>0</v>
      </c>
      <c r="HM9" s="525">
        <f>+HK9*$H$8</f>
        <v>0</v>
      </c>
      <c r="HN9" s="523"/>
      <c r="HO9" s="524">
        <f t="shared" ref="HO9:HO39" si="72">+HN9/$E9</f>
        <v>0</v>
      </c>
      <c r="HP9" s="525">
        <f>+HN9*$H$8</f>
        <v>0</v>
      </c>
      <c r="HQ9" s="523"/>
      <c r="HR9" s="524">
        <f t="shared" ref="HR9:HR39" si="73">+HQ9/$E9</f>
        <v>0</v>
      </c>
      <c r="HS9" s="525">
        <f>+HQ9*$H$8</f>
        <v>0</v>
      </c>
      <c r="HT9" s="523"/>
      <c r="HU9" s="524">
        <f t="shared" ref="HU9:HU39" si="74">+HT9/$E9</f>
        <v>0</v>
      </c>
      <c r="HV9" s="525">
        <f>+HT9*$H$8</f>
        <v>0</v>
      </c>
      <c r="HW9" s="523"/>
      <c r="HX9" s="524">
        <f t="shared" ref="HX9:HX39" si="75">+HW9/$E9</f>
        <v>0</v>
      </c>
      <c r="HY9" s="525">
        <f>+HW9*$H$8</f>
        <v>0</v>
      </c>
      <c r="HZ9" s="523"/>
      <c r="IA9" s="524">
        <f t="shared" ref="IA9:IA39" si="76">+HZ9/$E9</f>
        <v>0</v>
      </c>
      <c r="IB9" s="525">
        <f>+HZ9*$H$8</f>
        <v>0</v>
      </c>
      <c r="IC9" s="523"/>
      <c r="ID9" s="524">
        <f t="shared" ref="ID9:ID39" si="77">+IC9/$E9</f>
        <v>0</v>
      </c>
      <c r="IE9" s="525">
        <f>+IC9*$H$8</f>
        <v>0</v>
      </c>
      <c r="IF9" s="523"/>
      <c r="IG9" s="524">
        <f t="shared" ref="IG9:IG39" si="78">+IF9/$E9</f>
        <v>0</v>
      </c>
      <c r="IH9" s="525">
        <f>+IF9*$H$8</f>
        <v>0</v>
      </c>
      <c r="II9" s="523"/>
      <c r="IJ9" s="524">
        <f t="shared" ref="IJ9:IJ39" si="79">+II9/$E9</f>
        <v>0</v>
      </c>
      <c r="IK9" s="525">
        <f>+II9*$H$8</f>
        <v>0</v>
      </c>
      <c r="IL9" s="523"/>
      <c r="IM9" s="524">
        <f t="shared" ref="IM9:IM39" si="80">+IL9/$E9</f>
        <v>0</v>
      </c>
      <c r="IN9" s="525">
        <f>+IL9*$H$8</f>
        <v>0</v>
      </c>
      <c r="IO9" s="523"/>
      <c r="IP9" s="524">
        <f t="shared" ref="IP9:IP39" si="81">+IO9/$E9</f>
        <v>0</v>
      </c>
      <c r="IQ9" s="525">
        <f>+IO9*$H$8</f>
        <v>0</v>
      </c>
      <c r="IR9" s="523"/>
      <c r="IS9" s="524">
        <f t="shared" ref="IS9:IS39" si="82">+IR9/$E9</f>
        <v>0</v>
      </c>
      <c r="IT9" s="525">
        <f>+IR9*$H$8</f>
        <v>0</v>
      </c>
      <c r="IU9" s="523"/>
      <c r="IV9" s="524">
        <f t="shared" ref="IV9:IV39" si="83">+IU9/$E9</f>
        <v>0</v>
      </c>
      <c r="IW9" s="525">
        <f>+IU9*$H$8</f>
        <v>0</v>
      </c>
      <c r="IX9" s="523"/>
      <c r="IY9" s="524">
        <f t="shared" ref="IY9:IY39" si="84">+IX9/$E9</f>
        <v>0</v>
      </c>
      <c r="IZ9" s="525">
        <f>+IX9*$H$8</f>
        <v>0</v>
      </c>
      <c r="JA9" s="523"/>
      <c r="JB9" s="524">
        <f t="shared" ref="JB9:JB39" si="85">+JA9/$E9</f>
        <v>0</v>
      </c>
      <c r="JC9" s="525">
        <f>+JA9*$H$8</f>
        <v>0</v>
      </c>
      <c r="JD9" s="523"/>
      <c r="JE9" s="524">
        <f t="shared" ref="JE9:JE39" si="86">+JD9/$E9</f>
        <v>0</v>
      </c>
      <c r="JF9" s="525">
        <f>+JD9*$H$8</f>
        <v>0</v>
      </c>
      <c r="JG9" s="523"/>
      <c r="JH9" s="524">
        <f t="shared" ref="JH9:JH39" si="87">+JG9/$E9</f>
        <v>0</v>
      </c>
      <c r="JI9" s="525">
        <f>+JG9*$H$8</f>
        <v>0</v>
      </c>
      <c r="JJ9" s="523"/>
      <c r="JK9" s="525" t="str">
        <f t="shared" ref="JK9:JK39" si="88">IFERROR((JJ9/$L9),"0")</f>
        <v>0</v>
      </c>
      <c r="JL9" s="525" t="str">
        <f t="shared" ref="JL9:JL39" si="89">IFERROR(((JJ9*JL$8)/$L9),"0")</f>
        <v>0</v>
      </c>
      <c r="JM9" s="523"/>
      <c r="JN9" s="525" t="str">
        <f t="shared" ref="JN9:JN39" si="90">IFERROR((JM9/$L9),"0")</f>
        <v>0</v>
      </c>
      <c r="JO9" s="525" t="str">
        <f t="shared" ref="JO9:JO39" si="91">IFERROR(((JM9*JO$8)/$L9),"0")</f>
        <v>0</v>
      </c>
      <c r="JP9" s="523"/>
      <c r="JQ9" s="525" t="str">
        <f t="shared" ref="JQ9:JQ39" si="92">IFERROR((JP9/$L9),"0")</f>
        <v>0</v>
      </c>
      <c r="JR9" s="525" t="str">
        <f t="shared" ref="JR9:JR39" si="93">IFERROR(((JP9*JR$8)/$L9),"0")</f>
        <v>0</v>
      </c>
      <c r="JS9" s="523"/>
      <c r="JT9" s="525" t="str">
        <f t="shared" ref="JT9:JT39" si="94">IFERROR((JS9/$L9),"0")</f>
        <v>0</v>
      </c>
      <c r="JU9" s="525" t="str">
        <f t="shared" ref="JU9:JU39" si="95">IFERROR(((JS9*JU$8)/$L9),"0")</f>
        <v>0</v>
      </c>
      <c r="JV9" s="523"/>
      <c r="JW9" s="525" t="str">
        <f t="shared" ref="JW9:JW39" si="96">IFERROR((JV9/$L9),"0")</f>
        <v>0</v>
      </c>
      <c r="JX9" s="525" t="str">
        <f t="shared" ref="JX9:JX39" si="97">IFERROR(((JV9*JX$8)/$L9),"0")</f>
        <v>0</v>
      </c>
      <c r="JY9" s="523"/>
      <c r="JZ9" s="525" t="str">
        <f t="shared" ref="JZ9:JZ39" si="98">IFERROR((JY9/$L9),"0")</f>
        <v>0</v>
      </c>
      <c r="KA9" s="525" t="str">
        <f t="shared" ref="KA9:KA39" si="99">IFERROR(((JY9*KA$8)/$L9),"0")</f>
        <v>0</v>
      </c>
      <c r="KB9" s="523"/>
      <c r="KC9" s="525" t="str">
        <f t="shared" ref="KC9:KC39" si="100">IFERROR((KB9/$L9),"0")</f>
        <v>0</v>
      </c>
      <c r="KD9" s="525" t="str">
        <f t="shared" ref="KD9:KD39" si="101">IFERROR(((KB9*KD$8)/$L9),"0")</f>
        <v>0</v>
      </c>
      <c r="KE9" s="523"/>
      <c r="KF9" s="525" t="str">
        <f t="shared" ref="KF9:KF39" si="102">IFERROR((KE9/$L9),"0")</f>
        <v>0</v>
      </c>
      <c r="KG9" s="525" t="str">
        <f t="shared" ref="KG9:KG39" si="103">IFERROR(((KE9*KG$8)/$L9),"0")</f>
        <v>0</v>
      </c>
      <c r="KH9" s="523"/>
      <c r="KI9" s="525" t="str">
        <f t="shared" ref="KI9:KI39" si="104">IFERROR((KH9/$L9),"0")</f>
        <v>0</v>
      </c>
      <c r="KJ9" s="525" t="str">
        <f t="shared" ref="KJ9:KJ39" si="105">IFERROR(((KH9*KJ$8)/$L9),"0")</f>
        <v>0</v>
      </c>
      <c r="KK9" s="523"/>
      <c r="KL9" s="525" t="str">
        <f t="shared" ref="KL9:KL39" si="106">IFERROR((KK9/$L9),"0")</f>
        <v>0</v>
      </c>
      <c r="KM9" s="525" t="str">
        <f t="shared" ref="KM9:KM39" si="107">IFERROR(((KK9*KM$8)/$L9),"0")</f>
        <v>0</v>
      </c>
      <c r="KN9" s="523"/>
      <c r="KO9" s="525" t="str">
        <f t="shared" ref="KO9:KO39" si="108">IFERROR((KN9/$L9),"0")</f>
        <v>0</v>
      </c>
      <c r="KP9" s="525" t="str">
        <f t="shared" ref="KP9:KP39" si="109">IFERROR(((KN9*KP$8)/$L9),"0")</f>
        <v>0</v>
      </c>
      <c r="KQ9" s="523"/>
      <c r="KR9" s="525" t="str">
        <f t="shared" ref="KR9:KR39" si="110">IFERROR((KQ9/$L9),"0")</f>
        <v>0</v>
      </c>
      <c r="KS9" s="525" t="str">
        <f t="shared" ref="KS9:KS39" si="111">IFERROR(((KQ9*KS$8)/$L9),"0")</f>
        <v>0</v>
      </c>
      <c r="KT9" s="525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25">
        <f>GF9+GI9+GL9+GO9+GR9+GU9+GX9+HA9+HD9+HG9+HJ9+HM9+HP9+HS9+HV9+HY9+IB9+IE9+IH9+IK9+IN9+IQ9+IT9+IW9+IZ9+JC9+JF9+JI9+JL9+JO9+JR9+JU9+JX9++KA9+KD9+KG9+KJ9++KM9+KP9+KS9</f>
        <v>0</v>
      </c>
      <c r="KV9" s="261">
        <f>+F9+I9+L9+O9+R9+U9+X9+AA9+AD9+AG9+AJ9+AM9+AP9+AS9+AV9+AY9+BB9+BE9+BH9+BK9+BN9+BQ9+BT9+BW9+BZ9+CC9+CF9+CI9+CL9+CO9+CR9+CU9+CX9+DA9+DD9+DJ9+DM9+DP9+DS9+DV9+DY9+EB9+GG9+GJ9+GM9+GP9+GS9+HN9+II9+IR9+GV9+IU9++HT9+HW9+HZ9+IC9+JA9+JJ9+JM9+HB9+EE9+GD9+EH9+EK9+EN9+EQ9</f>
        <v>569.49451685680128</v>
      </c>
    </row>
    <row r="10" spans="1:308">
      <c r="A10" s="262">
        <f>+A9+1</f>
        <v>46114</v>
      </c>
      <c r="B10" s="263" t="str">
        <f>+Report1!B10</f>
        <v>Facial</v>
      </c>
      <c r="C10" s="263">
        <f>+Report1!C10</f>
        <v>11.5</v>
      </c>
      <c r="D10" s="264">
        <f>+Report1!P10</f>
        <v>38.343000000000004</v>
      </c>
      <c r="E10" s="556">
        <f>+Report1!R10</f>
        <v>37.249000000000002</v>
      </c>
      <c r="F10" s="523"/>
      <c r="G10" s="524">
        <f t="shared" si="0"/>
        <v>0</v>
      </c>
      <c r="H10" s="525">
        <f t="shared" ref="H10:H39" si="112">+F10*$H$8</f>
        <v>0</v>
      </c>
      <c r="I10" s="523">
        <v>288.1509906976745</v>
      </c>
      <c r="J10" s="524">
        <f t="shared" si="1"/>
        <v>7.735804738319807</v>
      </c>
      <c r="K10" s="525">
        <f t="shared" ref="K10:K39" si="113">+I10*$H$8</f>
        <v>0</v>
      </c>
      <c r="L10" s="523"/>
      <c r="M10" s="524">
        <f t="shared" si="2"/>
        <v>0</v>
      </c>
      <c r="N10" s="525">
        <f t="shared" ref="N10:N39" si="114">+L10*$H$8</f>
        <v>0</v>
      </c>
      <c r="O10" s="523">
        <v>6.0764000000000067</v>
      </c>
      <c r="P10" s="524">
        <f t="shared" si="3"/>
        <v>0.16312921152245716</v>
      </c>
      <c r="Q10" s="525">
        <f t="shared" ref="Q10:Q39" si="115">+O10*$H$8</f>
        <v>0</v>
      </c>
      <c r="R10" s="523"/>
      <c r="S10" s="524">
        <f t="shared" si="4"/>
        <v>0</v>
      </c>
      <c r="T10" s="525">
        <f t="shared" ref="T10:T39" si="116">+R10*$H$8</f>
        <v>0</v>
      </c>
      <c r="U10" s="523">
        <v>7.7714999999999961</v>
      </c>
      <c r="V10" s="524">
        <f t="shared" si="5"/>
        <v>0.20863647346237471</v>
      </c>
      <c r="W10" s="525">
        <f t="shared" ref="W10:W39" si="117">+U10*$H$8</f>
        <v>0</v>
      </c>
      <c r="X10" s="523"/>
      <c r="Y10" s="524">
        <f t="shared" si="6"/>
        <v>0</v>
      </c>
      <c r="Z10" s="525">
        <f t="shared" ref="Z10:Z39" si="118">+X10*$H$8</f>
        <v>0</v>
      </c>
      <c r="AA10" s="523">
        <v>10.156250000000014</v>
      </c>
      <c r="AB10" s="524">
        <f t="shared" si="7"/>
        <v>0.27265832639802445</v>
      </c>
      <c r="AC10" s="525">
        <f t="shared" ref="AC10:AC39" si="119">+AA10*$H$8</f>
        <v>0</v>
      </c>
      <c r="AD10" s="523"/>
      <c r="AE10" s="524">
        <f t="shared" si="8"/>
        <v>0</v>
      </c>
      <c r="AF10" s="525">
        <f t="shared" ref="AF10:AF39" si="120">+AD10*$H$8</f>
        <v>0</v>
      </c>
      <c r="AG10" s="523"/>
      <c r="AH10" s="524">
        <f t="shared" si="9"/>
        <v>0</v>
      </c>
      <c r="AI10" s="525">
        <f t="shared" ref="AI10:AI39" si="121">+AG10*$H$8</f>
        <v>0</v>
      </c>
      <c r="AJ10" s="523"/>
      <c r="AK10" s="524">
        <f t="shared" si="10"/>
        <v>0</v>
      </c>
      <c r="AL10" s="525">
        <f t="shared" ref="AL10:AL39" si="122">+AJ10*$H$8</f>
        <v>0</v>
      </c>
      <c r="AM10" s="523"/>
      <c r="AN10" s="524">
        <f t="shared" si="11"/>
        <v>0</v>
      </c>
      <c r="AO10" s="525">
        <f t="shared" ref="AO10:AO39" si="123">+AM10*$H$8</f>
        <v>0</v>
      </c>
      <c r="AP10" s="523"/>
      <c r="AQ10" s="524">
        <f t="shared" si="12"/>
        <v>0</v>
      </c>
      <c r="AR10" s="525">
        <f t="shared" ref="AR10:AR39" si="124">+AP10*$H$8</f>
        <v>0</v>
      </c>
      <c r="AS10" s="523"/>
      <c r="AT10" s="524">
        <f t="shared" si="13"/>
        <v>0</v>
      </c>
      <c r="AU10" s="525">
        <f t="shared" ref="AU10:AU39" si="125">+AS10*$H$8</f>
        <v>0</v>
      </c>
      <c r="AV10" s="523"/>
      <c r="AW10" s="524">
        <f t="shared" si="14"/>
        <v>0</v>
      </c>
      <c r="AX10" s="525">
        <f t="shared" ref="AX10:AX39" si="126">+AV10*$H$8</f>
        <v>0</v>
      </c>
      <c r="AY10" s="523"/>
      <c r="AZ10" s="524">
        <f t="shared" si="15"/>
        <v>0</v>
      </c>
      <c r="BA10" s="525">
        <f t="shared" ref="BA10:BA39" si="127">+AY10*$H$8</f>
        <v>0</v>
      </c>
      <c r="BB10" s="523"/>
      <c r="BC10" s="524">
        <f t="shared" si="16"/>
        <v>0</v>
      </c>
      <c r="BD10" s="525">
        <f t="shared" ref="BD10:BD39" si="128">+BB10*$H$8</f>
        <v>0</v>
      </c>
      <c r="BE10" s="523"/>
      <c r="BF10" s="524">
        <f t="shared" si="17"/>
        <v>0</v>
      </c>
      <c r="BG10" s="525">
        <f t="shared" ref="BG10:BG39" si="129">+BE10*$H$8</f>
        <v>0</v>
      </c>
      <c r="BH10" s="523"/>
      <c r="BI10" s="524">
        <f t="shared" si="18"/>
        <v>0</v>
      </c>
      <c r="BJ10" s="525">
        <f t="shared" ref="BJ10:BJ39" si="130">+BH10*$H$8</f>
        <v>0</v>
      </c>
      <c r="BK10" s="523"/>
      <c r="BL10" s="524">
        <f t="shared" si="19"/>
        <v>0</v>
      </c>
      <c r="BM10" s="525">
        <f t="shared" ref="BM10:BM39" si="131">+BK10*$H$8</f>
        <v>0</v>
      </c>
      <c r="BN10" s="523"/>
      <c r="BO10" s="524">
        <f t="shared" si="20"/>
        <v>0</v>
      </c>
      <c r="BP10" s="525">
        <f t="shared" ref="BP10:BP39" si="132">+BN10*$H$8</f>
        <v>0</v>
      </c>
      <c r="BQ10" s="523">
        <v>81.012658227848192</v>
      </c>
      <c r="BR10" s="524">
        <f t="shared" si="21"/>
        <v>2.1748948489314661</v>
      </c>
      <c r="BS10" s="525">
        <f t="shared" ref="BS10:BS39" si="133">+BQ10*$H$8</f>
        <v>0</v>
      </c>
      <c r="BT10" s="523"/>
      <c r="BU10" s="524">
        <f t="shared" si="22"/>
        <v>0</v>
      </c>
      <c r="BV10" s="525">
        <f t="shared" ref="BV10:BV39" si="134">+BT10*$H$8</f>
        <v>0</v>
      </c>
      <c r="BW10" s="523"/>
      <c r="BX10" s="524">
        <f t="shared" si="23"/>
        <v>0</v>
      </c>
      <c r="BY10" s="525">
        <f t="shared" ref="BY10:BY39" si="135">+BW10*$H$8</f>
        <v>0</v>
      </c>
      <c r="BZ10" s="523"/>
      <c r="CA10" s="524">
        <f t="shared" si="24"/>
        <v>0</v>
      </c>
      <c r="CB10" s="525">
        <f t="shared" ref="CB10:CB39" si="136">+BZ10*$H$8</f>
        <v>0</v>
      </c>
      <c r="CC10" s="523"/>
      <c r="CD10" s="524">
        <f t="shared" si="25"/>
        <v>0</v>
      </c>
      <c r="CE10" s="525">
        <f t="shared" ref="CE10:CE39" si="137">+CC10*$H$8</f>
        <v>0</v>
      </c>
      <c r="CF10" s="523">
        <v>0.5</v>
      </c>
      <c r="CG10" s="524">
        <f t="shared" si="26"/>
        <v>1.3423179145748879E-2</v>
      </c>
      <c r="CH10" s="525">
        <f t="shared" ref="CH10:CH39" si="138">+CF10*$H$8</f>
        <v>0</v>
      </c>
      <c r="CI10" s="523"/>
      <c r="CJ10" s="524">
        <f t="shared" si="27"/>
        <v>0</v>
      </c>
      <c r="CK10" s="525">
        <f t="shared" ref="CK10:CK39" si="139">+CI10*$H$8</f>
        <v>0</v>
      </c>
      <c r="CL10" s="523"/>
      <c r="CM10" s="524">
        <f t="shared" si="28"/>
        <v>0</v>
      </c>
      <c r="CN10" s="525">
        <f t="shared" ref="CN10:CN39" si="140">+CL10*$H$8</f>
        <v>0</v>
      </c>
      <c r="CO10" s="523"/>
      <c r="CP10" s="524">
        <f t="shared" si="29"/>
        <v>0</v>
      </c>
      <c r="CQ10" s="525">
        <f t="shared" ref="CQ10:CQ39" si="141">+CO10*$H$8</f>
        <v>0</v>
      </c>
      <c r="CR10" s="523"/>
      <c r="CS10" s="524">
        <f t="shared" si="30"/>
        <v>0</v>
      </c>
      <c r="CT10" s="525">
        <f t="shared" ref="CT10:CT39" si="142">+CR10*$H$8</f>
        <v>0</v>
      </c>
      <c r="CU10" s="523"/>
      <c r="CV10" s="524">
        <f t="shared" si="31"/>
        <v>0</v>
      </c>
      <c r="CW10" s="525">
        <f t="shared" ref="CW10:CW39" si="143">+CU10*$H$8</f>
        <v>0</v>
      </c>
      <c r="CX10" s="523"/>
      <c r="CY10" s="524">
        <f t="shared" si="32"/>
        <v>0</v>
      </c>
      <c r="CZ10" s="525">
        <f t="shared" ref="CZ10:CZ39" si="144">+CX10*$H$8</f>
        <v>0</v>
      </c>
      <c r="DA10" s="523"/>
      <c r="DB10" s="524">
        <f t="shared" si="33"/>
        <v>0</v>
      </c>
      <c r="DC10" s="525">
        <f t="shared" ref="DC10:DC39" si="145">+DA10*$H$8</f>
        <v>0</v>
      </c>
      <c r="DD10" s="523"/>
      <c r="DE10" s="524">
        <f t="shared" si="34"/>
        <v>0</v>
      </c>
      <c r="DF10" s="525">
        <f t="shared" ref="DF10:DF39" si="146">+DD10*$H$8</f>
        <v>0</v>
      </c>
      <c r="DG10" s="523"/>
      <c r="DH10" s="524">
        <f t="shared" si="35"/>
        <v>0</v>
      </c>
      <c r="DI10" s="525">
        <v>0</v>
      </c>
      <c r="DJ10" s="523"/>
      <c r="DK10" s="524">
        <f t="shared" si="36"/>
        <v>0</v>
      </c>
      <c r="DL10" s="525">
        <f t="shared" ref="DL10:DL39" si="147">+DJ10*$H$8</f>
        <v>0</v>
      </c>
      <c r="DM10" s="523"/>
      <c r="DN10" s="524">
        <f t="shared" si="37"/>
        <v>0</v>
      </c>
      <c r="DO10" s="525">
        <f t="shared" ref="DO10:DO39" si="148">+DM10*$H$8</f>
        <v>0</v>
      </c>
      <c r="DP10" s="523"/>
      <c r="DQ10" s="524">
        <f t="shared" si="38"/>
        <v>0</v>
      </c>
      <c r="DR10" s="525">
        <f t="shared" ref="DR10:DR39" si="149">+DP10*$H$8</f>
        <v>0</v>
      </c>
      <c r="DS10" s="523"/>
      <c r="DT10" s="524">
        <f t="shared" si="39"/>
        <v>0</v>
      </c>
      <c r="DU10" s="525">
        <f t="shared" ref="DU10:DU39" si="150">+DS10*$H$8</f>
        <v>0</v>
      </c>
      <c r="DV10" s="523"/>
      <c r="DW10" s="524">
        <f t="shared" si="40"/>
        <v>0</v>
      </c>
      <c r="DX10" s="525">
        <f t="shared" ref="DX10:DX39" si="151">+DV10*$H$8</f>
        <v>0</v>
      </c>
      <c r="DY10" s="523"/>
      <c r="DZ10" s="524">
        <f t="shared" si="41"/>
        <v>0</v>
      </c>
      <c r="EA10" s="525">
        <f t="shared" ref="EA10:EA39" si="152">+DY10*$H$8</f>
        <v>0</v>
      </c>
      <c r="EB10" s="523"/>
      <c r="EC10" s="524">
        <f t="shared" si="42"/>
        <v>0</v>
      </c>
      <c r="ED10" s="525">
        <f t="shared" ref="ED10:ED39" si="153">+EB10*$H$8</f>
        <v>0</v>
      </c>
      <c r="EE10" s="523">
        <v>18.168604651162752</v>
      </c>
      <c r="EF10" s="524">
        <f t="shared" si="43"/>
        <v>0.48776087012168784</v>
      </c>
      <c r="EG10" s="525">
        <f t="shared" ref="EG10:EG39" si="154">+EE10*$H$8</f>
        <v>0</v>
      </c>
      <c r="EH10" s="523">
        <v>59.37705882352941</v>
      </c>
      <c r="EI10" s="524">
        <f t="shared" si="44"/>
        <v>1.5940577954718087</v>
      </c>
      <c r="EJ10" s="525">
        <f t="shared" ref="EJ10:EJ39" si="155">+EH10*$H$8</f>
        <v>0</v>
      </c>
      <c r="EK10" s="523">
        <v>4</v>
      </c>
      <c r="EL10" s="524">
        <f t="shared" si="45"/>
        <v>0.10738543316599103</v>
      </c>
      <c r="EM10" s="525">
        <f t="shared" ref="EM10:EM39" si="156">+EK10*$H$8</f>
        <v>0</v>
      </c>
      <c r="EN10" s="523">
        <v>43.171097560975568</v>
      </c>
      <c r="EO10" s="524">
        <f t="shared" si="46"/>
        <v>1.1589867529591551</v>
      </c>
      <c r="EP10" s="525">
        <f t="shared" ref="EP10:EP39" si="157">+EN10*$H$8</f>
        <v>0</v>
      </c>
      <c r="EQ10" s="523">
        <v>49.988302325581344</v>
      </c>
      <c r="ER10" s="524">
        <f t="shared" si="47"/>
        <v>1.3420038746162672</v>
      </c>
      <c r="ES10" s="525">
        <f t="shared" ref="ES10:ES39" si="158">+EQ10*$H$8</f>
        <v>0</v>
      </c>
      <c r="ET10" s="523"/>
      <c r="EU10" s="524">
        <f t="shared" si="48"/>
        <v>0</v>
      </c>
      <c r="EV10" s="525">
        <f t="shared" ref="EV10:EV39" si="159">+ET10*$H$8</f>
        <v>0</v>
      </c>
      <c r="EW10" s="523"/>
      <c r="EX10" s="524">
        <f t="shared" si="49"/>
        <v>0</v>
      </c>
      <c r="EY10" s="525">
        <f t="shared" ref="EY10:EY39" si="160">+EW10*$H$8</f>
        <v>0</v>
      </c>
      <c r="EZ10" s="523"/>
      <c r="FA10" s="524">
        <f t="shared" si="50"/>
        <v>0</v>
      </c>
      <c r="FB10" s="525">
        <f t="shared" ref="FB10:FB39" si="161">+EZ10*$H$8</f>
        <v>0</v>
      </c>
      <c r="FC10" s="523"/>
      <c r="FD10" s="524">
        <f t="shared" si="51"/>
        <v>0</v>
      </c>
      <c r="FE10" s="525">
        <f t="shared" ref="FE10:FE39" si="162">+FC10*$H$8</f>
        <v>0</v>
      </c>
      <c r="FF10" s="523"/>
      <c r="FG10" s="524">
        <f t="shared" si="52"/>
        <v>0</v>
      </c>
      <c r="FH10" s="525">
        <f t="shared" ref="FH10:FH39" si="163">+FF10*$H$8</f>
        <v>0</v>
      </c>
      <c r="FI10" s="523"/>
      <c r="FJ10" s="524">
        <f t="shared" si="53"/>
        <v>0</v>
      </c>
      <c r="FK10" s="525">
        <f t="shared" ref="FK10:FK39" si="164">+FI10*$H$8</f>
        <v>0</v>
      </c>
      <c r="FL10" s="523"/>
      <c r="FM10" s="524">
        <f t="shared" si="54"/>
        <v>0</v>
      </c>
      <c r="FN10" s="525">
        <f t="shared" ref="FN10:FN39" si="165">+FL10*$H$8</f>
        <v>0</v>
      </c>
      <c r="FO10" s="523"/>
      <c r="FP10" s="524">
        <f t="shared" si="55"/>
        <v>0</v>
      </c>
      <c r="FQ10" s="525">
        <f t="shared" ref="FQ10:FQ39" si="166">+FO10*$H$8</f>
        <v>0</v>
      </c>
      <c r="FR10" s="523"/>
      <c r="FS10" s="524">
        <f t="shared" si="56"/>
        <v>0</v>
      </c>
      <c r="FT10" s="525">
        <f t="shared" ref="FT10:FT39" si="167">+FR10*$H$8</f>
        <v>0</v>
      </c>
      <c r="FU10" s="523"/>
      <c r="FV10" s="524">
        <f t="shared" si="57"/>
        <v>0</v>
      </c>
      <c r="FW10" s="525">
        <f t="shared" ref="FW10:FW39" si="168">+FU10*$H$8</f>
        <v>0</v>
      </c>
      <c r="FX10" s="523"/>
      <c r="FY10" s="524">
        <f t="shared" si="58"/>
        <v>0</v>
      </c>
      <c r="FZ10" s="525">
        <f t="shared" ref="FZ10:FZ39" si="169">+FX10*$H$8</f>
        <v>0</v>
      </c>
      <c r="GA10" s="523"/>
      <c r="GB10" s="524">
        <f t="shared" si="59"/>
        <v>0</v>
      </c>
      <c r="GC10" s="525">
        <f t="shared" ref="GC10:GC39" si="170">+GA10*$H$8</f>
        <v>0</v>
      </c>
      <c r="GD10" s="523"/>
      <c r="GE10" s="524">
        <f t="shared" si="60"/>
        <v>0</v>
      </c>
      <c r="GF10" s="525">
        <f t="shared" ref="GF10:GF39" si="171">+GD10*$H$8</f>
        <v>0</v>
      </c>
      <c r="GG10" s="523"/>
      <c r="GH10" s="524">
        <f t="shared" si="61"/>
        <v>0</v>
      </c>
      <c r="GI10" s="525">
        <f t="shared" ref="GI10:GI39" si="172">+GG10*$H$8</f>
        <v>0</v>
      </c>
      <c r="GJ10" s="523"/>
      <c r="GK10" s="524">
        <f t="shared" si="62"/>
        <v>0</v>
      </c>
      <c r="GL10" s="525">
        <f t="shared" ref="GL10:GL39" si="173">+GJ10*$H$8</f>
        <v>0</v>
      </c>
      <c r="GM10" s="523"/>
      <c r="GN10" s="524">
        <f t="shared" si="63"/>
        <v>0</v>
      </c>
      <c r="GO10" s="525">
        <f t="shared" ref="GO10:GO39" si="174">+GM10*$H$8</f>
        <v>0</v>
      </c>
      <c r="GP10" s="523"/>
      <c r="GQ10" s="524">
        <f t="shared" si="64"/>
        <v>0</v>
      </c>
      <c r="GR10" s="525">
        <f t="shared" ref="GR10:GR39" si="175">+GP10*$H$8</f>
        <v>0</v>
      </c>
      <c r="GS10" s="523"/>
      <c r="GT10" s="524">
        <f t="shared" si="65"/>
        <v>0</v>
      </c>
      <c r="GU10" s="525">
        <f t="shared" ref="GU10:GU39" si="176">+GS10*$H$8</f>
        <v>0</v>
      </c>
      <c r="GV10" s="523"/>
      <c r="GW10" s="524">
        <f t="shared" si="66"/>
        <v>0</v>
      </c>
      <c r="GX10" s="525">
        <f t="shared" ref="GX10:GX39" si="177">+GV10*$H$8</f>
        <v>0</v>
      </c>
      <c r="GY10" s="523"/>
      <c r="GZ10" s="524">
        <f t="shared" si="67"/>
        <v>0</v>
      </c>
      <c r="HA10" s="525">
        <f t="shared" ref="HA10:HA39" si="178">+GY10*$H$8</f>
        <v>0</v>
      </c>
      <c r="HB10" s="523"/>
      <c r="HC10" s="524">
        <f t="shared" si="68"/>
        <v>0</v>
      </c>
      <c r="HD10" s="525">
        <f t="shared" ref="HD10:HD39" si="179">+HB10*$H$8</f>
        <v>0</v>
      </c>
      <c r="HE10" s="523"/>
      <c r="HF10" s="524">
        <f t="shared" si="69"/>
        <v>0</v>
      </c>
      <c r="HG10" s="525">
        <f t="shared" ref="HG10:HG39" si="180">+HE10*$H$8</f>
        <v>0</v>
      </c>
      <c r="HH10" s="523"/>
      <c r="HI10" s="524">
        <f t="shared" si="70"/>
        <v>0</v>
      </c>
      <c r="HJ10" s="525">
        <f t="shared" ref="HJ10:HJ39" si="181">+HH10*$H$8</f>
        <v>0</v>
      </c>
      <c r="HK10" s="523"/>
      <c r="HL10" s="524">
        <f t="shared" si="71"/>
        <v>0</v>
      </c>
      <c r="HM10" s="525">
        <f t="shared" ref="HM10:HM39" si="182">+HK10*$H$8</f>
        <v>0</v>
      </c>
      <c r="HN10" s="523"/>
      <c r="HO10" s="524">
        <f t="shared" si="72"/>
        <v>0</v>
      </c>
      <c r="HP10" s="525">
        <f t="shared" ref="HP10:HP39" si="183">+HN10*$H$8</f>
        <v>0</v>
      </c>
      <c r="HQ10" s="523"/>
      <c r="HR10" s="524">
        <f t="shared" si="73"/>
        <v>0</v>
      </c>
      <c r="HS10" s="525">
        <f t="shared" ref="HS10:HS39" si="184">+HQ10*$H$8</f>
        <v>0</v>
      </c>
      <c r="HT10" s="523"/>
      <c r="HU10" s="524">
        <f t="shared" si="74"/>
        <v>0</v>
      </c>
      <c r="HV10" s="525">
        <f t="shared" ref="HV10:HV39" si="185">+HT10*$H$8</f>
        <v>0</v>
      </c>
      <c r="HW10" s="523"/>
      <c r="HX10" s="524">
        <f t="shared" si="75"/>
        <v>0</v>
      </c>
      <c r="HY10" s="525">
        <f t="shared" ref="HY10:HY39" si="186">+HW10*$H$8</f>
        <v>0</v>
      </c>
      <c r="HZ10" s="523"/>
      <c r="IA10" s="524">
        <f t="shared" si="76"/>
        <v>0</v>
      </c>
      <c r="IB10" s="525">
        <f t="shared" ref="IB10:IB39" si="187">+HZ10*$H$8</f>
        <v>0</v>
      </c>
      <c r="IC10" s="523"/>
      <c r="ID10" s="524">
        <f t="shared" si="77"/>
        <v>0</v>
      </c>
      <c r="IE10" s="525">
        <f t="shared" ref="IE10:IE39" si="188">+IC10*$H$8</f>
        <v>0</v>
      </c>
      <c r="IF10" s="523"/>
      <c r="IG10" s="524">
        <f t="shared" si="78"/>
        <v>0</v>
      </c>
      <c r="IH10" s="525">
        <f t="shared" ref="IH10:IH39" si="189">+IF10*$H$8</f>
        <v>0</v>
      </c>
      <c r="II10" s="523"/>
      <c r="IJ10" s="524">
        <f t="shared" si="79"/>
        <v>0</v>
      </c>
      <c r="IK10" s="525">
        <f t="shared" ref="IK10:IK39" si="190">+II10*$H$8</f>
        <v>0</v>
      </c>
      <c r="IL10" s="523"/>
      <c r="IM10" s="524">
        <f t="shared" si="80"/>
        <v>0</v>
      </c>
      <c r="IN10" s="525">
        <f t="shared" ref="IN10:IN39" si="191">+IL10*$H$8</f>
        <v>0</v>
      </c>
      <c r="IO10" s="523"/>
      <c r="IP10" s="524">
        <f t="shared" si="81"/>
        <v>0</v>
      </c>
      <c r="IQ10" s="525">
        <f t="shared" ref="IQ10:IQ39" si="192">+IO10*$H$8</f>
        <v>0</v>
      </c>
      <c r="IR10" s="523"/>
      <c r="IS10" s="524">
        <f t="shared" si="82"/>
        <v>0</v>
      </c>
      <c r="IT10" s="525">
        <f t="shared" ref="IT10:IT39" si="193">+IR10*$H$8</f>
        <v>0</v>
      </c>
      <c r="IU10" s="523"/>
      <c r="IV10" s="524">
        <f t="shared" si="83"/>
        <v>0</v>
      </c>
      <c r="IW10" s="525">
        <f t="shared" ref="IW10:IW39" si="194">+IU10*$H$8</f>
        <v>0</v>
      </c>
      <c r="IX10" s="523"/>
      <c r="IY10" s="524">
        <f t="shared" si="84"/>
        <v>0</v>
      </c>
      <c r="IZ10" s="525">
        <f t="shared" ref="IZ10:IZ39" si="195">+IX10*$H$8</f>
        <v>0</v>
      </c>
      <c r="JA10" s="523"/>
      <c r="JB10" s="524">
        <f t="shared" si="85"/>
        <v>0</v>
      </c>
      <c r="JC10" s="525">
        <f t="shared" ref="JC10:JC39" si="196">+JA10*$H$8</f>
        <v>0</v>
      </c>
      <c r="JD10" s="523"/>
      <c r="JE10" s="524">
        <f t="shared" si="86"/>
        <v>0</v>
      </c>
      <c r="JF10" s="525">
        <f t="shared" ref="JF10:JF39" si="197">+JD10*$H$8</f>
        <v>0</v>
      </c>
      <c r="JG10" s="523"/>
      <c r="JH10" s="524">
        <f t="shared" si="87"/>
        <v>0</v>
      </c>
      <c r="JI10" s="525">
        <f t="shared" ref="JI10:JI39" si="198">+JG10*$H$8</f>
        <v>0</v>
      </c>
      <c r="JJ10" s="523"/>
      <c r="JK10" s="525" t="str">
        <f t="shared" si="88"/>
        <v>0</v>
      </c>
      <c r="JL10" s="525" t="str">
        <f t="shared" si="89"/>
        <v>0</v>
      </c>
      <c r="JM10" s="523"/>
      <c r="JN10" s="525" t="str">
        <f t="shared" si="90"/>
        <v>0</v>
      </c>
      <c r="JO10" s="525" t="str">
        <f t="shared" si="91"/>
        <v>0</v>
      </c>
      <c r="JP10" s="523"/>
      <c r="JQ10" s="525" t="str">
        <f t="shared" si="92"/>
        <v>0</v>
      </c>
      <c r="JR10" s="525" t="str">
        <f t="shared" si="93"/>
        <v>0</v>
      </c>
      <c r="JS10" s="523"/>
      <c r="JT10" s="525" t="str">
        <f t="shared" si="94"/>
        <v>0</v>
      </c>
      <c r="JU10" s="525" t="str">
        <f t="shared" si="95"/>
        <v>0</v>
      </c>
      <c r="JV10" s="523"/>
      <c r="JW10" s="525" t="str">
        <f t="shared" si="96"/>
        <v>0</v>
      </c>
      <c r="JX10" s="525" t="str">
        <f t="shared" si="97"/>
        <v>0</v>
      </c>
      <c r="JY10" s="523"/>
      <c r="JZ10" s="525" t="str">
        <f t="shared" si="98"/>
        <v>0</v>
      </c>
      <c r="KA10" s="525" t="str">
        <f t="shared" si="99"/>
        <v>0</v>
      </c>
      <c r="KB10" s="523"/>
      <c r="KC10" s="525" t="str">
        <f t="shared" si="100"/>
        <v>0</v>
      </c>
      <c r="KD10" s="525" t="str">
        <f t="shared" si="101"/>
        <v>0</v>
      </c>
      <c r="KE10" s="523"/>
      <c r="KF10" s="525" t="str">
        <f t="shared" si="102"/>
        <v>0</v>
      </c>
      <c r="KG10" s="525" t="str">
        <f t="shared" si="103"/>
        <v>0</v>
      </c>
      <c r="KH10" s="523"/>
      <c r="KI10" s="525" t="str">
        <f t="shared" si="104"/>
        <v>0</v>
      </c>
      <c r="KJ10" s="525" t="str">
        <f t="shared" si="105"/>
        <v>0</v>
      </c>
      <c r="KK10" s="523"/>
      <c r="KL10" s="525" t="str">
        <f t="shared" si="106"/>
        <v>0</v>
      </c>
      <c r="KM10" s="525" t="str">
        <f t="shared" si="107"/>
        <v>0</v>
      </c>
      <c r="KN10" s="523"/>
      <c r="KO10" s="525" t="str">
        <f t="shared" si="108"/>
        <v>0</v>
      </c>
      <c r="KP10" s="525" t="str">
        <f t="shared" si="109"/>
        <v>0</v>
      </c>
      <c r="KQ10" s="523"/>
      <c r="KR10" s="525" t="str">
        <f t="shared" si="110"/>
        <v>0</v>
      </c>
      <c r="KS10" s="525" t="str">
        <f t="shared" si="111"/>
        <v>0</v>
      </c>
      <c r="KT10" s="525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25">
        <f>GF10+GI10+GL10+GO10+GR10+GU10+GX10+HA10+HD10+HG10+HJ10+HM10+HP10+HS10+HV10+HY10+IB10+IE10+IH10+IK10+IN10+IQ10+IT10+IW10+IZ10+JC10+JF10+JI10+JL10+JO10+JR10+JU10+JX10++KA10+KD10+KG10+KJ10++KM10+KP10+KS10</f>
        <v>0</v>
      </c>
      <c r="KV10" s="261">
        <f t="shared" ref="KV10:KV39" si="199">+F10+I10+L10+O10+R10+U10+X10+AA10+AD10+AG10+AJ10+AM10+AP10+AS10+AV10+AY10+BB10+BE10+BH10+BK10+BN10+BQ10+BT10+BW10+BZ10+CC10+CF10+CI10+CL10+CO10+CR10+CU10+CX10+DA10+DD10+DJ10+DM10+DP10+DS10+DV10+DY10+EB10+GG10+GJ10+GM10+GP10+GS10+HN10+II10+IR10+GV10+IU10++HT10+HW10+HZ10+IC10+JA10+JJ10+JM10+HB10+EE10+GD10+EH10+EK10+EN10+EQ10</f>
        <v>568.37286228677181</v>
      </c>
    </row>
    <row r="11" spans="1:308">
      <c r="A11" s="262">
        <f t="shared" ref="A11:A39" si="200">+A10+1</f>
        <v>46115</v>
      </c>
      <c r="B11" s="263" t="str">
        <f>+Report1!B11</f>
        <v>Facial</v>
      </c>
      <c r="C11" s="263">
        <f>+Report1!C11</f>
        <v>11.5</v>
      </c>
      <c r="D11" s="264">
        <f>+Report1!P11</f>
        <v>37.472000000000001</v>
      </c>
      <c r="E11" s="556">
        <f>+Report1!R11</f>
        <v>37.430999999999997</v>
      </c>
      <c r="F11" s="523"/>
      <c r="G11" s="524">
        <f t="shared" si="0"/>
        <v>0</v>
      </c>
      <c r="H11" s="525">
        <f t="shared" si="112"/>
        <v>0</v>
      </c>
      <c r="I11" s="523">
        <v>281.6117999999999</v>
      </c>
      <c r="J11" s="524">
        <f t="shared" si="1"/>
        <v>7.5234912238518854</v>
      </c>
      <c r="K11" s="525">
        <f t="shared" si="113"/>
        <v>0</v>
      </c>
      <c r="L11" s="523"/>
      <c r="M11" s="524">
        <f t="shared" si="2"/>
        <v>0</v>
      </c>
      <c r="N11" s="525">
        <f t="shared" si="114"/>
        <v>0</v>
      </c>
      <c r="O11" s="523">
        <v>5.9276000000000124</v>
      </c>
      <c r="P11" s="524">
        <f t="shared" si="3"/>
        <v>0.15836071705271065</v>
      </c>
      <c r="Q11" s="525">
        <f t="shared" si="115"/>
        <v>0</v>
      </c>
      <c r="R11" s="523"/>
      <c r="S11" s="524">
        <f t="shared" si="4"/>
        <v>0</v>
      </c>
      <c r="T11" s="525">
        <f t="shared" si="116"/>
        <v>0</v>
      </c>
      <c r="U11" s="523">
        <v>7.6014000000000053</v>
      </c>
      <c r="V11" s="524">
        <f t="shared" si="5"/>
        <v>0.20307766289973567</v>
      </c>
      <c r="W11" s="525">
        <f t="shared" si="117"/>
        <v>0</v>
      </c>
      <c r="X11" s="523"/>
      <c r="Y11" s="524">
        <f t="shared" si="6"/>
        <v>0</v>
      </c>
      <c r="Z11" s="525">
        <f t="shared" si="118"/>
        <v>0</v>
      </c>
      <c r="AA11" s="523">
        <v>10.156250000000014</v>
      </c>
      <c r="AB11" s="524">
        <f t="shared" si="7"/>
        <v>0.27133258529026782</v>
      </c>
      <c r="AC11" s="525">
        <f t="shared" si="119"/>
        <v>0</v>
      </c>
      <c r="AD11" s="523"/>
      <c r="AE11" s="524">
        <f t="shared" si="8"/>
        <v>0</v>
      </c>
      <c r="AF11" s="525">
        <f t="shared" si="120"/>
        <v>0</v>
      </c>
      <c r="AG11" s="523"/>
      <c r="AH11" s="524">
        <f t="shared" si="9"/>
        <v>0</v>
      </c>
      <c r="AI11" s="525">
        <f t="shared" si="121"/>
        <v>0</v>
      </c>
      <c r="AJ11" s="523"/>
      <c r="AK11" s="524">
        <f t="shared" si="10"/>
        <v>0</v>
      </c>
      <c r="AL11" s="525">
        <f t="shared" si="122"/>
        <v>0</v>
      </c>
      <c r="AM11" s="523"/>
      <c r="AN11" s="524">
        <f t="shared" si="11"/>
        <v>0</v>
      </c>
      <c r="AO11" s="525">
        <f t="shared" si="123"/>
        <v>0</v>
      </c>
      <c r="AP11" s="523"/>
      <c r="AQ11" s="524">
        <f t="shared" si="12"/>
        <v>0</v>
      </c>
      <c r="AR11" s="525">
        <f t="shared" si="124"/>
        <v>0</v>
      </c>
      <c r="AS11" s="523"/>
      <c r="AT11" s="524">
        <f t="shared" si="13"/>
        <v>0</v>
      </c>
      <c r="AU11" s="525">
        <f t="shared" si="125"/>
        <v>0</v>
      </c>
      <c r="AV11" s="523"/>
      <c r="AW11" s="524">
        <f t="shared" si="14"/>
        <v>0</v>
      </c>
      <c r="AX11" s="525">
        <f t="shared" si="126"/>
        <v>0</v>
      </c>
      <c r="AY11" s="523"/>
      <c r="AZ11" s="524">
        <f t="shared" si="15"/>
        <v>0</v>
      </c>
      <c r="BA11" s="525">
        <f t="shared" si="127"/>
        <v>0</v>
      </c>
      <c r="BB11" s="523"/>
      <c r="BC11" s="524">
        <f t="shared" si="16"/>
        <v>0</v>
      </c>
      <c r="BD11" s="525">
        <f t="shared" si="128"/>
        <v>0</v>
      </c>
      <c r="BE11" s="523"/>
      <c r="BF11" s="524">
        <f t="shared" si="17"/>
        <v>0</v>
      </c>
      <c r="BG11" s="525">
        <f t="shared" si="129"/>
        <v>0</v>
      </c>
      <c r="BH11" s="523"/>
      <c r="BI11" s="524">
        <f t="shared" si="18"/>
        <v>0</v>
      </c>
      <c r="BJ11" s="525">
        <f t="shared" si="130"/>
        <v>0</v>
      </c>
      <c r="BK11" s="523"/>
      <c r="BL11" s="524">
        <f t="shared" si="19"/>
        <v>0</v>
      </c>
      <c r="BM11" s="525">
        <f t="shared" si="131"/>
        <v>0</v>
      </c>
      <c r="BN11" s="523"/>
      <c r="BO11" s="524">
        <f t="shared" si="20"/>
        <v>0</v>
      </c>
      <c r="BP11" s="525">
        <f t="shared" si="132"/>
        <v>0</v>
      </c>
      <c r="BQ11" s="523">
        <v>81.012658227848078</v>
      </c>
      <c r="BR11" s="524">
        <f t="shared" si="21"/>
        <v>2.1643199013611198</v>
      </c>
      <c r="BS11" s="525">
        <f t="shared" si="133"/>
        <v>0</v>
      </c>
      <c r="BT11" s="523"/>
      <c r="BU11" s="524">
        <f t="shared" si="22"/>
        <v>0</v>
      </c>
      <c r="BV11" s="525">
        <f t="shared" si="134"/>
        <v>0</v>
      </c>
      <c r="BW11" s="523"/>
      <c r="BX11" s="524">
        <f t="shared" si="23"/>
        <v>0</v>
      </c>
      <c r="BY11" s="525">
        <f t="shared" si="135"/>
        <v>0</v>
      </c>
      <c r="BZ11" s="523"/>
      <c r="CA11" s="524">
        <f t="shared" si="24"/>
        <v>0</v>
      </c>
      <c r="CB11" s="525">
        <f t="shared" si="136"/>
        <v>0</v>
      </c>
      <c r="CC11" s="523"/>
      <c r="CD11" s="524">
        <f t="shared" si="25"/>
        <v>0</v>
      </c>
      <c r="CE11" s="525">
        <f t="shared" si="137"/>
        <v>0</v>
      </c>
      <c r="CF11" s="523">
        <v>0.5</v>
      </c>
      <c r="CG11" s="524">
        <f t="shared" si="26"/>
        <v>1.3357911891213166E-2</v>
      </c>
      <c r="CH11" s="525">
        <f t="shared" si="138"/>
        <v>0</v>
      </c>
      <c r="CI11" s="523"/>
      <c r="CJ11" s="524">
        <f t="shared" si="27"/>
        <v>0</v>
      </c>
      <c r="CK11" s="525">
        <f t="shared" si="139"/>
        <v>0</v>
      </c>
      <c r="CL11" s="523"/>
      <c r="CM11" s="524">
        <f t="shared" si="28"/>
        <v>0</v>
      </c>
      <c r="CN11" s="525">
        <f t="shared" si="140"/>
        <v>0</v>
      </c>
      <c r="CO11" s="523"/>
      <c r="CP11" s="524">
        <f t="shared" si="29"/>
        <v>0</v>
      </c>
      <c r="CQ11" s="525">
        <f t="shared" si="141"/>
        <v>0</v>
      </c>
      <c r="CR11" s="523"/>
      <c r="CS11" s="524">
        <f t="shared" si="30"/>
        <v>0</v>
      </c>
      <c r="CT11" s="525">
        <f t="shared" si="142"/>
        <v>0</v>
      </c>
      <c r="CU11" s="523"/>
      <c r="CV11" s="524">
        <f t="shared" si="31"/>
        <v>0</v>
      </c>
      <c r="CW11" s="525">
        <f t="shared" si="143"/>
        <v>0</v>
      </c>
      <c r="CX11" s="523"/>
      <c r="CY11" s="524">
        <f t="shared" si="32"/>
        <v>0</v>
      </c>
      <c r="CZ11" s="525">
        <f t="shared" si="144"/>
        <v>0</v>
      </c>
      <c r="DA11" s="523"/>
      <c r="DB11" s="524">
        <f t="shared" si="33"/>
        <v>0</v>
      </c>
      <c r="DC11" s="525">
        <f t="shared" si="145"/>
        <v>0</v>
      </c>
      <c r="DD11" s="523"/>
      <c r="DE11" s="524">
        <f t="shared" si="34"/>
        <v>0</v>
      </c>
      <c r="DF11" s="525">
        <f t="shared" si="146"/>
        <v>0</v>
      </c>
      <c r="DG11" s="523"/>
      <c r="DH11" s="524">
        <f t="shared" si="35"/>
        <v>0</v>
      </c>
      <c r="DI11" s="525">
        <v>0</v>
      </c>
      <c r="DJ11" s="523"/>
      <c r="DK11" s="524">
        <f t="shared" si="36"/>
        <v>0</v>
      </c>
      <c r="DL11" s="525">
        <f t="shared" si="147"/>
        <v>0</v>
      </c>
      <c r="DM11" s="523"/>
      <c r="DN11" s="524">
        <f t="shared" si="37"/>
        <v>0</v>
      </c>
      <c r="DO11" s="525">
        <f t="shared" si="148"/>
        <v>0</v>
      </c>
      <c r="DP11" s="523"/>
      <c r="DQ11" s="524">
        <f t="shared" si="38"/>
        <v>0</v>
      </c>
      <c r="DR11" s="525">
        <f t="shared" si="149"/>
        <v>0</v>
      </c>
      <c r="DS11" s="523"/>
      <c r="DT11" s="524">
        <f t="shared" si="39"/>
        <v>0</v>
      </c>
      <c r="DU11" s="525">
        <f t="shared" si="150"/>
        <v>0</v>
      </c>
      <c r="DV11" s="523"/>
      <c r="DW11" s="524">
        <f t="shared" si="40"/>
        <v>0</v>
      </c>
      <c r="DX11" s="525">
        <f t="shared" si="151"/>
        <v>0</v>
      </c>
      <c r="DY11" s="523"/>
      <c r="DZ11" s="524">
        <f t="shared" si="41"/>
        <v>0</v>
      </c>
      <c r="EA11" s="525">
        <f t="shared" si="152"/>
        <v>0</v>
      </c>
      <c r="EB11" s="523"/>
      <c r="EC11" s="524">
        <f t="shared" si="42"/>
        <v>0</v>
      </c>
      <c r="ED11" s="525">
        <f t="shared" si="153"/>
        <v>0</v>
      </c>
      <c r="EE11" s="523">
        <v>18.168604651162752</v>
      </c>
      <c r="EF11" s="524">
        <f t="shared" si="43"/>
        <v>0.48538924023303553</v>
      </c>
      <c r="EG11" s="525">
        <f t="shared" si="154"/>
        <v>0</v>
      </c>
      <c r="EH11" s="523">
        <v>58.029999999999973</v>
      </c>
      <c r="EI11" s="524">
        <f t="shared" si="44"/>
        <v>1.5503192540941995</v>
      </c>
      <c r="EJ11" s="525">
        <f t="shared" si="155"/>
        <v>0</v>
      </c>
      <c r="EK11" s="523">
        <v>4</v>
      </c>
      <c r="EL11" s="524">
        <f t="shared" si="45"/>
        <v>0.10686329512970533</v>
      </c>
      <c r="EM11" s="525">
        <f t="shared" si="156"/>
        <v>0</v>
      </c>
      <c r="EN11" s="523">
        <v>42.197295000000054</v>
      </c>
      <c r="EO11" s="524">
        <f t="shared" si="46"/>
        <v>1.1273354973150613</v>
      </c>
      <c r="EP11" s="525">
        <f t="shared" si="157"/>
        <v>0</v>
      </c>
      <c r="EQ11" s="523">
        <v>42.197295000000054</v>
      </c>
      <c r="ER11" s="524">
        <f t="shared" si="47"/>
        <v>1.1273354973150613</v>
      </c>
      <c r="ES11" s="525">
        <f t="shared" si="158"/>
        <v>0</v>
      </c>
      <c r="ET11" s="523"/>
      <c r="EU11" s="524">
        <f t="shared" si="48"/>
        <v>0</v>
      </c>
      <c r="EV11" s="525">
        <f t="shared" si="159"/>
        <v>0</v>
      </c>
      <c r="EW11" s="523"/>
      <c r="EX11" s="524">
        <f t="shared" si="49"/>
        <v>0</v>
      </c>
      <c r="EY11" s="525">
        <f t="shared" si="160"/>
        <v>0</v>
      </c>
      <c r="EZ11" s="523"/>
      <c r="FA11" s="524">
        <f t="shared" si="50"/>
        <v>0</v>
      </c>
      <c r="FB11" s="525">
        <f t="shared" si="161"/>
        <v>0</v>
      </c>
      <c r="FC11" s="523"/>
      <c r="FD11" s="524">
        <f t="shared" si="51"/>
        <v>0</v>
      </c>
      <c r="FE11" s="525">
        <f t="shared" si="162"/>
        <v>0</v>
      </c>
      <c r="FF11" s="523"/>
      <c r="FG11" s="524">
        <f t="shared" si="52"/>
        <v>0</v>
      </c>
      <c r="FH11" s="525">
        <f t="shared" si="163"/>
        <v>0</v>
      </c>
      <c r="FI11" s="523"/>
      <c r="FJ11" s="524">
        <f t="shared" si="53"/>
        <v>0</v>
      </c>
      <c r="FK11" s="525">
        <f t="shared" si="164"/>
        <v>0</v>
      </c>
      <c r="FL11" s="523"/>
      <c r="FM11" s="524">
        <f t="shared" si="54"/>
        <v>0</v>
      </c>
      <c r="FN11" s="525">
        <f t="shared" si="165"/>
        <v>0</v>
      </c>
      <c r="FO11" s="523"/>
      <c r="FP11" s="524">
        <f t="shared" si="55"/>
        <v>0</v>
      </c>
      <c r="FQ11" s="525">
        <f t="shared" si="166"/>
        <v>0</v>
      </c>
      <c r="FR11" s="523"/>
      <c r="FS11" s="524">
        <f t="shared" si="56"/>
        <v>0</v>
      </c>
      <c r="FT11" s="525">
        <f t="shared" si="167"/>
        <v>0</v>
      </c>
      <c r="FU11" s="523"/>
      <c r="FV11" s="524">
        <f t="shared" si="57"/>
        <v>0</v>
      </c>
      <c r="FW11" s="525">
        <f t="shared" si="168"/>
        <v>0</v>
      </c>
      <c r="FX11" s="523"/>
      <c r="FY11" s="524">
        <f t="shared" si="58"/>
        <v>0</v>
      </c>
      <c r="FZ11" s="525">
        <f t="shared" si="169"/>
        <v>0</v>
      </c>
      <c r="GA11" s="523"/>
      <c r="GB11" s="524">
        <f t="shared" si="59"/>
        <v>0</v>
      </c>
      <c r="GC11" s="525">
        <f t="shared" si="170"/>
        <v>0</v>
      </c>
      <c r="GD11" s="523"/>
      <c r="GE11" s="524">
        <f t="shared" si="60"/>
        <v>0</v>
      </c>
      <c r="GF11" s="525">
        <f t="shared" si="171"/>
        <v>0</v>
      </c>
      <c r="GG11" s="523"/>
      <c r="GH11" s="524">
        <f t="shared" si="61"/>
        <v>0</v>
      </c>
      <c r="GI11" s="525">
        <f t="shared" si="172"/>
        <v>0</v>
      </c>
      <c r="GJ11" s="523"/>
      <c r="GK11" s="524">
        <f t="shared" si="62"/>
        <v>0</v>
      </c>
      <c r="GL11" s="525">
        <f t="shared" si="173"/>
        <v>0</v>
      </c>
      <c r="GM11" s="523"/>
      <c r="GN11" s="524">
        <f t="shared" si="63"/>
        <v>0</v>
      </c>
      <c r="GO11" s="525">
        <f t="shared" si="174"/>
        <v>0</v>
      </c>
      <c r="GP11" s="523"/>
      <c r="GQ11" s="524">
        <f t="shared" si="64"/>
        <v>0</v>
      </c>
      <c r="GR11" s="525">
        <f t="shared" si="175"/>
        <v>0</v>
      </c>
      <c r="GS11" s="523"/>
      <c r="GT11" s="524">
        <f t="shared" si="65"/>
        <v>0</v>
      </c>
      <c r="GU11" s="525">
        <f t="shared" si="176"/>
        <v>0</v>
      </c>
      <c r="GV11" s="523"/>
      <c r="GW11" s="524">
        <f t="shared" si="66"/>
        <v>0</v>
      </c>
      <c r="GX11" s="525">
        <f t="shared" si="177"/>
        <v>0</v>
      </c>
      <c r="GY11" s="523"/>
      <c r="GZ11" s="524">
        <f t="shared" si="67"/>
        <v>0</v>
      </c>
      <c r="HA11" s="525">
        <f t="shared" si="178"/>
        <v>0</v>
      </c>
      <c r="HB11" s="523"/>
      <c r="HC11" s="524">
        <f t="shared" si="68"/>
        <v>0</v>
      </c>
      <c r="HD11" s="525">
        <f t="shared" si="179"/>
        <v>0</v>
      </c>
      <c r="HE11" s="523"/>
      <c r="HF11" s="524">
        <f t="shared" si="69"/>
        <v>0</v>
      </c>
      <c r="HG11" s="525">
        <f t="shared" si="180"/>
        <v>0</v>
      </c>
      <c r="HH11" s="523"/>
      <c r="HI11" s="524">
        <f t="shared" si="70"/>
        <v>0</v>
      </c>
      <c r="HJ11" s="525">
        <f t="shared" si="181"/>
        <v>0</v>
      </c>
      <c r="HK11" s="523"/>
      <c r="HL11" s="524">
        <f t="shared" si="71"/>
        <v>0</v>
      </c>
      <c r="HM11" s="525">
        <f t="shared" si="182"/>
        <v>0</v>
      </c>
      <c r="HN11" s="523"/>
      <c r="HO11" s="524">
        <f t="shared" si="72"/>
        <v>0</v>
      </c>
      <c r="HP11" s="525">
        <f t="shared" si="183"/>
        <v>0</v>
      </c>
      <c r="HQ11" s="523"/>
      <c r="HR11" s="524">
        <f t="shared" si="73"/>
        <v>0</v>
      </c>
      <c r="HS11" s="525">
        <f t="shared" si="184"/>
        <v>0</v>
      </c>
      <c r="HT11" s="523"/>
      <c r="HU11" s="524">
        <f t="shared" si="74"/>
        <v>0</v>
      </c>
      <c r="HV11" s="525">
        <f t="shared" si="185"/>
        <v>0</v>
      </c>
      <c r="HW11" s="523"/>
      <c r="HX11" s="524">
        <f t="shared" si="75"/>
        <v>0</v>
      </c>
      <c r="HY11" s="525">
        <f t="shared" si="186"/>
        <v>0</v>
      </c>
      <c r="HZ11" s="523"/>
      <c r="IA11" s="524">
        <f t="shared" si="76"/>
        <v>0</v>
      </c>
      <c r="IB11" s="525">
        <f t="shared" si="187"/>
        <v>0</v>
      </c>
      <c r="IC11" s="523"/>
      <c r="ID11" s="524">
        <f t="shared" si="77"/>
        <v>0</v>
      </c>
      <c r="IE11" s="525">
        <f t="shared" si="188"/>
        <v>0</v>
      </c>
      <c r="IF11" s="523"/>
      <c r="IG11" s="524">
        <f t="shared" si="78"/>
        <v>0</v>
      </c>
      <c r="IH11" s="525">
        <f t="shared" si="189"/>
        <v>0</v>
      </c>
      <c r="II11" s="523"/>
      <c r="IJ11" s="524">
        <f t="shared" si="79"/>
        <v>0</v>
      </c>
      <c r="IK11" s="525">
        <f t="shared" si="190"/>
        <v>0</v>
      </c>
      <c r="IL11" s="523"/>
      <c r="IM11" s="524">
        <f t="shared" si="80"/>
        <v>0</v>
      </c>
      <c r="IN11" s="525">
        <f t="shared" si="191"/>
        <v>0</v>
      </c>
      <c r="IO11" s="523"/>
      <c r="IP11" s="524">
        <f t="shared" si="81"/>
        <v>0</v>
      </c>
      <c r="IQ11" s="525">
        <f t="shared" si="192"/>
        <v>0</v>
      </c>
      <c r="IR11" s="523"/>
      <c r="IS11" s="524">
        <f t="shared" si="82"/>
        <v>0</v>
      </c>
      <c r="IT11" s="525">
        <f t="shared" si="193"/>
        <v>0</v>
      </c>
      <c r="IU11" s="523"/>
      <c r="IV11" s="524">
        <f t="shared" si="83"/>
        <v>0</v>
      </c>
      <c r="IW11" s="525">
        <f t="shared" si="194"/>
        <v>0</v>
      </c>
      <c r="IX11" s="523"/>
      <c r="IY11" s="524">
        <f t="shared" si="84"/>
        <v>0</v>
      </c>
      <c r="IZ11" s="525">
        <f t="shared" si="195"/>
        <v>0</v>
      </c>
      <c r="JA11" s="523"/>
      <c r="JB11" s="524">
        <f t="shared" si="85"/>
        <v>0</v>
      </c>
      <c r="JC11" s="525">
        <f t="shared" si="196"/>
        <v>0</v>
      </c>
      <c r="JD11" s="523"/>
      <c r="JE11" s="524">
        <f t="shared" si="86"/>
        <v>0</v>
      </c>
      <c r="JF11" s="525">
        <f t="shared" si="197"/>
        <v>0</v>
      </c>
      <c r="JG11" s="523"/>
      <c r="JH11" s="524">
        <f t="shared" si="87"/>
        <v>0</v>
      </c>
      <c r="JI11" s="525">
        <f t="shared" si="198"/>
        <v>0</v>
      </c>
      <c r="JJ11" s="523"/>
      <c r="JK11" s="525" t="str">
        <f t="shared" si="88"/>
        <v>0</v>
      </c>
      <c r="JL11" s="525" t="str">
        <f t="shared" si="89"/>
        <v>0</v>
      </c>
      <c r="JM11" s="523"/>
      <c r="JN11" s="525" t="str">
        <f t="shared" si="90"/>
        <v>0</v>
      </c>
      <c r="JO11" s="525" t="str">
        <f t="shared" si="91"/>
        <v>0</v>
      </c>
      <c r="JP11" s="523"/>
      <c r="JQ11" s="525" t="str">
        <f t="shared" si="92"/>
        <v>0</v>
      </c>
      <c r="JR11" s="525" t="str">
        <f t="shared" si="93"/>
        <v>0</v>
      </c>
      <c r="JS11" s="523"/>
      <c r="JT11" s="525" t="str">
        <f t="shared" si="94"/>
        <v>0</v>
      </c>
      <c r="JU11" s="525" t="str">
        <f t="shared" si="95"/>
        <v>0</v>
      </c>
      <c r="JV11" s="523"/>
      <c r="JW11" s="525" t="str">
        <f t="shared" si="96"/>
        <v>0</v>
      </c>
      <c r="JX11" s="525" t="str">
        <f t="shared" si="97"/>
        <v>0</v>
      </c>
      <c r="JY11" s="523"/>
      <c r="JZ11" s="525" t="str">
        <f t="shared" si="98"/>
        <v>0</v>
      </c>
      <c r="KA11" s="525" t="str">
        <f t="shared" si="99"/>
        <v>0</v>
      </c>
      <c r="KB11" s="523"/>
      <c r="KC11" s="525" t="str">
        <f t="shared" si="100"/>
        <v>0</v>
      </c>
      <c r="KD11" s="525" t="str">
        <f t="shared" si="101"/>
        <v>0</v>
      </c>
      <c r="KE11" s="523"/>
      <c r="KF11" s="525" t="str">
        <f t="shared" si="102"/>
        <v>0</v>
      </c>
      <c r="KG11" s="525" t="str">
        <f t="shared" si="103"/>
        <v>0</v>
      </c>
      <c r="KH11" s="523"/>
      <c r="KI11" s="525" t="str">
        <f t="shared" si="104"/>
        <v>0</v>
      </c>
      <c r="KJ11" s="525" t="str">
        <f t="shared" si="105"/>
        <v>0</v>
      </c>
      <c r="KK11" s="523"/>
      <c r="KL11" s="525" t="str">
        <f t="shared" si="106"/>
        <v>0</v>
      </c>
      <c r="KM11" s="525" t="str">
        <f t="shared" si="107"/>
        <v>0</v>
      </c>
      <c r="KN11" s="523"/>
      <c r="KO11" s="525" t="str">
        <f t="shared" si="108"/>
        <v>0</v>
      </c>
      <c r="KP11" s="525" t="str">
        <f t="shared" si="109"/>
        <v>0</v>
      </c>
      <c r="KQ11" s="523"/>
      <c r="KR11" s="525" t="str">
        <f t="shared" si="110"/>
        <v>0</v>
      </c>
      <c r="KS11" s="525" t="str">
        <f t="shared" si="111"/>
        <v>0</v>
      </c>
      <c r="KT11" s="525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25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61">
        <f t="shared" si="199"/>
        <v>551.40290287901075</v>
      </c>
    </row>
    <row r="12" spans="1:308">
      <c r="A12" s="262">
        <f t="shared" si="200"/>
        <v>46116</v>
      </c>
      <c r="B12" s="263" t="str">
        <f>+Report1!B12</f>
        <v>Facial</v>
      </c>
      <c r="C12" s="263" t="str">
        <f>+Report1!C12</f>
        <v>11,5/14/13</v>
      </c>
      <c r="D12" s="264">
        <f>+Report1!P12</f>
        <v>42.465000000000003</v>
      </c>
      <c r="E12" s="556">
        <f>+Report1!R12</f>
        <v>41.97</v>
      </c>
      <c r="F12" s="523"/>
      <c r="G12" s="524">
        <f t="shared" si="0"/>
        <v>0</v>
      </c>
      <c r="H12" s="525">
        <f t="shared" si="112"/>
        <v>0</v>
      </c>
      <c r="I12" s="523">
        <v>302.9218000000003</v>
      </c>
      <c r="J12" s="524">
        <f t="shared" si="1"/>
        <v>7.2175792232547131</v>
      </c>
      <c r="K12" s="525">
        <f t="shared" si="113"/>
        <v>0</v>
      </c>
      <c r="L12" s="523"/>
      <c r="M12" s="524">
        <f t="shared" si="2"/>
        <v>0</v>
      </c>
      <c r="N12" s="525">
        <f t="shared" si="114"/>
        <v>0</v>
      </c>
      <c r="O12" s="523">
        <v>6.2524000000000228</v>
      </c>
      <c r="P12" s="524">
        <f t="shared" si="3"/>
        <v>0.14897307600667198</v>
      </c>
      <c r="Q12" s="525">
        <f t="shared" si="115"/>
        <v>0</v>
      </c>
      <c r="R12" s="523"/>
      <c r="S12" s="524">
        <f t="shared" si="4"/>
        <v>0</v>
      </c>
      <c r="T12" s="525">
        <f t="shared" si="116"/>
        <v>0</v>
      </c>
      <c r="U12" s="523">
        <v>6.6743999999999986</v>
      </c>
      <c r="V12" s="524">
        <f t="shared" si="5"/>
        <v>0.15902787705503929</v>
      </c>
      <c r="W12" s="525">
        <f t="shared" si="117"/>
        <v>0</v>
      </c>
      <c r="X12" s="523"/>
      <c r="Y12" s="524">
        <f t="shared" si="6"/>
        <v>0</v>
      </c>
      <c r="Z12" s="525">
        <f t="shared" si="118"/>
        <v>0</v>
      </c>
      <c r="AA12" s="523">
        <v>8.5937499999999858</v>
      </c>
      <c r="AB12" s="524">
        <f t="shared" si="7"/>
        <v>0.20475935191803635</v>
      </c>
      <c r="AC12" s="525">
        <f t="shared" si="119"/>
        <v>0</v>
      </c>
      <c r="AD12" s="523"/>
      <c r="AE12" s="524">
        <f t="shared" si="8"/>
        <v>0</v>
      </c>
      <c r="AF12" s="525">
        <f t="shared" si="120"/>
        <v>0</v>
      </c>
      <c r="AG12" s="523"/>
      <c r="AH12" s="524">
        <f t="shared" si="9"/>
        <v>0</v>
      </c>
      <c r="AI12" s="525">
        <f t="shared" si="121"/>
        <v>0</v>
      </c>
      <c r="AJ12" s="523"/>
      <c r="AK12" s="524">
        <f t="shared" si="10"/>
        <v>0</v>
      </c>
      <c r="AL12" s="525">
        <f t="shared" si="122"/>
        <v>0</v>
      </c>
      <c r="AM12" s="523"/>
      <c r="AN12" s="524">
        <f t="shared" si="11"/>
        <v>0</v>
      </c>
      <c r="AO12" s="525">
        <f t="shared" si="123"/>
        <v>0</v>
      </c>
      <c r="AP12" s="523"/>
      <c r="AQ12" s="524">
        <f t="shared" si="12"/>
        <v>0</v>
      </c>
      <c r="AR12" s="525">
        <f t="shared" si="124"/>
        <v>0</v>
      </c>
      <c r="AS12" s="523"/>
      <c r="AT12" s="524">
        <f t="shared" si="13"/>
        <v>0</v>
      </c>
      <c r="AU12" s="525">
        <f t="shared" si="125"/>
        <v>0</v>
      </c>
      <c r="AV12" s="523"/>
      <c r="AW12" s="524">
        <f t="shared" si="14"/>
        <v>0</v>
      </c>
      <c r="AX12" s="525">
        <f t="shared" si="126"/>
        <v>0</v>
      </c>
      <c r="AY12" s="523"/>
      <c r="AZ12" s="524">
        <f t="shared" si="15"/>
        <v>0</v>
      </c>
      <c r="BA12" s="525">
        <f t="shared" si="127"/>
        <v>0</v>
      </c>
      <c r="BB12" s="523"/>
      <c r="BC12" s="524">
        <f t="shared" si="16"/>
        <v>0</v>
      </c>
      <c r="BD12" s="525">
        <f t="shared" si="128"/>
        <v>0</v>
      </c>
      <c r="BE12" s="523"/>
      <c r="BF12" s="524">
        <f t="shared" si="17"/>
        <v>0</v>
      </c>
      <c r="BG12" s="525">
        <f t="shared" si="129"/>
        <v>0</v>
      </c>
      <c r="BH12" s="523"/>
      <c r="BI12" s="524">
        <f t="shared" si="18"/>
        <v>0</v>
      </c>
      <c r="BJ12" s="525">
        <f t="shared" si="130"/>
        <v>0</v>
      </c>
      <c r="BK12" s="523"/>
      <c r="BL12" s="524">
        <f t="shared" si="19"/>
        <v>0</v>
      </c>
      <c r="BM12" s="525">
        <f t="shared" si="131"/>
        <v>0</v>
      </c>
      <c r="BN12" s="523"/>
      <c r="BO12" s="524">
        <f t="shared" si="20"/>
        <v>0</v>
      </c>
      <c r="BP12" s="525">
        <f t="shared" si="132"/>
        <v>0</v>
      </c>
      <c r="BQ12" s="523">
        <v>37.974683544303957</v>
      </c>
      <c r="BR12" s="524">
        <f t="shared" si="21"/>
        <v>0.90480542159409005</v>
      </c>
      <c r="BS12" s="525">
        <f t="shared" si="133"/>
        <v>0</v>
      </c>
      <c r="BT12" s="523"/>
      <c r="BU12" s="524">
        <f t="shared" si="22"/>
        <v>0</v>
      </c>
      <c r="BV12" s="525">
        <f t="shared" si="134"/>
        <v>0</v>
      </c>
      <c r="BW12" s="523"/>
      <c r="BX12" s="524">
        <f t="shared" si="23"/>
        <v>0</v>
      </c>
      <c r="BY12" s="525">
        <f t="shared" si="135"/>
        <v>0</v>
      </c>
      <c r="BZ12" s="523"/>
      <c r="CA12" s="524">
        <f t="shared" si="24"/>
        <v>0</v>
      </c>
      <c r="CB12" s="525">
        <f t="shared" si="136"/>
        <v>0</v>
      </c>
      <c r="CC12" s="523">
        <v>1</v>
      </c>
      <c r="CD12" s="524">
        <f t="shared" si="25"/>
        <v>2.3826542768644269E-2</v>
      </c>
      <c r="CE12" s="525">
        <f t="shared" si="137"/>
        <v>0</v>
      </c>
      <c r="CF12" s="523">
        <v>0.5</v>
      </c>
      <c r="CG12" s="524">
        <f t="shared" si="26"/>
        <v>1.1913271384322134E-2</v>
      </c>
      <c r="CH12" s="525">
        <f t="shared" si="138"/>
        <v>0</v>
      </c>
      <c r="CI12" s="523"/>
      <c r="CJ12" s="524">
        <f t="shared" si="27"/>
        <v>0</v>
      </c>
      <c r="CK12" s="525">
        <f t="shared" si="139"/>
        <v>0</v>
      </c>
      <c r="CL12" s="523"/>
      <c r="CM12" s="524">
        <f t="shared" si="28"/>
        <v>0</v>
      </c>
      <c r="CN12" s="525">
        <f t="shared" si="140"/>
        <v>0</v>
      </c>
      <c r="CO12" s="523"/>
      <c r="CP12" s="524">
        <f t="shared" si="29"/>
        <v>0</v>
      </c>
      <c r="CQ12" s="525">
        <f t="shared" si="141"/>
        <v>0</v>
      </c>
      <c r="CR12" s="523"/>
      <c r="CS12" s="524">
        <f t="shared" si="30"/>
        <v>0</v>
      </c>
      <c r="CT12" s="525">
        <f t="shared" si="142"/>
        <v>0</v>
      </c>
      <c r="CU12" s="523"/>
      <c r="CV12" s="524">
        <f t="shared" si="31"/>
        <v>0</v>
      </c>
      <c r="CW12" s="525">
        <f t="shared" si="143"/>
        <v>0</v>
      </c>
      <c r="CX12" s="523"/>
      <c r="CY12" s="524">
        <f t="shared" si="32"/>
        <v>0</v>
      </c>
      <c r="CZ12" s="525">
        <f t="shared" si="144"/>
        <v>0</v>
      </c>
      <c r="DA12" s="523"/>
      <c r="DB12" s="524">
        <f t="shared" si="33"/>
        <v>0</v>
      </c>
      <c r="DC12" s="525">
        <f t="shared" si="145"/>
        <v>0</v>
      </c>
      <c r="DD12" s="523"/>
      <c r="DE12" s="524">
        <f t="shared" si="34"/>
        <v>0</v>
      </c>
      <c r="DF12" s="525">
        <f t="shared" si="146"/>
        <v>0</v>
      </c>
      <c r="DG12" s="523"/>
      <c r="DH12" s="524">
        <f t="shared" si="35"/>
        <v>0</v>
      </c>
      <c r="DI12" s="525">
        <v>0</v>
      </c>
      <c r="DJ12" s="523"/>
      <c r="DK12" s="524">
        <f t="shared" si="36"/>
        <v>0</v>
      </c>
      <c r="DL12" s="525">
        <f t="shared" si="147"/>
        <v>0</v>
      </c>
      <c r="DM12" s="523"/>
      <c r="DN12" s="524">
        <f t="shared" si="37"/>
        <v>0</v>
      </c>
      <c r="DO12" s="525">
        <f t="shared" si="148"/>
        <v>0</v>
      </c>
      <c r="DP12" s="523"/>
      <c r="DQ12" s="524">
        <f t="shared" si="38"/>
        <v>0</v>
      </c>
      <c r="DR12" s="525">
        <f t="shared" si="149"/>
        <v>0</v>
      </c>
      <c r="DS12" s="523"/>
      <c r="DT12" s="524">
        <f t="shared" si="39"/>
        <v>0</v>
      </c>
      <c r="DU12" s="525">
        <f t="shared" si="150"/>
        <v>0</v>
      </c>
      <c r="DV12" s="523"/>
      <c r="DW12" s="524">
        <f t="shared" si="40"/>
        <v>0</v>
      </c>
      <c r="DX12" s="525">
        <f t="shared" si="151"/>
        <v>0</v>
      </c>
      <c r="DY12" s="523"/>
      <c r="DZ12" s="524">
        <f t="shared" si="41"/>
        <v>0</v>
      </c>
      <c r="EA12" s="525">
        <f t="shared" si="152"/>
        <v>0</v>
      </c>
      <c r="EB12" s="523"/>
      <c r="EC12" s="524">
        <f t="shared" si="42"/>
        <v>0</v>
      </c>
      <c r="ED12" s="525">
        <f t="shared" si="153"/>
        <v>0</v>
      </c>
      <c r="EE12" s="523">
        <v>32.703488372092977</v>
      </c>
      <c r="EF12" s="524">
        <f t="shared" si="43"/>
        <v>0.77921106438153387</v>
      </c>
      <c r="EG12" s="525">
        <f t="shared" si="154"/>
        <v>0</v>
      </c>
      <c r="EH12" s="523">
        <v>61.180000000000007</v>
      </c>
      <c r="EI12" s="524">
        <f t="shared" si="44"/>
        <v>1.4577078865856565</v>
      </c>
      <c r="EJ12" s="525">
        <f t="shared" si="155"/>
        <v>0</v>
      </c>
      <c r="EK12" s="523">
        <v>4</v>
      </c>
      <c r="EL12" s="524">
        <f t="shared" si="45"/>
        <v>9.5306171074577076E-2</v>
      </c>
      <c r="EM12" s="525">
        <f t="shared" si="156"/>
        <v>0</v>
      </c>
      <c r="EN12" s="523">
        <v>34.943475000000035</v>
      </c>
      <c r="EO12" s="524">
        <f t="shared" si="46"/>
        <v>0.83258220157255269</v>
      </c>
      <c r="EP12" s="525">
        <f t="shared" si="157"/>
        <v>0</v>
      </c>
      <c r="EQ12" s="523">
        <v>46.339449999999829</v>
      </c>
      <c r="ER12" s="524">
        <f t="shared" si="47"/>
        <v>1.1041088873004488</v>
      </c>
      <c r="ES12" s="525">
        <f t="shared" si="158"/>
        <v>0</v>
      </c>
      <c r="ET12" s="523"/>
      <c r="EU12" s="524">
        <f t="shared" si="48"/>
        <v>0</v>
      </c>
      <c r="EV12" s="525">
        <f t="shared" si="159"/>
        <v>0</v>
      </c>
      <c r="EW12" s="523"/>
      <c r="EX12" s="524">
        <f t="shared" si="49"/>
        <v>0</v>
      </c>
      <c r="EY12" s="525">
        <f t="shared" si="160"/>
        <v>0</v>
      </c>
      <c r="EZ12" s="523"/>
      <c r="FA12" s="524">
        <f t="shared" si="50"/>
        <v>0</v>
      </c>
      <c r="FB12" s="525">
        <f t="shared" si="161"/>
        <v>0</v>
      </c>
      <c r="FC12" s="523"/>
      <c r="FD12" s="524">
        <f t="shared" si="51"/>
        <v>0</v>
      </c>
      <c r="FE12" s="525">
        <f t="shared" si="162"/>
        <v>0</v>
      </c>
      <c r="FF12" s="523"/>
      <c r="FG12" s="524">
        <f t="shared" si="52"/>
        <v>0</v>
      </c>
      <c r="FH12" s="525">
        <f t="shared" si="163"/>
        <v>0</v>
      </c>
      <c r="FI12" s="523"/>
      <c r="FJ12" s="524">
        <f t="shared" si="53"/>
        <v>0</v>
      </c>
      <c r="FK12" s="525">
        <f t="shared" si="164"/>
        <v>0</v>
      </c>
      <c r="FL12" s="523"/>
      <c r="FM12" s="524">
        <f t="shared" si="54"/>
        <v>0</v>
      </c>
      <c r="FN12" s="525">
        <f t="shared" si="165"/>
        <v>0</v>
      </c>
      <c r="FO12" s="523"/>
      <c r="FP12" s="524">
        <f t="shared" si="55"/>
        <v>0</v>
      </c>
      <c r="FQ12" s="525">
        <f t="shared" si="166"/>
        <v>0</v>
      </c>
      <c r="FR12" s="523"/>
      <c r="FS12" s="524">
        <f t="shared" si="56"/>
        <v>0</v>
      </c>
      <c r="FT12" s="525">
        <f t="shared" si="167"/>
        <v>0</v>
      </c>
      <c r="FU12" s="523"/>
      <c r="FV12" s="524">
        <f t="shared" si="57"/>
        <v>0</v>
      </c>
      <c r="FW12" s="525">
        <f t="shared" si="168"/>
        <v>0</v>
      </c>
      <c r="FX12" s="523"/>
      <c r="FY12" s="524">
        <f t="shared" si="58"/>
        <v>0</v>
      </c>
      <c r="FZ12" s="525">
        <f t="shared" si="169"/>
        <v>0</v>
      </c>
      <c r="GA12" s="523"/>
      <c r="GB12" s="524">
        <f t="shared" si="59"/>
        <v>0</v>
      </c>
      <c r="GC12" s="525">
        <f t="shared" si="170"/>
        <v>0</v>
      </c>
      <c r="GD12" s="523"/>
      <c r="GE12" s="524">
        <f t="shared" si="60"/>
        <v>0</v>
      </c>
      <c r="GF12" s="525">
        <f t="shared" si="171"/>
        <v>0</v>
      </c>
      <c r="GG12" s="523"/>
      <c r="GH12" s="524">
        <f t="shared" si="61"/>
        <v>0</v>
      </c>
      <c r="GI12" s="525">
        <f t="shared" si="172"/>
        <v>0</v>
      </c>
      <c r="GJ12" s="523"/>
      <c r="GK12" s="524">
        <f t="shared" si="62"/>
        <v>0</v>
      </c>
      <c r="GL12" s="525">
        <f t="shared" si="173"/>
        <v>0</v>
      </c>
      <c r="GM12" s="523"/>
      <c r="GN12" s="524">
        <f t="shared" si="63"/>
        <v>0</v>
      </c>
      <c r="GO12" s="525">
        <f t="shared" si="174"/>
        <v>0</v>
      </c>
      <c r="GP12" s="523"/>
      <c r="GQ12" s="524">
        <f t="shared" si="64"/>
        <v>0</v>
      </c>
      <c r="GR12" s="525">
        <f t="shared" si="175"/>
        <v>0</v>
      </c>
      <c r="GS12" s="523"/>
      <c r="GT12" s="524">
        <f t="shared" si="65"/>
        <v>0</v>
      </c>
      <c r="GU12" s="525">
        <f t="shared" si="176"/>
        <v>0</v>
      </c>
      <c r="GV12" s="523"/>
      <c r="GW12" s="524">
        <f t="shared" si="66"/>
        <v>0</v>
      </c>
      <c r="GX12" s="525">
        <f t="shared" si="177"/>
        <v>0</v>
      </c>
      <c r="GY12" s="523"/>
      <c r="GZ12" s="524">
        <f t="shared" si="67"/>
        <v>0</v>
      </c>
      <c r="HA12" s="525">
        <f t="shared" si="178"/>
        <v>0</v>
      </c>
      <c r="HB12" s="523"/>
      <c r="HC12" s="524">
        <f t="shared" si="68"/>
        <v>0</v>
      </c>
      <c r="HD12" s="525">
        <f t="shared" si="179"/>
        <v>0</v>
      </c>
      <c r="HE12" s="523"/>
      <c r="HF12" s="524">
        <f t="shared" si="69"/>
        <v>0</v>
      </c>
      <c r="HG12" s="525">
        <f t="shared" si="180"/>
        <v>0</v>
      </c>
      <c r="HH12" s="523"/>
      <c r="HI12" s="524">
        <f t="shared" si="70"/>
        <v>0</v>
      </c>
      <c r="HJ12" s="525">
        <f t="shared" si="181"/>
        <v>0</v>
      </c>
      <c r="HK12" s="523"/>
      <c r="HL12" s="524">
        <f t="shared" si="71"/>
        <v>0</v>
      </c>
      <c r="HM12" s="525">
        <f t="shared" si="182"/>
        <v>0</v>
      </c>
      <c r="HN12" s="523"/>
      <c r="HO12" s="524">
        <f t="shared" si="72"/>
        <v>0</v>
      </c>
      <c r="HP12" s="525">
        <f t="shared" si="183"/>
        <v>0</v>
      </c>
      <c r="HQ12" s="523"/>
      <c r="HR12" s="524">
        <f t="shared" si="73"/>
        <v>0</v>
      </c>
      <c r="HS12" s="525">
        <f t="shared" si="184"/>
        <v>0</v>
      </c>
      <c r="HT12" s="523"/>
      <c r="HU12" s="524">
        <f t="shared" si="74"/>
        <v>0</v>
      </c>
      <c r="HV12" s="525">
        <f t="shared" si="185"/>
        <v>0</v>
      </c>
      <c r="HW12" s="523"/>
      <c r="HX12" s="524">
        <f t="shared" si="75"/>
        <v>0</v>
      </c>
      <c r="HY12" s="525">
        <f t="shared" si="186"/>
        <v>0</v>
      </c>
      <c r="HZ12" s="523"/>
      <c r="IA12" s="524">
        <f t="shared" si="76"/>
        <v>0</v>
      </c>
      <c r="IB12" s="525">
        <f t="shared" si="187"/>
        <v>0</v>
      </c>
      <c r="IC12" s="523"/>
      <c r="ID12" s="524">
        <f t="shared" si="77"/>
        <v>0</v>
      </c>
      <c r="IE12" s="525">
        <f t="shared" si="188"/>
        <v>0</v>
      </c>
      <c r="IF12" s="523"/>
      <c r="IG12" s="524">
        <f t="shared" si="78"/>
        <v>0</v>
      </c>
      <c r="IH12" s="525">
        <f t="shared" si="189"/>
        <v>0</v>
      </c>
      <c r="II12" s="523"/>
      <c r="IJ12" s="524">
        <f t="shared" si="79"/>
        <v>0</v>
      </c>
      <c r="IK12" s="525">
        <f t="shared" si="190"/>
        <v>0</v>
      </c>
      <c r="IL12" s="523"/>
      <c r="IM12" s="524">
        <f t="shared" si="80"/>
        <v>0</v>
      </c>
      <c r="IN12" s="525">
        <f t="shared" si="191"/>
        <v>0</v>
      </c>
      <c r="IO12" s="523"/>
      <c r="IP12" s="524">
        <f t="shared" si="81"/>
        <v>0</v>
      </c>
      <c r="IQ12" s="525">
        <f t="shared" si="192"/>
        <v>0</v>
      </c>
      <c r="IR12" s="523"/>
      <c r="IS12" s="524">
        <f t="shared" si="82"/>
        <v>0</v>
      </c>
      <c r="IT12" s="525">
        <f t="shared" si="193"/>
        <v>0</v>
      </c>
      <c r="IU12" s="523"/>
      <c r="IV12" s="524">
        <f t="shared" si="83"/>
        <v>0</v>
      </c>
      <c r="IW12" s="525">
        <f t="shared" si="194"/>
        <v>0</v>
      </c>
      <c r="IX12" s="523"/>
      <c r="IY12" s="524">
        <f t="shared" si="84"/>
        <v>0</v>
      </c>
      <c r="IZ12" s="525">
        <f t="shared" si="195"/>
        <v>0</v>
      </c>
      <c r="JA12" s="523"/>
      <c r="JB12" s="524">
        <f t="shared" si="85"/>
        <v>0</v>
      </c>
      <c r="JC12" s="525">
        <f t="shared" si="196"/>
        <v>0</v>
      </c>
      <c r="JD12" s="523"/>
      <c r="JE12" s="524">
        <f t="shared" si="86"/>
        <v>0</v>
      </c>
      <c r="JF12" s="525">
        <f t="shared" si="197"/>
        <v>0</v>
      </c>
      <c r="JG12" s="523"/>
      <c r="JH12" s="524">
        <f t="shared" si="87"/>
        <v>0</v>
      </c>
      <c r="JI12" s="525">
        <f t="shared" si="198"/>
        <v>0</v>
      </c>
      <c r="JJ12" s="523"/>
      <c r="JK12" s="525" t="str">
        <f t="shared" si="88"/>
        <v>0</v>
      </c>
      <c r="JL12" s="525" t="str">
        <f t="shared" si="89"/>
        <v>0</v>
      </c>
      <c r="JM12" s="523"/>
      <c r="JN12" s="525" t="str">
        <f t="shared" si="90"/>
        <v>0</v>
      </c>
      <c r="JO12" s="525" t="str">
        <f t="shared" si="91"/>
        <v>0</v>
      </c>
      <c r="JP12" s="523"/>
      <c r="JQ12" s="525" t="str">
        <f t="shared" si="92"/>
        <v>0</v>
      </c>
      <c r="JR12" s="525" t="str">
        <f t="shared" si="93"/>
        <v>0</v>
      </c>
      <c r="JS12" s="523"/>
      <c r="JT12" s="525" t="str">
        <f t="shared" si="94"/>
        <v>0</v>
      </c>
      <c r="JU12" s="525" t="str">
        <f t="shared" si="95"/>
        <v>0</v>
      </c>
      <c r="JV12" s="523"/>
      <c r="JW12" s="525" t="str">
        <f t="shared" si="96"/>
        <v>0</v>
      </c>
      <c r="JX12" s="525" t="str">
        <f t="shared" si="97"/>
        <v>0</v>
      </c>
      <c r="JY12" s="523"/>
      <c r="JZ12" s="525" t="str">
        <f t="shared" si="98"/>
        <v>0</v>
      </c>
      <c r="KA12" s="525" t="str">
        <f t="shared" si="99"/>
        <v>0</v>
      </c>
      <c r="KB12" s="523"/>
      <c r="KC12" s="525" t="str">
        <f t="shared" si="100"/>
        <v>0</v>
      </c>
      <c r="KD12" s="525" t="str">
        <f t="shared" si="101"/>
        <v>0</v>
      </c>
      <c r="KE12" s="523"/>
      <c r="KF12" s="525" t="str">
        <f t="shared" si="102"/>
        <v>0</v>
      </c>
      <c r="KG12" s="525" t="str">
        <f t="shared" si="103"/>
        <v>0</v>
      </c>
      <c r="KH12" s="523"/>
      <c r="KI12" s="525" t="str">
        <f t="shared" si="104"/>
        <v>0</v>
      </c>
      <c r="KJ12" s="525" t="str">
        <f t="shared" si="105"/>
        <v>0</v>
      </c>
      <c r="KK12" s="523"/>
      <c r="KL12" s="525" t="str">
        <f t="shared" si="106"/>
        <v>0</v>
      </c>
      <c r="KM12" s="525" t="str">
        <f t="shared" si="107"/>
        <v>0</v>
      </c>
      <c r="KN12" s="523"/>
      <c r="KO12" s="525" t="str">
        <f t="shared" si="108"/>
        <v>0</v>
      </c>
      <c r="KP12" s="525" t="str">
        <f t="shared" si="109"/>
        <v>0</v>
      </c>
      <c r="KQ12" s="523"/>
      <c r="KR12" s="525" t="str">
        <f t="shared" si="110"/>
        <v>0</v>
      </c>
      <c r="KS12" s="525" t="str">
        <f t="shared" si="111"/>
        <v>0</v>
      </c>
      <c r="KT12" s="525">
        <f t="shared" si="201"/>
        <v>0</v>
      </c>
      <c r="KU12" s="525">
        <f t="shared" si="202"/>
        <v>0</v>
      </c>
      <c r="KV12" s="261">
        <f t="shared" si="199"/>
        <v>543.08344691639718</v>
      </c>
    </row>
    <row r="13" spans="1:308">
      <c r="A13" s="262">
        <f t="shared" si="200"/>
        <v>46117</v>
      </c>
      <c r="B13" s="263" t="str">
        <f>+Report1!B13</f>
        <v>Facial</v>
      </c>
      <c r="C13" s="263" t="str">
        <f>+Report1!C13</f>
        <v>11,5</v>
      </c>
      <c r="D13" s="264">
        <f>+Report1!P13</f>
        <v>39.04</v>
      </c>
      <c r="E13" s="556">
        <f>+Report1!R13</f>
        <v>39.289000000000001</v>
      </c>
      <c r="F13" s="523"/>
      <c r="G13" s="524">
        <f t="shared" si="0"/>
        <v>0</v>
      </c>
      <c r="H13" s="525">
        <f t="shared" si="112"/>
        <v>0</v>
      </c>
      <c r="I13" s="523">
        <v>278.4803999999998</v>
      </c>
      <c r="J13" s="524">
        <f t="shared" si="1"/>
        <v>7.0879991855226603</v>
      </c>
      <c r="K13" s="525">
        <f t="shared" si="113"/>
        <v>0</v>
      </c>
      <c r="L13" s="523"/>
      <c r="M13" s="524">
        <f t="shared" si="2"/>
        <v>0</v>
      </c>
      <c r="N13" s="525">
        <f t="shared" si="114"/>
        <v>0</v>
      </c>
      <c r="O13" s="523">
        <v>5.7419999999999902</v>
      </c>
      <c r="P13" s="524">
        <f t="shared" si="3"/>
        <v>0.14614777673140039</v>
      </c>
      <c r="Q13" s="525">
        <f t="shared" si="115"/>
        <v>0</v>
      </c>
      <c r="R13" s="523"/>
      <c r="S13" s="524">
        <f t="shared" si="4"/>
        <v>0</v>
      </c>
      <c r="T13" s="525">
        <f t="shared" si="116"/>
        <v>0</v>
      </c>
      <c r="U13" s="523">
        <v>6.1387999999999998</v>
      </c>
      <c r="V13" s="524">
        <f t="shared" si="5"/>
        <v>0.15624729568072487</v>
      </c>
      <c r="W13" s="525">
        <f t="shared" si="117"/>
        <v>0</v>
      </c>
      <c r="X13" s="523"/>
      <c r="Y13" s="524">
        <f t="shared" si="6"/>
        <v>0</v>
      </c>
      <c r="Z13" s="525">
        <f t="shared" si="118"/>
        <v>0</v>
      </c>
      <c r="AA13" s="523">
        <v>8.5937499999999858</v>
      </c>
      <c r="AB13" s="524">
        <f t="shared" si="7"/>
        <v>0.2187317060754915</v>
      </c>
      <c r="AC13" s="525">
        <f t="shared" si="119"/>
        <v>0</v>
      </c>
      <c r="AD13" s="523"/>
      <c r="AE13" s="524">
        <f t="shared" si="8"/>
        <v>0</v>
      </c>
      <c r="AF13" s="525">
        <f t="shared" si="120"/>
        <v>0</v>
      </c>
      <c r="AG13" s="523"/>
      <c r="AH13" s="524">
        <f t="shared" si="9"/>
        <v>0</v>
      </c>
      <c r="AI13" s="525">
        <f t="shared" si="121"/>
        <v>0</v>
      </c>
      <c r="AJ13" s="523"/>
      <c r="AK13" s="524">
        <f t="shared" si="10"/>
        <v>0</v>
      </c>
      <c r="AL13" s="525">
        <f t="shared" si="122"/>
        <v>0</v>
      </c>
      <c r="AM13" s="523"/>
      <c r="AN13" s="524">
        <f t="shared" si="11"/>
        <v>0</v>
      </c>
      <c r="AO13" s="525">
        <f t="shared" si="123"/>
        <v>0</v>
      </c>
      <c r="AP13" s="523"/>
      <c r="AQ13" s="524">
        <f t="shared" si="12"/>
        <v>0</v>
      </c>
      <c r="AR13" s="525">
        <f t="shared" si="124"/>
        <v>0</v>
      </c>
      <c r="AS13" s="523"/>
      <c r="AT13" s="524">
        <f t="shared" si="13"/>
        <v>0</v>
      </c>
      <c r="AU13" s="525">
        <f t="shared" si="125"/>
        <v>0</v>
      </c>
      <c r="AV13" s="523"/>
      <c r="AW13" s="524">
        <f t="shared" si="14"/>
        <v>0</v>
      </c>
      <c r="AX13" s="525">
        <f t="shared" si="126"/>
        <v>0</v>
      </c>
      <c r="AY13" s="523"/>
      <c r="AZ13" s="524">
        <f t="shared" si="15"/>
        <v>0</v>
      </c>
      <c r="BA13" s="525">
        <f t="shared" si="127"/>
        <v>0</v>
      </c>
      <c r="BB13" s="523"/>
      <c r="BC13" s="524">
        <f t="shared" si="16"/>
        <v>0</v>
      </c>
      <c r="BD13" s="525">
        <f t="shared" si="128"/>
        <v>0</v>
      </c>
      <c r="BE13" s="523"/>
      <c r="BF13" s="524">
        <f t="shared" si="17"/>
        <v>0</v>
      </c>
      <c r="BG13" s="525">
        <f t="shared" si="129"/>
        <v>0</v>
      </c>
      <c r="BH13" s="523"/>
      <c r="BI13" s="524">
        <f t="shared" si="18"/>
        <v>0</v>
      </c>
      <c r="BJ13" s="525">
        <f t="shared" si="130"/>
        <v>0</v>
      </c>
      <c r="BK13" s="523"/>
      <c r="BL13" s="524">
        <f t="shared" si="19"/>
        <v>0</v>
      </c>
      <c r="BM13" s="525">
        <f t="shared" si="131"/>
        <v>0</v>
      </c>
      <c r="BN13" s="523"/>
      <c r="BO13" s="524">
        <f t="shared" si="20"/>
        <v>0</v>
      </c>
      <c r="BP13" s="525">
        <f t="shared" si="132"/>
        <v>0</v>
      </c>
      <c r="BQ13" s="523">
        <v>75.949367088607517</v>
      </c>
      <c r="BR13" s="524">
        <f t="shared" si="21"/>
        <v>1.9330949397695922</v>
      </c>
      <c r="BS13" s="525">
        <f t="shared" si="133"/>
        <v>0</v>
      </c>
      <c r="BT13" s="523"/>
      <c r="BU13" s="524">
        <f t="shared" si="22"/>
        <v>0</v>
      </c>
      <c r="BV13" s="525">
        <f t="shared" si="134"/>
        <v>0</v>
      </c>
      <c r="BW13" s="523"/>
      <c r="BX13" s="524">
        <f t="shared" si="23"/>
        <v>0</v>
      </c>
      <c r="BY13" s="525">
        <f t="shared" si="135"/>
        <v>0</v>
      </c>
      <c r="BZ13" s="523"/>
      <c r="CA13" s="524">
        <f t="shared" si="24"/>
        <v>0</v>
      </c>
      <c r="CB13" s="525">
        <f t="shared" si="136"/>
        <v>0</v>
      </c>
      <c r="CC13" s="523">
        <v>1</v>
      </c>
      <c r="CD13" s="524">
        <f t="shared" si="25"/>
        <v>2.5452416706966324E-2</v>
      </c>
      <c r="CE13" s="525">
        <f t="shared" si="137"/>
        <v>0</v>
      </c>
      <c r="CF13" s="523">
        <v>0.5</v>
      </c>
      <c r="CG13" s="524">
        <f t="shared" si="26"/>
        <v>1.2726208353483162E-2</v>
      </c>
      <c r="CH13" s="525">
        <f t="shared" si="138"/>
        <v>0</v>
      </c>
      <c r="CI13" s="523"/>
      <c r="CJ13" s="524">
        <f t="shared" si="27"/>
        <v>0</v>
      </c>
      <c r="CK13" s="525">
        <f t="shared" si="139"/>
        <v>0</v>
      </c>
      <c r="CL13" s="523"/>
      <c r="CM13" s="524">
        <f t="shared" si="28"/>
        <v>0</v>
      </c>
      <c r="CN13" s="525">
        <f t="shared" si="140"/>
        <v>0</v>
      </c>
      <c r="CO13" s="523"/>
      <c r="CP13" s="524">
        <f t="shared" si="29"/>
        <v>0</v>
      </c>
      <c r="CQ13" s="525">
        <f t="shared" si="141"/>
        <v>0</v>
      </c>
      <c r="CR13" s="523"/>
      <c r="CS13" s="524">
        <f t="shared" si="30"/>
        <v>0</v>
      </c>
      <c r="CT13" s="525">
        <f t="shared" si="142"/>
        <v>0</v>
      </c>
      <c r="CU13" s="523"/>
      <c r="CV13" s="524">
        <f t="shared" si="31"/>
        <v>0</v>
      </c>
      <c r="CW13" s="525">
        <f t="shared" si="143"/>
        <v>0</v>
      </c>
      <c r="CX13" s="523"/>
      <c r="CY13" s="524">
        <f t="shared" si="32"/>
        <v>0</v>
      </c>
      <c r="CZ13" s="525">
        <f t="shared" si="144"/>
        <v>0</v>
      </c>
      <c r="DA13" s="523"/>
      <c r="DB13" s="524">
        <f t="shared" si="33"/>
        <v>0</v>
      </c>
      <c r="DC13" s="525">
        <f t="shared" si="145"/>
        <v>0</v>
      </c>
      <c r="DD13" s="523"/>
      <c r="DE13" s="524">
        <f t="shared" si="34"/>
        <v>0</v>
      </c>
      <c r="DF13" s="525">
        <f t="shared" si="146"/>
        <v>0</v>
      </c>
      <c r="DG13" s="523"/>
      <c r="DH13" s="524">
        <f t="shared" si="35"/>
        <v>0</v>
      </c>
      <c r="DI13" s="525">
        <v>0</v>
      </c>
      <c r="DJ13" s="523"/>
      <c r="DK13" s="524">
        <f t="shared" si="36"/>
        <v>0</v>
      </c>
      <c r="DL13" s="525">
        <f t="shared" si="147"/>
        <v>0</v>
      </c>
      <c r="DM13" s="523"/>
      <c r="DN13" s="524">
        <f t="shared" si="37"/>
        <v>0</v>
      </c>
      <c r="DO13" s="525">
        <f t="shared" si="148"/>
        <v>0</v>
      </c>
      <c r="DP13" s="523"/>
      <c r="DQ13" s="524">
        <f t="shared" si="38"/>
        <v>0</v>
      </c>
      <c r="DR13" s="525">
        <f t="shared" si="149"/>
        <v>0</v>
      </c>
      <c r="DS13" s="523"/>
      <c r="DT13" s="524">
        <f t="shared" si="39"/>
        <v>0</v>
      </c>
      <c r="DU13" s="525">
        <f t="shared" si="150"/>
        <v>0</v>
      </c>
      <c r="DV13" s="523"/>
      <c r="DW13" s="524">
        <f t="shared" si="40"/>
        <v>0</v>
      </c>
      <c r="DX13" s="525">
        <f t="shared" si="151"/>
        <v>0</v>
      </c>
      <c r="DY13" s="523"/>
      <c r="DZ13" s="524">
        <f t="shared" si="41"/>
        <v>0</v>
      </c>
      <c r="EA13" s="525">
        <f t="shared" si="152"/>
        <v>0</v>
      </c>
      <c r="EB13" s="523"/>
      <c r="EC13" s="524">
        <f t="shared" si="42"/>
        <v>0</v>
      </c>
      <c r="ED13" s="525">
        <f t="shared" si="153"/>
        <v>0</v>
      </c>
      <c r="EE13" s="523">
        <v>32.703488372092977</v>
      </c>
      <c r="EF13" s="524">
        <f t="shared" si="43"/>
        <v>0.83238281381793822</v>
      </c>
      <c r="EG13" s="525">
        <f t="shared" si="154"/>
        <v>0</v>
      </c>
      <c r="EH13" s="523">
        <v>56.240000000000009</v>
      </c>
      <c r="EI13" s="524">
        <f t="shared" si="44"/>
        <v>1.4314439155997865</v>
      </c>
      <c r="EJ13" s="525">
        <f t="shared" si="155"/>
        <v>0</v>
      </c>
      <c r="EK13" s="523">
        <v>4</v>
      </c>
      <c r="EL13" s="524">
        <f t="shared" si="45"/>
        <v>0.1018096668278653</v>
      </c>
      <c r="EM13" s="525">
        <f t="shared" si="156"/>
        <v>0</v>
      </c>
      <c r="EN13" s="523">
        <v>32.122544999999946</v>
      </c>
      <c r="EO13" s="524">
        <f t="shared" si="46"/>
        <v>0.81759640102827624</v>
      </c>
      <c r="EP13" s="525">
        <f t="shared" si="157"/>
        <v>0</v>
      </c>
      <c r="EQ13" s="523">
        <v>42.613050000000044</v>
      </c>
      <c r="ER13" s="524">
        <f t="shared" si="47"/>
        <v>1.0846051057547925</v>
      </c>
      <c r="ES13" s="525">
        <f t="shared" si="158"/>
        <v>0</v>
      </c>
      <c r="ET13" s="523"/>
      <c r="EU13" s="524">
        <f t="shared" si="48"/>
        <v>0</v>
      </c>
      <c r="EV13" s="525">
        <f t="shared" si="159"/>
        <v>0</v>
      </c>
      <c r="EW13" s="523"/>
      <c r="EX13" s="524">
        <f t="shared" si="49"/>
        <v>0</v>
      </c>
      <c r="EY13" s="525">
        <f t="shared" si="160"/>
        <v>0</v>
      </c>
      <c r="EZ13" s="523"/>
      <c r="FA13" s="524">
        <f t="shared" si="50"/>
        <v>0</v>
      </c>
      <c r="FB13" s="525">
        <f t="shared" si="161"/>
        <v>0</v>
      </c>
      <c r="FC13" s="523"/>
      <c r="FD13" s="524">
        <f t="shared" si="51"/>
        <v>0</v>
      </c>
      <c r="FE13" s="525">
        <f t="shared" si="162"/>
        <v>0</v>
      </c>
      <c r="FF13" s="523"/>
      <c r="FG13" s="524">
        <f t="shared" si="52"/>
        <v>0</v>
      </c>
      <c r="FH13" s="525">
        <f t="shared" si="163"/>
        <v>0</v>
      </c>
      <c r="FI13" s="523"/>
      <c r="FJ13" s="524">
        <f t="shared" si="53"/>
        <v>0</v>
      </c>
      <c r="FK13" s="525">
        <f t="shared" si="164"/>
        <v>0</v>
      </c>
      <c r="FL13" s="523"/>
      <c r="FM13" s="524">
        <f t="shared" si="54"/>
        <v>0</v>
      </c>
      <c r="FN13" s="525">
        <f t="shared" si="165"/>
        <v>0</v>
      </c>
      <c r="FO13" s="523"/>
      <c r="FP13" s="524">
        <f t="shared" si="55"/>
        <v>0</v>
      </c>
      <c r="FQ13" s="525">
        <f t="shared" si="166"/>
        <v>0</v>
      </c>
      <c r="FR13" s="523"/>
      <c r="FS13" s="524">
        <f t="shared" si="56"/>
        <v>0</v>
      </c>
      <c r="FT13" s="525">
        <f t="shared" si="167"/>
        <v>0</v>
      </c>
      <c r="FU13" s="523"/>
      <c r="FV13" s="524">
        <f t="shared" si="57"/>
        <v>0</v>
      </c>
      <c r="FW13" s="525">
        <f t="shared" si="168"/>
        <v>0</v>
      </c>
      <c r="FX13" s="523"/>
      <c r="FY13" s="524">
        <f t="shared" si="58"/>
        <v>0</v>
      </c>
      <c r="FZ13" s="525">
        <f t="shared" si="169"/>
        <v>0</v>
      </c>
      <c r="GA13" s="523"/>
      <c r="GB13" s="524">
        <f t="shared" si="59"/>
        <v>0</v>
      </c>
      <c r="GC13" s="525">
        <f t="shared" si="170"/>
        <v>0</v>
      </c>
      <c r="GD13" s="523"/>
      <c r="GE13" s="524">
        <f t="shared" si="60"/>
        <v>0</v>
      </c>
      <c r="GF13" s="525">
        <f t="shared" si="171"/>
        <v>0</v>
      </c>
      <c r="GG13" s="523"/>
      <c r="GH13" s="524">
        <f t="shared" si="61"/>
        <v>0</v>
      </c>
      <c r="GI13" s="525">
        <f t="shared" si="172"/>
        <v>0</v>
      </c>
      <c r="GJ13" s="523"/>
      <c r="GK13" s="524">
        <f t="shared" si="62"/>
        <v>0</v>
      </c>
      <c r="GL13" s="525">
        <f t="shared" si="173"/>
        <v>0</v>
      </c>
      <c r="GM13" s="523"/>
      <c r="GN13" s="524">
        <f t="shared" si="63"/>
        <v>0</v>
      </c>
      <c r="GO13" s="525">
        <f t="shared" si="174"/>
        <v>0</v>
      </c>
      <c r="GP13" s="523"/>
      <c r="GQ13" s="524">
        <f t="shared" si="64"/>
        <v>0</v>
      </c>
      <c r="GR13" s="525">
        <f t="shared" si="175"/>
        <v>0</v>
      </c>
      <c r="GS13" s="523"/>
      <c r="GT13" s="524">
        <f t="shared" si="65"/>
        <v>0</v>
      </c>
      <c r="GU13" s="525">
        <f t="shared" si="176"/>
        <v>0</v>
      </c>
      <c r="GV13" s="523"/>
      <c r="GW13" s="524">
        <f t="shared" si="66"/>
        <v>0</v>
      </c>
      <c r="GX13" s="525">
        <f t="shared" si="177"/>
        <v>0</v>
      </c>
      <c r="GY13" s="523"/>
      <c r="GZ13" s="524">
        <f t="shared" si="67"/>
        <v>0</v>
      </c>
      <c r="HA13" s="525">
        <f t="shared" si="178"/>
        <v>0</v>
      </c>
      <c r="HB13" s="523"/>
      <c r="HC13" s="524">
        <f t="shared" si="68"/>
        <v>0</v>
      </c>
      <c r="HD13" s="525">
        <f t="shared" si="179"/>
        <v>0</v>
      </c>
      <c r="HE13" s="523"/>
      <c r="HF13" s="524">
        <f t="shared" si="69"/>
        <v>0</v>
      </c>
      <c r="HG13" s="525">
        <f t="shared" si="180"/>
        <v>0</v>
      </c>
      <c r="HH13" s="523"/>
      <c r="HI13" s="524">
        <f t="shared" si="70"/>
        <v>0</v>
      </c>
      <c r="HJ13" s="525">
        <f t="shared" si="181"/>
        <v>0</v>
      </c>
      <c r="HK13" s="523"/>
      <c r="HL13" s="524">
        <f t="shared" si="71"/>
        <v>0</v>
      </c>
      <c r="HM13" s="525">
        <f t="shared" si="182"/>
        <v>0</v>
      </c>
      <c r="HN13" s="523"/>
      <c r="HO13" s="524">
        <f t="shared" si="72"/>
        <v>0</v>
      </c>
      <c r="HP13" s="525">
        <f t="shared" si="183"/>
        <v>0</v>
      </c>
      <c r="HQ13" s="523"/>
      <c r="HR13" s="524">
        <f t="shared" si="73"/>
        <v>0</v>
      </c>
      <c r="HS13" s="525">
        <f t="shared" si="184"/>
        <v>0</v>
      </c>
      <c r="HT13" s="523"/>
      <c r="HU13" s="524">
        <f t="shared" si="74"/>
        <v>0</v>
      </c>
      <c r="HV13" s="525">
        <f t="shared" si="185"/>
        <v>0</v>
      </c>
      <c r="HW13" s="523"/>
      <c r="HX13" s="524">
        <f t="shared" si="75"/>
        <v>0</v>
      </c>
      <c r="HY13" s="525">
        <f t="shared" si="186"/>
        <v>0</v>
      </c>
      <c r="HZ13" s="523"/>
      <c r="IA13" s="524">
        <f t="shared" si="76"/>
        <v>0</v>
      </c>
      <c r="IB13" s="525">
        <f t="shared" si="187"/>
        <v>0</v>
      </c>
      <c r="IC13" s="523"/>
      <c r="ID13" s="524">
        <f t="shared" si="77"/>
        <v>0</v>
      </c>
      <c r="IE13" s="525">
        <f t="shared" si="188"/>
        <v>0</v>
      </c>
      <c r="IF13" s="523"/>
      <c r="IG13" s="524">
        <f t="shared" si="78"/>
        <v>0</v>
      </c>
      <c r="IH13" s="525">
        <f t="shared" si="189"/>
        <v>0</v>
      </c>
      <c r="II13" s="523"/>
      <c r="IJ13" s="524">
        <f t="shared" si="79"/>
        <v>0</v>
      </c>
      <c r="IK13" s="525">
        <f t="shared" si="190"/>
        <v>0</v>
      </c>
      <c r="IL13" s="523"/>
      <c r="IM13" s="524">
        <f t="shared" si="80"/>
        <v>0</v>
      </c>
      <c r="IN13" s="525">
        <f t="shared" si="191"/>
        <v>0</v>
      </c>
      <c r="IO13" s="523"/>
      <c r="IP13" s="524">
        <f t="shared" si="81"/>
        <v>0</v>
      </c>
      <c r="IQ13" s="525">
        <f t="shared" si="192"/>
        <v>0</v>
      </c>
      <c r="IR13" s="523"/>
      <c r="IS13" s="524">
        <f t="shared" si="82"/>
        <v>0</v>
      </c>
      <c r="IT13" s="525">
        <f t="shared" si="193"/>
        <v>0</v>
      </c>
      <c r="IU13" s="523"/>
      <c r="IV13" s="524">
        <f t="shared" si="83"/>
        <v>0</v>
      </c>
      <c r="IW13" s="525">
        <f t="shared" si="194"/>
        <v>0</v>
      </c>
      <c r="IX13" s="523"/>
      <c r="IY13" s="524">
        <f t="shared" si="84"/>
        <v>0</v>
      </c>
      <c r="IZ13" s="525">
        <f t="shared" si="195"/>
        <v>0</v>
      </c>
      <c r="JA13" s="523"/>
      <c r="JB13" s="524">
        <f t="shared" si="85"/>
        <v>0</v>
      </c>
      <c r="JC13" s="525">
        <f t="shared" si="196"/>
        <v>0</v>
      </c>
      <c r="JD13" s="523"/>
      <c r="JE13" s="524">
        <f t="shared" si="86"/>
        <v>0</v>
      </c>
      <c r="JF13" s="525">
        <f t="shared" si="197"/>
        <v>0</v>
      </c>
      <c r="JG13" s="523"/>
      <c r="JH13" s="524">
        <f t="shared" si="87"/>
        <v>0</v>
      </c>
      <c r="JI13" s="525">
        <f t="shared" si="198"/>
        <v>0</v>
      </c>
      <c r="JJ13" s="523"/>
      <c r="JK13" s="525" t="str">
        <f t="shared" si="88"/>
        <v>0</v>
      </c>
      <c r="JL13" s="525" t="str">
        <f t="shared" si="89"/>
        <v>0</v>
      </c>
      <c r="JM13" s="523"/>
      <c r="JN13" s="525" t="str">
        <f t="shared" si="90"/>
        <v>0</v>
      </c>
      <c r="JO13" s="525" t="str">
        <f t="shared" si="91"/>
        <v>0</v>
      </c>
      <c r="JP13" s="523"/>
      <c r="JQ13" s="525" t="str">
        <f t="shared" si="92"/>
        <v>0</v>
      </c>
      <c r="JR13" s="525" t="str">
        <f t="shared" si="93"/>
        <v>0</v>
      </c>
      <c r="JS13" s="523"/>
      <c r="JT13" s="525" t="str">
        <f t="shared" si="94"/>
        <v>0</v>
      </c>
      <c r="JU13" s="525" t="str">
        <f t="shared" si="95"/>
        <v>0</v>
      </c>
      <c r="JV13" s="523"/>
      <c r="JW13" s="525" t="str">
        <f t="shared" si="96"/>
        <v>0</v>
      </c>
      <c r="JX13" s="525" t="str">
        <f t="shared" si="97"/>
        <v>0</v>
      </c>
      <c r="JY13" s="523"/>
      <c r="JZ13" s="525" t="str">
        <f t="shared" si="98"/>
        <v>0</v>
      </c>
      <c r="KA13" s="525" t="str">
        <f t="shared" si="99"/>
        <v>0</v>
      </c>
      <c r="KB13" s="523"/>
      <c r="KC13" s="525" t="str">
        <f t="shared" si="100"/>
        <v>0</v>
      </c>
      <c r="KD13" s="525" t="str">
        <f t="shared" si="101"/>
        <v>0</v>
      </c>
      <c r="KE13" s="523"/>
      <c r="KF13" s="525" t="str">
        <f t="shared" si="102"/>
        <v>0</v>
      </c>
      <c r="KG13" s="525" t="str">
        <f t="shared" si="103"/>
        <v>0</v>
      </c>
      <c r="KH13" s="523"/>
      <c r="KI13" s="525" t="str">
        <f t="shared" si="104"/>
        <v>0</v>
      </c>
      <c r="KJ13" s="525" t="str">
        <f t="shared" si="105"/>
        <v>0</v>
      </c>
      <c r="KK13" s="523"/>
      <c r="KL13" s="525" t="str">
        <f t="shared" si="106"/>
        <v>0</v>
      </c>
      <c r="KM13" s="525" t="str">
        <f t="shared" si="107"/>
        <v>0</v>
      </c>
      <c r="KN13" s="523"/>
      <c r="KO13" s="525" t="str">
        <f t="shared" si="108"/>
        <v>0</v>
      </c>
      <c r="KP13" s="525" t="str">
        <f t="shared" si="109"/>
        <v>0</v>
      </c>
      <c r="KQ13" s="523"/>
      <c r="KR13" s="525" t="str">
        <f t="shared" si="110"/>
        <v>0</v>
      </c>
      <c r="KS13" s="525" t="str">
        <f t="shared" si="111"/>
        <v>0</v>
      </c>
      <c r="KT13" s="525">
        <f t="shared" si="201"/>
        <v>0</v>
      </c>
      <c r="KU13" s="525">
        <f t="shared" si="202"/>
        <v>0</v>
      </c>
      <c r="KV13" s="261">
        <f t="shared" si="199"/>
        <v>544.0834004607002</v>
      </c>
    </row>
    <row r="14" spans="1:308">
      <c r="A14" s="262">
        <f t="shared" si="200"/>
        <v>46118</v>
      </c>
      <c r="B14" s="263" t="str">
        <f>+Report1!B14</f>
        <v>Facial</v>
      </c>
      <c r="C14" s="263" t="str">
        <f>+Report1!C14</f>
        <v>11,5/12/14</v>
      </c>
      <c r="D14" s="264">
        <f>+Report1!P14</f>
        <v>41.542000000000002</v>
      </c>
      <c r="E14" s="556">
        <f>+Report1!R14</f>
        <v>39.037999999999997</v>
      </c>
      <c r="F14" s="523"/>
      <c r="G14" s="524">
        <f t="shared" si="0"/>
        <v>0</v>
      </c>
      <c r="H14" s="525">
        <f t="shared" si="112"/>
        <v>0</v>
      </c>
      <c r="I14" s="523">
        <v>279.06756744186032</v>
      </c>
      <c r="J14" s="524">
        <f t="shared" si="1"/>
        <v>7.1486133367964637</v>
      </c>
      <c r="K14" s="525">
        <f t="shared" si="113"/>
        <v>0</v>
      </c>
      <c r="L14" s="523"/>
      <c r="M14" s="524">
        <f t="shared" si="2"/>
        <v>0</v>
      </c>
      <c r="N14" s="525">
        <f t="shared" si="114"/>
        <v>0</v>
      </c>
      <c r="O14" s="523">
        <v>6.0015999999999963</v>
      </c>
      <c r="P14" s="524">
        <f t="shared" si="3"/>
        <v>0.15373738408729948</v>
      </c>
      <c r="Q14" s="525">
        <f t="shared" si="115"/>
        <v>0</v>
      </c>
      <c r="R14" s="523"/>
      <c r="S14" s="524">
        <f t="shared" si="4"/>
        <v>0</v>
      </c>
      <c r="T14" s="525">
        <f t="shared" si="116"/>
        <v>0</v>
      </c>
      <c r="U14" s="523">
        <v>5.1263999999999612</v>
      </c>
      <c r="V14" s="524">
        <f t="shared" si="5"/>
        <v>0.13131820277678061</v>
      </c>
      <c r="W14" s="525">
        <f t="shared" si="117"/>
        <v>0</v>
      </c>
      <c r="X14" s="523"/>
      <c r="Y14" s="524">
        <f t="shared" si="6"/>
        <v>0</v>
      </c>
      <c r="Z14" s="525">
        <f t="shared" si="118"/>
        <v>0</v>
      </c>
      <c r="AA14" s="523">
        <v>6.2500000000000142</v>
      </c>
      <c r="AB14" s="524">
        <f t="shared" si="7"/>
        <v>0.160100414980276</v>
      </c>
      <c r="AC14" s="525">
        <f t="shared" si="119"/>
        <v>0</v>
      </c>
      <c r="AD14" s="523"/>
      <c r="AE14" s="524">
        <f t="shared" si="8"/>
        <v>0</v>
      </c>
      <c r="AF14" s="525">
        <f t="shared" si="120"/>
        <v>0</v>
      </c>
      <c r="AG14" s="523"/>
      <c r="AH14" s="524">
        <f t="shared" si="9"/>
        <v>0</v>
      </c>
      <c r="AI14" s="525">
        <f t="shared" si="121"/>
        <v>0</v>
      </c>
      <c r="AJ14" s="523"/>
      <c r="AK14" s="524">
        <f t="shared" si="10"/>
        <v>0</v>
      </c>
      <c r="AL14" s="525">
        <f t="shared" si="122"/>
        <v>0</v>
      </c>
      <c r="AM14" s="523"/>
      <c r="AN14" s="524">
        <f t="shared" si="11"/>
        <v>0</v>
      </c>
      <c r="AO14" s="525">
        <f t="shared" si="123"/>
        <v>0</v>
      </c>
      <c r="AP14" s="523"/>
      <c r="AQ14" s="524">
        <f t="shared" si="12"/>
        <v>0</v>
      </c>
      <c r="AR14" s="525">
        <f t="shared" si="124"/>
        <v>0</v>
      </c>
      <c r="AS14" s="523"/>
      <c r="AT14" s="524">
        <f t="shared" si="13"/>
        <v>0</v>
      </c>
      <c r="AU14" s="525">
        <f t="shared" si="125"/>
        <v>0</v>
      </c>
      <c r="AV14" s="523"/>
      <c r="AW14" s="524">
        <f t="shared" si="14"/>
        <v>0</v>
      </c>
      <c r="AX14" s="525">
        <f t="shared" si="126"/>
        <v>0</v>
      </c>
      <c r="AY14" s="523"/>
      <c r="AZ14" s="524">
        <f t="shared" si="15"/>
        <v>0</v>
      </c>
      <c r="BA14" s="525">
        <f t="shared" si="127"/>
        <v>0</v>
      </c>
      <c r="BB14" s="523"/>
      <c r="BC14" s="524">
        <f t="shared" si="16"/>
        <v>0</v>
      </c>
      <c r="BD14" s="525">
        <f t="shared" si="128"/>
        <v>0</v>
      </c>
      <c r="BE14" s="523"/>
      <c r="BF14" s="524">
        <f t="shared" si="17"/>
        <v>0</v>
      </c>
      <c r="BG14" s="525">
        <f t="shared" si="129"/>
        <v>0</v>
      </c>
      <c r="BH14" s="523"/>
      <c r="BI14" s="524">
        <f t="shared" si="18"/>
        <v>0</v>
      </c>
      <c r="BJ14" s="525">
        <f t="shared" si="130"/>
        <v>0</v>
      </c>
      <c r="BK14" s="523"/>
      <c r="BL14" s="524">
        <f t="shared" si="19"/>
        <v>0</v>
      </c>
      <c r="BM14" s="525">
        <f t="shared" si="131"/>
        <v>0</v>
      </c>
      <c r="BN14" s="523"/>
      <c r="BO14" s="524">
        <f t="shared" si="20"/>
        <v>0</v>
      </c>
      <c r="BP14" s="525">
        <f t="shared" si="132"/>
        <v>0</v>
      </c>
      <c r="BQ14" s="523">
        <v>397.46835443037958</v>
      </c>
      <c r="BR14" s="524">
        <f t="shared" si="21"/>
        <v>10.181575757732968</v>
      </c>
      <c r="BS14" s="525">
        <f t="shared" si="133"/>
        <v>0</v>
      </c>
      <c r="BT14" s="523"/>
      <c r="BU14" s="524">
        <f t="shared" si="22"/>
        <v>0</v>
      </c>
      <c r="BV14" s="525">
        <f t="shared" si="134"/>
        <v>0</v>
      </c>
      <c r="BW14" s="523"/>
      <c r="BX14" s="524">
        <f t="shared" si="23"/>
        <v>0</v>
      </c>
      <c r="BY14" s="525">
        <f t="shared" si="135"/>
        <v>0</v>
      </c>
      <c r="BZ14" s="523"/>
      <c r="CA14" s="524">
        <f t="shared" si="24"/>
        <v>0</v>
      </c>
      <c r="CB14" s="525">
        <f t="shared" si="136"/>
        <v>0</v>
      </c>
      <c r="CC14" s="523"/>
      <c r="CD14" s="524">
        <f t="shared" si="25"/>
        <v>0</v>
      </c>
      <c r="CE14" s="525">
        <f t="shared" si="137"/>
        <v>0</v>
      </c>
      <c r="CF14" s="523">
        <v>0.5</v>
      </c>
      <c r="CG14" s="524">
        <f t="shared" si="26"/>
        <v>1.2808033198422051E-2</v>
      </c>
      <c r="CH14" s="525">
        <f t="shared" si="138"/>
        <v>0</v>
      </c>
      <c r="CI14" s="523"/>
      <c r="CJ14" s="524">
        <f t="shared" si="27"/>
        <v>0</v>
      </c>
      <c r="CK14" s="525">
        <f t="shared" si="139"/>
        <v>0</v>
      </c>
      <c r="CL14" s="523"/>
      <c r="CM14" s="524">
        <f t="shared" si="28"/>
        <v>0</v>
      </c>
      <c r="CN14" s="525">
        <f t="shared" si="140"/>
        <v>0</v>
      </c>
      <c r="CO14" s="523"/>
      <c r="CP14" s="524">
        <f t="shared" si="29"/>
        <v>0</v>
      </c>
      <c r="CQ14" s="525">
        <f t="shared" si="141"/>
        <v>0</v>
      </c>
      <c r="CR14" s="523"/>
      <c r="CS14" s="524">
        <f t="shared" si="30"/>
        <v>0</v>
      </c>
      <c r="CT14" s="525">
        <f t="shared" si="142"/>
        <v>0</v>
      </c>
      <c r="CU14" s="523"/>
      <c r="CV14" s="524">
        <f t="shared" si="31"/>
        <v>0</v>
      </c>
      <c r="CW14" s="525">
        <f t="shared" si="143"/>
        <v>0</v>
      </c>
      <c r="CX14" s="523"/>
      <c r="CY14" s="524">
        <f t="shared" si="32"/>
        <v>0</v>
      </c>
      <c r="CZ14" s="525">
        <f t="shared" si="144"/>
        <v>0</v>
      </c>
      <c r="DA14" s="523"/>
      <c r="DB14" s="524">
        <f t="shared" si="33"/>
        <v>0</v>
      </c>
      <c r="DC14" s="525">
        <f t="shared" si="145"/>
        <v>0</v>
      </c>
      <c r="DD14" s="523"/>
      <c r="DE14" s="524">
        <f t="shared" si="34"/>
        <v>0</v>
      </c>
      <c r="DF14" s="525">
        <f t="shared" si="146"/>
        <v>0</v>
      </c>
      <c r="DG14" s="523"/>
      <c r="DH14" s="524">
        <f t="shared" si="35"/>
        <v>0</v>
      </c>
      <c r="DI14" s="525">
        <f t="shared" ref="DI14:DI39" si="203">+DG14*$H$8</f>
        <v>0</v>
      </c>
      <c r="DJ14" s="523"/>
      <c r="DK14" s="524">
        <f t="shared" si="36"/>
        <v>0</v>
      </c>
      <c r="DL14" s="525">
        <f t="shared" si="147"/>
        <v>0</v>
      </c>
      <c r="DM14" s="523"/>
      <c r="DN14" s="524">
        <f t="shared" si="37"/>
        <v>0</v>
      </c>
      <c r="DO14" s="525">
        <f t="shared" si="148"/>
        <v>0</v>
      </c>
      <c r="DP14" s="523"/>
      <c r="DQ14" s="524">
        <f t="shared" si="38"/>
        <v>0</v>
      </c>
      <c r="DR14" s="525">
        <f t="shared" si="149"/>
        <v>0</v>
      </c>
      <c r="DS14" s="523"/>
      <c r="DT14" s="524">
        <f t="shared" si="39"/>
        <v>0</v>
      </c>
      <c r="DU14" s="525">
        <f t="shared" si="150"/>
        <v>0</v>
      </c>
      <c r="DV14" s="523"/>
      <c r="DW14" s="524">
        <f t="shared" si="40"/>
        <v>0</v>
      </c>
      <c r="DX14" s="525">
        <f t="shared" si="151"/>
        <v>0</v>
      </c>
      <c r="DY14" s="523"/>
      <c r="DZ14" s="524">
        <f t="shared" si="41"/>
        <v>0</v>
      </c>
      <c r="EA14" s="525">
        <f t="shared" si="152"/>
        <v>0</v>
      </c>
      <c r="EB14" s="523"/>
      <c r="EC14" s="524">
        <f t="shared" si="42"/>
        <v>0</v>
      </c>
      <c r="ED14" s="525">
        <f t="shared" si="153"/>
        <v>0</v>
      </c>
      <c r="EE14" s="523">
        <v>14.534883720930281</v>
      </c>
      <c r="EF14" s="524">
        <f t="shared" si="43"/>
        <v>0.37232654646575858</v>
      </c>
      <c r="EG14" s="525">
        <f t="shared" si="154"/>
        <v>0</v>
      </c>
      <c r="EH14" s="523">
        <v>58.702352941176514</v>
      </c>
      <c r="EI14" s="524">
        <f t="shared" si="44"/>
        <v>1.5037233705921542</v>
      </c>
      <c r="EJ14" s="525">
        <f t="shared" si="155"/>
        <v>0</v>
      </c>
      <c r="EK14" s="523">
        <v>4</v>
      </c>
      <c r="EL14" s="524">
        <f t="shared" si="45"/>
        <v>0.10246426558737641</v>
      </c>
      <c r="EM14" s="525">
        <f t="shared" si="156"/>
        <v>0</v>
      </c>
      <c r="EN14" s="523">
        <v>42.687538658536596</v>
      </c>
      <c r="EO14" s="524">
        <f t="shared" si="46"/>
        <v>1.093486824594923</v>
      </c>
      <c r="EP14" s="525">
        <f t="shared" si="157"/>
        <v>0</v>
      </c>
      <c r="EQ14" s="523">
        <v>39.535279069767626</v>
      </c>
      <c r="ER14" s="524">
        <f t="shared" si="47"/>
        <v>1.0127383336689284</v>
      </c>
      <c r="ES14" s="525">
        <f t="shared" si="158"/>
        <v>0</v>
      </c>
      <c r="ET14" s="523"/>
      <c r="EU14" s="524">
        <f t="shared" si="48"/>
        <v>0</v>
      </c>
      <c r="EV14" s="525">
        <f t="shared" si="159"/>
        <v>0</v>
      </c>
      <c r="EW14" s="523"/>
      <c r="EX14" s="524">
        <f t="shared" si="49"/>
        <v>0</v>
      </c>
      <c r="EY14" s="525">
        <f t="shared" si="160"/>
        <v>0</v>
      </c>
      <c r="EZ14" s="523"/>
      <c r="FA14" s="524">
        <f t="shared" si="50"/>
        <v>0</v>
      </c>
      <c r="FB14" s="525">
        <f t="shared" si="161"/>
        <v>0</v>
      </c>
      <c r="FC14" s="523"/>
      <c r="FD14" s="524">
        <f t="shared" si="51"/>
        <v>0</v>
      </c>
      <c r="FE14" s="525">
        <f t="shared" si="162"/>
        <v>0</v>
      </c>
      <c r="FF14" s="523"/>
      <c r="FG14" s="524">
        <f t="shared" si="52"/>
        <v>0</v>
      </c>
      <c r="FH14" s="525">
        <f t="shared" si="163"/>
        <v>0</v>
      </c>
      <c r="FI14" s="523"/>
      <c r="FJ14" s="524">
        <f t="shared" si="53"/>
        <v>0</v>
      </c>
      <c r="FK14" s="525">
        <f t="shared" si="164"/>
        <v>0</v>
      </c>
      <c r="FL14" s="523"/>
      <c r="FM14" s="524">
        <f t="shared" si="54"/>
        <v>0</v>
      </c>
      <c r="FN14" s="525">
        <f t="shared" si="165"/>
        <v>0</v>
      </c>
      <c r="FO14" s="523"/>
      <c r="FP14" s="524">
        <f t="shared" si="55"/>
        <v>0</v>
      </c>
      <c r="FQ14" s="525">
        <f t="shared" si="166"/>
        <v>0</v>
      </c>
      <c r="FR14" s="523"/>
      <c r="FS14" s="524">
        <f t="shared" si="56"/>
        <v>0</v>
      </c>
      <c r="FT14" s="525">
        <f t="shared" si="167"/>
        <v>0</v>
      </c>
      <c r="FU14" s="523"/>
      <c r="FV14" s="524">
        <f t="shared" si="57"/>
        <v>0</v>
      </c>
      <c r="FW14" s="525">
        <f t="shared" si="168"/>
        <v>0</v>
      </c>
      <c r="FX14" s="523"/>
      <c r="FY14" s="524">
        <f t="shared" si="58"/>
        <v>0</v>
      </c>
      <c r="FZ14" s="525">
        <f t="shared" si="169"/>
        <v>0</v>
      </c>
      <c r="GA14" s="523"/>
      <c r="GB14" s="524">
        <f t="shared" si="59"/>
        <v>0</v>
      </c>
      <c r="GC14" s="525">
        <f t="shared" si="170"/>
        <v>0</v>
      </c>
      <c r="GD14" s="523"/>
      <c r="GE14" s="524">
        <f t="shared" si="60"/>
        <v>0</v>
      </c>
      <c r="GF14" s="525">
        <f t="shared" si="171"/>
        <v>0</v>
      </c>
      <c r="GG14" s="523"/>
      <c r="GH14" s="524">
        <f t="shared" si="61"/>
        <v>0</v>
      </c>
      <c r="GI14" s="525">
        <f t="shared" si="172"/>
        <v>0</v>
      </c>
      <c r="GJ14" s="523"/>
      <c r="GK14" s="524">
        <f t="shared" si="62"/>
        <v>0</v>
      </c>
      <c r="GL14" s="525">
        <f t="shared" si="173"/>
        <v>0</v>
      </c>
      <c r="GM14" s="523"/>
      <c r="GN14" s="524">
        <f t="shared" si="63"/>
        <v>0</v>
      </c>
      <c r="GO14" s="525">
        <f t="shared" si="174"/>
        <v>0</v>
      </c>
      <c r="GP14" s="523"/>
      <c r="GQ14" s="524">
        <f t="shared" si="64"/>
        <v>0</v>
      </c>
      <c r="GR14" s="525">
        <f t="shared" si="175"/>
        <v>0</v>
      </c>
      <c r="GS14" s="523"/>
      <c r="GT14" s="524">
        <f t="shared" si="65"/>
        <v>0</v>
      </c>
      <c r="GU14" s="525">
        <f t="shared" si="176"/>
        <v>0</v>
      </c>
      <c r="GV14" s="523"/>
      <c r="GW14" s="524">
        <f t="shared" si="66"/>
        <v>0</v>
      </c>
      <c r="GX14" s="525">
        <f t="shared" si="177"/>
        <v>0</v>
      </c>
      <c r="GY14" s="523"/>
      <c r="GZ14" s="524">
        <f t="shared" si="67"/>
        <v>0</v>
      </c>
      <c r="HA14" s="525">
        <f t="shared" si="178"/>
        <v>0</v>
      </c>
      <c r="HB14" s="523"/>
      <c r="HC14" s="524">
        <f t="shared" si="68"/>
        <v>0</v>
      </c>
      <c r="HD14" s="525">
        <f t="shared" si="179"/>
        <v>0</v>
      </c>
      <c r="HE14" s="523"/>
      <c r="HF14" s="524">
        <f t="shared" si="69"/>
        <v>0</v>
      </c>
      <c r="HG14" s="525">
        <f t="shared" si="180"/>
        <v>0</v>
      </c>
      <c r="HH14" s="523"/>
      <c r="HI14" s="524">
        <f t="shared" si="70"/>
        <v>0</v>
      </c>
      <c r="HJ14" s="525">
        <f t="shared" si="181"/>
        <v>0</v>
      </c>
      <c r="HK14" s="523"/>
      <c r="HL14" s="524">
        <f t="shared" si="71"/>
        <v>0</v>
      </c>
      <c r="HM14" s="525">
        <f t="shared" si="182"/>
        <v>0</v>
      </c>
      <c r="HN14" s="523"/>
      <c r="HO14" s="524">
        <f t="shared" si="72"/>
        <v>0</v>
      </c>
      <c r="HP14" s="525">
        <f t="shared" si="183"/>
        <v>0</v>
      </c>
      <c r="HQ14" s="523"/>
      <c r="HR14" s="524">
        <f t="shared" si="73"/>
        <v>0</v>
      </c>
      <c r="HS14" s="525">
        <f t="shared" si="184"/>
        <v>0</v>
      </c>
      <c r="HT14" s="523"/>
      <c r="HU14" s="524">
        <f t="shared" si="74"/>
        <v>0</v>
      </c>
      <c r="HV14" s="525">
        <f t="shared" si="185"/>
        <v>0</v>
      </c>
      <c r="HW14" s="523"/>
      <c r="HX14" s="524">
        <f t="shared" si="75"/>
        <v>0</v>
      </c>
      <c r="HY14" s="525">
        <f t="shared" si="186"/>
        <v>0</v>
      </c>
      <c r="HZ14" s="523"/>
      <c r="IA14" s="524">
        <f t="shared" si="76"/>
        <v>0</v>
      </c>
      <c r="IB14" s="525">
        <f t="shared" si="187"/>
        <v>0</v>
      </c>
      <c r="IC14" s="523"/>
      <c r="ID14" s="524">
        <f t="shared" si="77"/>
        <v>0</v>
      </c>
      <c r="IE14" s="525">
        <f t="shared" si="188"/>
        <v>0</v>
      </c>
      <c r="IF14" s="523"/>
      <c r="IG14" s="524">
        <f t="shared" si="78"/>
        <v>0</v>
      </c>
      <c r="IH14" s="525">
        <f t="shared" si="189"/>
        <v>0</v>
      </c>
      <c r="II14" s="523"/>
      <c r="IJ14" s="524">
        <f t="shared" si="79"/>
        <v>0</v>
      </c>
      <c r="IK14" s="525">
        <f t="shared" si="190"/>
        <v>0</v>
      </c>
      <c r="IL14" s="523"/>
      <c r="IM14" s="524">
        <f t="shared" si="80"/>
        <v>0</v>
      </c>
      <c r="IN14" s="525">
        <f t="shared" si="191"/>
        <v>0</v>
      </c>
      <c r="IO14" s="523"/>
      <c r="IP14" s="524">
        <f t="shared" si="81"/>
        <v>0</v>
      </c>
      <c r="IQ14" s="525">
        <f t="shared" si="192"/>
        <v>0</v>
      </c>
      <c r="IR14" s="523"/>
      <c r="IS14" s="524">
        <f t="shared" si="82"/>
        <v>0</v>
      </c>
      <c r="IT14" s="525">
        <f t="shared" si="193"/>
        <v>0</v>
      </c>
      <c r="IU14" s="523"/>
      <c r="IV14" s="524">
        <f t="shared" si="83"/>
        <v>0</v>
      </c>
      <c r="IW14" s="525">
        <f t="shared" si="194"/>
        <v>0</v>
      </c>
      <c r="IX14" s="523"/>
      <c r="IY14" s="524">
        <f t="shared" si="84"/>
        <v>0</v>
      </c>
      <c r="IZ14" s="525">
        <f t="shared" si="195"/>
        <v>0</v>
      </c>
      <c r="JA14" s="523"/>
      <c r="JB14" s="524">
        <f t="shared" si="85"/>
        <v>0</v>
      </c>
      <c r="JC14" s="525">
        <f t="shared" si="196"/>
        <v>0</v>
      </c>
      <c r="JD14" s="523"/>
      <c r="JE14" s="524">
        <f t="shared" si="86"/>
        <v>0</v>
      </c>
      <c r="JF14" s="525">
        <f t="shared" si="197"/>
        <v>0</v>
      </c>
      <c r="JG14" s="523"/>
      <c r="JH14" s="524">
        <f t="shared" si="87"/>
        <v>0</v>
      </c>
      <c r="JI14" s="525">
        <f t="shared" si="198"/>
        <v>0</v>
      </c>
      <c r="JJ14" s="523"/>
      <c r="JK14" s="525" t="str">
        <f t="shared" si="88"/>
        <v>0</v>
      </c>
      <c r="JL14" s="525" t="str">
        <f t="shared" si="89"/>
        <v>0</v>
      </c>
      <c r="JM14" s="523"/>
      <c r="JN14" s="525" t="str">
        <f t="shared" si="90"/>
        <v>0</v>
      </c>
      <c r="JO14" s="525" t="str">
        <f t="shared" si="91"/>
        <v>0</v>
      </c>
      <c r="JP14" s="523"/>
      <c r="JQ14" s="525" t="str">
        <f t="shared" si="92"/>
        <v>0</v>
      </c>
      <c r="JR14" s="525" t="str">
        <f t="shared" si="93"/>
        <v>0</v>
      </c>
      <c r="JS14" s="523"/>
      <c r="JT14" s="525" t="str">
        <f t="shared" si="94"/>
        <v>0</v>
      </c>
      <c r="JU14" s="525" t="str">
        <f t="shared" si="95"/>
        <v>0</v>
      </c>
      <c r="JV14" s="523"/>
      <c r="JW14" s="525" t="str">
        <f t="shared" si="96"/>
        <v>0</v>
      </c>
      <c r="JX14" s="525" t="str">
        <f t="shared" si="97"/>
        <v>0</v>
      </c>
      <c r="JY14" s="523"/>
      <c r="JZ14" s="525" t="str">
        <f t="shared" si="98"/>
        <v>0</v>
      </c>
      <c r="KA14" s="525" t="str">
        <f t="shared" si="99"/>
        <v>0</v>
      </c>
      <c r="KB14" s="523"/>
      <c r="KC14" s="525" t="str">
        <f t="shared" si="100"/>
        <v>0</v>
      </c>
      <c r="KD14" s="525" t="str">
        <f t="shared" si="101"/>
        <v>0</v>
      </c>
      <c r="KE14" s="523"/>
      <c r="KF14" s="525" t="str">
        <f t="shared" si="102"/>
        <v>0</v>
      </c>
      <c r="KG14" s="525" t="str">
        <f t="shared" si="103"/>
        <v>0</v>
      </c>
      <c r="KH14" s="523"/>
      <c r="KI14" s="525" t="str">
        <f t="shared" si="104"/>
        <v>0</v>
      </c>
      <c r="KJ14" s="525" t="str">
        <f t="shared" si="105"/>
        <v>0</v>
      </c>
      <c r="KK14" s="523"/>
      <c r="KL14" s="525" t="str">
        <f t="shared" si="106"/>
        <v>0</v>
      </c>
      <c r="KM14" s="525" t="str">
        <f t="shared" si="107"/>
        <v>0</v>
      </c>
      <c r="KN14" s="523"/>
      <c r="KO14" s="525" t="str">
        <f t="shared" si="108"/>
        <v>0</v>
      </c>
      <c r="KP14" s="525" t="str">
        <f t="shared" si="109"/>
        <v>0</v>
      </c>
      <c r="KQ14" s="523"/>
      <c r="KR14" s="525" t="str">
        <f t="shared" si="110"/>
        <v>0</v>
      </c>
      <c r="KS14" s="525" t="str">
        <f t="shared" si="111"/>
        <v>0</v>
      </c>
      <c r="KT14" s="525">
        <f t="shared" si="201"/>
        <v>0</v>
      </c>
      <c r="KU14" s="525">
        <f t="shared" si="202"/>
        <v>0</v>
      </c>
      <c r="KV14" s="261">
        <f t="shared" si="199"/>
        <v>853.8739762626509</v>
      </c>
    </row>
    <row r="15" spans="1:308">
      <c r="A15" s="262">
        <f t="shared" si="200"/>
        <v>46119</v>
      </c>
      <c r="B15" s="263" t="str">
        <f>+Report1!B15</f>
        <v>Facial</v>
      </c>
      <c r="C15" s="263" t="str">
        <f>+Report1!C15</f>
        <v>14/16</v>
      </c>
      <c r="D15" s="264">
        <f>+Report1!P15</f>
        <v>43.432000000000002</v>
      </c>
      <c r="E15" s="556">
        <f>+Report1!R15</f>
        <v>39.841000000000001</v>
      </c>
      <c r="F15" s="523"/>
      <c r="G15" s="524">
        <f t="shared" si="0"/>
        <v>0</v>
      </c>
      <c r="H15" s="525">
        <f t="shared" si="112"/>
        <v>0</v>
      </c>
      <c r="I15" s="523">
        <v>279.06976744186045</v>
      </c>
      <c r="J15" s="524">
        <f t="shared" si="1"/>
        <v>7.0045874210451657</v>
      </c>
      <c r="K15" s="525">
        <f t="shared" si="113"/>
        <v>0</v>
      </c>
      <c r="L15" s="523"/>
      <c r="M15" s="524">
        <f t="shared" si="2"/>
        <v>0</v>
      </c>
      <c r="N15" s="525">
        <f t="shared" si="114"/>
        <v>0</v>
      </c>
      <c r="O15" s="523">
        <v>5.9999999999999716</v>
      </c>
      <c r="P15" s="524">
        <f t="shared" si="3"/>
        <v>0.15059862955247036</v>
      </c>
      <c r="Q15" s="525">
        <f t="shared" si="115"/>
        <v>0</v>
      </c>
      <c r="R15" s="523"/>
      <c r="S15" s="524">
        <f t="shared" si="4"/>
        <v>0</v>
      </c>
      <c r="T15" s="525">
        <f t="shared" si="116"/>
        <v>0</v>
      </c>
      <c r="U15" s="523">
        <v>5.1250000000000284</v>
      </c>
      <c r="V15" s="524">
        <f t="shared" si="5"/>
        <v>0.12863632940940309</v>
      </c>
      <c r="W15" s="525">
        <f t="shared" si="117"/>
        <v>0</v>
      </c>
      <c r="X15" s="523"/>
      <c r="Y15" s="524">
        <f t="shared" si="6"/>
        <v>0</v>
      </c>
      <c r="Z15" s="525">
        <f t="shared" si="118"/>
        <v>0</v>
      </c>
      <c r="AA15" s="523">
        <v>6.25</v>
      </c>
      <c r="AB15" s="524">
        <f t="shared" si="7"/>
        <v>0.15687357245049069</v>
      </c>
      <c r="AC15" s="525">
        <f t="shared" si="119"/>
        <v>0</v>
      </c>
      <c r="AD15" s="523"/>
      <c r="AE15" s="524">
        <f t="shared" si="8"/>
        <v>0</v>
      </c>
      <c r="AF15" s="525">
        <f t="shared" si="120"/>
        <v>0</v>
      </c>
      <c r="AG15" s="523"/>
      <c r="AH15" s="524">
        <f t="shared" si="9"/>
        <v>0</v>
      </c>
      <c r="AI15" s="525">
        <f t="shared" si="121"/>
        <v>0</v>
      </c>
      <c r="AJ15" s="523"/>
      <c r="AK15" s="524">
        <f t="shared" si="10"/>
        <v>0</v>
      </c>
      <c r="AL15" s="525">
        <f t="shared" si="122"/>
        <v>0</v>
      </c>
      <c r="AM15" s="523"/>
      <c r="AN15" s="524">
        <f t="shared" si="11"/>
        <v>0</v>
      </c>
      <c r="AO15" s="525">
        <f t="shared" si="123"/>
        <v>0</v>
      </c>
      <c r="AP15" s="523"/>
      <c r="AQ15" s="524">
        <f t="shared" si="12"/>
        <v>0</v>
      </c>
      <c r="AR15" s="525">
        <f t="shared" si="124"/>
        <v>0</v>
      </c>
      <c r="AS15" s="523"/>
      <c r="AT15" s="524">
        <f t="shared" si="13"/>
        <v>0</v>
      </c>
      <c r="AU15" s="525">
        <f t="shared" si="125"/>
        <v>0</v>
      </c>
      <c r="AV15" s="523"/>
      <c r="AW15" s="524">
        <f t="shared" si="14"/>
        <v>0</v>
      </c>
      <c r="AX15" s="525">
        <f t="shared" si="126"/>
        <v>0</v>
      </c>
      <c r="AY15" s="523"/>
      <c r="AZ15" s="524">
        <f t="shared" si="15"/>
        <v>0</v>
      </c>
      <c r="BA15" s="525">
        <f t="shared" si="127"/>
        <v>0</v>
      </c>
      <c r="BB15" s="523"/>
      <c r="BC15" s="524">
        <f t="shared" si="16"/>
        <v>0</v>
      </c>
      <c r="BD15" s="525">
        <f t="shared" si="128"/>
        <v>0</v>
      </c>
      <c r="BE15" s="523"/>
      <c r="BF15" s="524">
        <f t="shared" si="17"/>
        <v>0</v>
      </c>
      <c r="BG15" s="525">
        <f t="shared" si="129"/>
        <v>0</v>
      </c>
      <c r="BH15" s="523"/>
      <c r="BI15" s="524">
        <f t="shared" si="18"/>
        <v>0</v>
      </c>
      <c r="BJ15" s="525">
        <f t="shared" si="130"/>
        <v>0</v>
      </c>
      <c r="BK15" s="523"/>
      <c r="BL15" s="524">
        <f t="shared" si="19"/>
        <v>0</v>
      </c>
      <c r="BM15" s="525">
        <f t="shared" si="131"/>
        <v>0</v>
      </c>
      <c r="BN15" s="523"/>
      <c r="BO15" s="524">
        <f t="shared" si="20"/>
        <v>0</v>
      </c>
      <c r="BP15" s="525">
        <f t="shared" si="132"/>
        <v>0</v>
      </c>
      <c r="BQ15" s="523">
        <v>81.012658227848078</v>
      </c>
      <c r="BR15" s="524">
        <f t="shared" si="21"/>
        <v>2.0333992175861066</v>
      </c>
      <c r="BS15" s="525">
        <f t="shared" si="133"/>
        <v>0</v>
      </c>
      <c r="BT15" s="523"/>
      <c r="BU15" s="524">
        <f t="shared" si="22"/>
        <v>0</v>
      </c>
      <c r="BV15" s="525">
        <f t="shared" si="134"/>
        <v>0</v>
      </c>
      <c r="BW15" s="523"/>
      <c r="BX15" s="524">
        <f t="shared" si="23"/>
        <v>0</v>
      </c>
      <c r="BY15" s="525">
        <f t="shared" si="135"/>
        <v>0</v>
      </c>
      <c r="BZ15" s="523"/>
      <c r="CA15" s="524">
        <f t="shared" si="24"/>
        <v>0</v>
      </c>
      <c r="CB15" s="525">
        <f t="shared" si="136"/>
        <v>0</v>
      </c>
      <c r="CC15" s="523"/>
      <c r="CD15" s="524">
        <f t="shared" si="25"/>
        <v>0</v>
      </c>
      <c r="CE15" s="525">
        <f t="shared" si="137"/>
        <v>0</v>
      </c>
      <c r="CF15" s="523">
        <v>0.5</v>
      </c>
      <c r="CG15" s="524">
        <f t="shared" si="26"/>
        <v>1.2549885796039256E-2</v>
      </c>
      <c r="CH15" s="525">
        <f t="shared" si="138"/>
        <v>0</v>
      </c>
      <c r="CI15" s="523"/>
      <c r="CJ15" s="524">
        <f t="shared" si="27"/>
        <v>0</v>
      </c>
      <c r="CK15" s="525">
        <f t="shared" si="139"/>
        <v>0</v>
      </c>
      <c r="CL15" s="523"/>
      <c r="CM15" s="524">
        <f t="shared" si="28"/>
        <v>0</v>
      </c>
      <c r="CN15" s="525">
        <f t="shared" si="140"/>
        <v>0</v>
      </c>
      <c r="CO15" s="523"/>
      <c r="CP15" s="524">
        <f t="shared" si="29"/>
        <v>0</v>
      </c>
      <c r="CQ15" s="525">
        <f t="shared" si="141"/>
        <v>0</v>
      </c>
      <c r="CR15" s="523"/>
      <c r="CS15" s="524">
        <f t="shared" si="30"/>
        <v>0</v>
      </c>
      <c r="CT15" s="525">
        <f t="shared" si="142"/>
        <v>0</v>
      </c>
      <c r="CU15" s="523"/>
      <c r="CV15" s="524">
        <f t="shared" si="31"/>
        <v>0</v>
      </c>
      <c r="CW15" s="525">
        <f t="shared" si="143"/>
        <v>0</v>
      </c>
      <c r="CX15" s="523"/>
      <c r="CY15" s="524">
        <f t="shared" si="32"/>
        <v>0</v>
      </c>
      <c r="CZ15" s="525">
        <f t="shared" si="144"/>
        <v>0</v>
      </c>
      <c r="DA15" s="523"/>
      <c r="DB15" s="524">
        <f t="shared" si="33"/>
        <v>0</v>
      </c>
      <c r="DC15" s="525">
        <f t="shared" si="145"/>
        <v>0</v>
      </c>
      <c r="DD15" s="523"/>
      <c r="DE15" s="524">
        <f t="shared" si="34"/>
        <v>0</v>
      </c>
      <c r="DF15" s="525">
        <f t="shared" si="146"/>
        <v>0</v>
      </c>
      <c r="DG15" s="523"/>
      <c r="DH15" s="524">
        <f t="shared" si="35"/>
        <v>0</v>
      </c>
      <c r="DI15" s="525">
        <f t="shared" si="203"/>
        <v>0</v>
      </c>
      <c r="DJ15" s="523"/>
      <c r="DK15" s="524">
        <f t="shared" si="36"/>
        <v>0</v>
      </c>
      <c r="DL15" s="525">
        <f t="shared" si="147"/>
        <v>0</v>
      </c>
      <c r="DM15" s="523"/>
      <c r="DN15" s="524">
        <f t="shared" si="37"/>
        <v>0</v>
      </c>
      <c r="DO15" s="525">
        <f t="shared" si="148"/>
        <v>0</v>
      </c>
      <c r="DP15" s="523"/>
      <c r="DQ15" s="524">
        <f t="shared" si="38"/>
        <v>0</v>
      </c>
      <c r="DR15" s="525">
        <f t="shared" si="149"/>
        <v>0</v>
      </c>
      <c r="DS15" s="523"/>
      <c r="DT15" s="524">
        <f t="shared" si="39"/>
        <v>0</v>
      </c>
      <c r="DU15" s="525">
        <f t="shared" si="150"/>
        <v>0</v>
      </c>
      <c r="DV15" s="523"/>
      <c r="DW15" s="524">
        <f t="shared" si="40"/>
        <v>0</v>
      </c>
      <c r="DX15" s="525">
        <f t="shared" si="151"/>
        <v>0</v>
      </c>
      <c r="DY15" s="523"/>
      <c r="DZ15" s="524">
        <f t="shared" si="41"/>
        <v>0</v>
      </c>
      <c r="EA15" s="525">
        <f t="shared" si="152"/>
        <v>0</v>
      </c>
      <c r="EB15" s="523"/>
      <c r="EC15" s="524">
        <f t="shared" si="42"/>
        <v>0</v>
      </c>
      <c r="ED15" s="525">
        <f t="shared" si="153"/>
        <v>0</v>
      </c>
      <c r="EE15" s="523">
        <v>14.534883720930225</v>
      </c>
      <c r="EF15" s="524">
        <f t="shared" si="43"/>
        <v>0.36482226151276886</v>
      </c>
      <c r="EG15" s="525">
        <f t="shared" si="154"/>
        <v>0</v>
      </c>
      <c r="EH15" s="523">
        <v>58.705882352941217</v>
      </c>
      <c r="EI15" s="524">
        <f t="shared" si="44"/>
        <v>1.4735042381702572</v>
      </c>
      <c r="EJ15" s="525">
        <f t="shared" si="155"/>
        <v>0</v>
      </c>
      <c r="EK15" s="523">
        <v>3.5</v>
      </c>
      <c r="EL15" s="524">
        <f t="shared" si="45"/>
        <v>8.7849200572274785E-2</v>
      </c>
      <c r="EM15" s="525">
        <f t="shared" si="156"/>
        <v>0</v>
      </c>
      <c r="EN15" s="523">
        <v>42.68292682926824</v>
      </c>
      <c r="EO15" s="524">
        <f t="shared" si="46"/>
        <v>1.0713317142960328</v>
      </c>
      <c r="EP15" s="525">
        <f t="shared" si="157"/>
        <v>0</v>
      </c>
      <c r="EQ15" s="523">
        <v>29.65116279069764</v>
      </c>
      <c r="ER15" s="524">
        <f t="shared" si="47"/>
        <v>0.74423741348604799</v>
      </c>
      <c r="ES15" s="525">
        <f t="shared" si="158"/>
        <v>0</v>
      </c>
      <c r="ET15" s="523">
        <v>406.97674418604652</v>
      </c>
      <c r="EU15" s="524">
        <f t="shared" si="48"/>
        <v>10.215023322357533</v>
      </c>
      <c r="EV15" s="525">
        <f t="shared" si="159"/>
        <v>0</v>
      </c>
      <c r="EW15" s="523"/>
      <c r="EX15" s="524">
        <f t="shared" si="49"/>
        <v>0</v>
      </c>
      <c r="EY15" s="525">
        <f t="shared" si="160"/>
        <v>0</v>
      </c>
      <c r="EZ15" s="523"/>
      <c r="FA15" s="524">
        <f t="shared" si="50"/>
        <v>0</v>
      </c>
      <c r="FB15" s="525">
        <f t="shared" si="161"/>
        <v>0</v>
      </c>
      <c r="FC15" s="523"/>
      <c r="FD15" s="524">
        <f t="shared" si="51"/>
        <v>0</v>
      </c>
      <c r="FE15" s="525">
        <f t="shared" si="162"/>
        <v>0</v>
      </c>
      <c r="FF15" s="523"/>
      <c r="FG15" s="524">
        <f t="shared" si="52"/>
        <v>0</v>
      </c>
      <c r="FH15" s="525">
        <f t="shared" si="163"/>
        <v>0</v>
      </c>
      <c r="FI15" s="523"/>
      <c r="FJ15" s="524">
        <f t="shared" si="53"/>
        <v>0</v>
      </c>
      <c r="FK15" s="525">
        <f t="shared" si="164"/>
        <v>0</v>
      </c>
      <c r="FL15" s="523"/>
      <c r="FM15" s="524">
        <f t="shared" si="54"/>
        <v>0</v>
      </c>
      <c r="FN15" s="525">
        <f t="shared" si="165"/>
        <v>0</v>
      </c>
      <c r="FO15" s="523"/>
      <c r="FP15" s="524">
        <f t="shared" si="55"/>
        <v>0</v>
      </c>
      <c r="FQ15" s="525">
        <f t="shared" si="166"/>
        <v>0</v>
      </c>
      <c r="FR15" s="523"/>
      <c r="FS15" s="524">
        <f t="shared" si="56"/>
        <v>0</v>
      </c>
      <c r="FT15" s="525">
        <f t="shared" si="167"/>
        <v>0</v>
      </c>
      <c r="FU15" s="523"/>
      <c r="FV15" s="524">
        <f t="shared" si="57"/>
        <v>0</v>
      </c>
      <c r="FW15" s="525">
        <f t="shared" si="168"/>
        <v>0</v>
      </c>
      <c r="FX15" s="523"/>
      <c r="FY15" s="524">
        <f t="shared" si="58"/>
        <v>0</v>
      </c>
      <c r="FZ15" s="525">
        <f t="shared" si="169"/>
        <v>0</v>
      </c>
      <c r="GA15" s="523"/>
      <c r="GB15" s="524">
        <f t="shared" si="59"/>
        <v>0</v>
      </c>
      <c r="GC15" s="525">
        <f t="shared" si="170"/>
        <v>0</v>
      </c>
      <c r="GD15" s="523"/>
      <c r="GE15" s="524">
        <f t="shared" si="60"/>
        <v>0</v>
      </c>
      <c r="GF15" s="525">
        <f t="shared" si="171"/>
        <v>0</v>
      </c>
      <c r="GG15" s="523"/>
      <c r="GH15" s="524">
        <f t="shared" si="61"/>
        <v>0</v>
      </c>
      <c r="GI15" s="525">
        <f t="shared" si="172"/>
        <v>0</v>
      </c>
      <c r="GJ15" s="523"/>
      <c r="GK15" s="524">
        <f t="shared" si="62"/>
        <v>0</v>
      </c>
      <c r="GL15" s="525">
        <f t="shared" si="173"/>
        <v>0</v>
      </c>
      <c r="GM15" s="523"/>
      <c r="GN15" s="524">
        <f t="shared" si="63"/>
        <v>0</v>
      </c>
      <c r="GO15" s="525">
        <f t="shared" si="174"/>
        <v>0</v>
      </c>
      <c r="GP15" s="523"/>
      <c r="GQ15" s="524">
        <f t="shared" si="64"/>
        <v>0</v>
      </c>
      <c r="GR15" s="525">
        <f t="shared" si="175"/>
        <v>0</v>
      </c>
      <c r="GS15" s="523"/>
      <c r="GT15" s="524">
        <f t="shared" si="65"/>
        <v>0</v>
      </c>
      <c r="GU15" s="525">
        <f t="shared" si="176"/>
        <v>0</v>
      </c>
      <c r="GV15" s="523"/>
      <c r="GW15" s="524">
        <f t="shared" si="66"/>
        <v>0</v>
      </c>
      <c r="GX15" s="525">
        <f t="shared" si="177"/>
        <v>0</v>
      </c>
      <c r="GY15" s="523"/>
      <c r="GZ15" s="524">
        <f t="shared" si="67"/>
        <v>0</v>
      </c>
      <c r="HA15" s="525">
        <f t="shared" si="178"/>
        <v>0</v>
      </c>
      <c r="HB15" s="523"/>
      <c r="HC15" s="524">
        <f t="shared" si="68"/>
        <v>0</v>
      </c>
      <c r="HD15" s="525">
        <f t="shared" si="179"/>
        <v>0</v>
      </c>
      <c r="HE15" s="523"/>
      <c r="HF15" s="524">
        <f t="shared" si="69"/>
        <v>0</v>
      </c>
      <c r="HG15" s="525">
        <f t="shared" si="180"/>
        <v>0</v>
      </c>
      <c r="HH15" s="523"/>
      <c r="HI15" s="524">
        <f t="shared" si="70"/>
        <v>0</v>
      </c>
      <c r="HJ15" s="525">
        <f t="shared" si="181"/>
        <v>0</v>
      </c>
      <c r="HK15" s="523"/>
      <c r="HL15" s="524">
        <f t="shared" si="71"/>
        <v>0</v>
      </c>
      <c r="HM15" s="525">
        <f t="shared" si="182"/>
        <v>0</v>
      </c>
      <c r="HN15" s="523"/>
      <c r="HO15" s="524">
        <f t="shared" si="72"/>
        <v>0</v>
      </c>
      <c r="HP15" s="525">
        <f t="shared" si="183"/>
        <v>0</v>
      </c>
      <c r="HQ15" s="523"/>
      <c r="HR15" s="524">
        <f t="shared" si="73"/>
        <v>0</v>
      </c>
      <c r="HS15" s="525">
        <f t="shared" si="184"/>
        <v>0</v>
      </c>
      <c r="HT15" s="523"/>
      <c r="HU15" s="524">
        <f t="shared" si="74"/>
        <v>0</v>
      </c>
      <c r="HV15" s="525">
        <f t="shared" si="185"/>
        <v>0</v>
      </c>
      <c r="HW15" s="523"/>
      <c r="HX15" s="524">
        <f t="shared" si="75"/>
        <v>0</v>
      </c>
      <c r="HY15" s="525">
        <f t="shared" si="186"/>
        <v>0</v>
      </c>
      <c r="HZ15" s="523"/>
      <c r="IA15" s="524">
        <f t="shared" si="76"/>
        <v>0</v>
      </c>
      <c r="IB15" s="525">
        <f t="shared" si="187"/>
        <v>0</v>
      </c>
      <c r="IC15" s="523"/>
      <c r="ID15" s="524">
        <f t="shared" si="77"/>
        <v>0</v>
      </c>
      <c r="IE15" s="525">
        <f t="shared" si="188"/>
        <v>0</v>
      </c>
      <c r="IF15" s="523"/>
      <c r="IG15" s="524">
        <f t="shared" si="78"/>
        <v>0</v>
      </c>
      <c r="IH15" s="525">
        <f t="shared" si="189"/>
        <v>0</v>
      </c>
      <c r="II15" s="523"/>
      <c r="IJ15" s="524">
        <f t="shared" si="79"/>
        <v>0</v>
      </c>
      <c r="IK15" s="525">
        <f t="shared" si="190"/>
        <v>0</v>
      </c>
      <c r="IL15" s="523"/>
      <c r="IM15" s="524">
        <f t="shared" si="80"/>
        <v>0</v>
      </c>
      <c r="IN15" s="525">
        <f t="shared" si="191"/>
        <v>0</v>
      </c>
      <c r="IO15" s="523"/>
      <c r="IP15" s="524">
        <f t="shared" si="81"/>
        <v>0</v>
      </c>
      <c r="IQ15" s="525">
        <f t="shared" si="192"/>
        <v>0</v>
      </c>
      <c r="IR15" s="523"/>
      <c r="IS15" s="524">
        <f t="shared" si="82"/>
        <v>0</v>
      </c>
      <c r="IT15" s="525">
        <f t="shared" si="193"/>
        <v>0</v>
      </c>
      <c r="IU15" s="523"/>
      <c r="IV15" s="524">
        <f t="shared" si="83"/>
        <v>0</v>
      </c>
      <c r="IW15" s="525">
        <f t="shared" si="194"/>
        <v>0</v>
      </c>
      <c r="IX15" s="523"/>
      <c r="IY15" s="524">
        <f t="shared" si="84"/>
        <v>0</v>
      </c>
      <c r="IZ15" s="525">
        <f t="shared" si="195"/>
        <v>0</v>
      </c>
      <c r="JA15" s="523"/>
      <c r="JB15" s="524">
        <f t="shared" si="85"/>
        <v>0</v>
      </c>
      <c r="JC15" s="525">
        <f t="shared" si="196"/>
        <v>0</v>
      </c>
      <c r="JD15" s="523"/>
      <c r="JE15" s="524">
        <f t="shared" si="86"/>
        <v>0</v>
      </c>
      <c r="JF15" s="525">
        <f t="shared" si="197"/>
        <v>0</v>
      </c>
      <c r="JG15" s="523"/>
      <c r="JH15" s="524">
        <f t="shared" si="87"/>
        <v>0</v>
      </c>
      <c r="JI15" s="525">
        <f t="shared" si="198"/>
        <v>0</v>
      </c>
      <c r="JJ15" s="523"/>
      <c r="JK15" s="525" t="str">
        <f t="shared" si="88"/>
        <v>0</v>
      </c>
      <c r="JL15" s="525" t="str">
        <f t="shared" si="89"/>
        <v>0</v>
      </c>
      <c r="JM15" s="523"/>
      <c r="JN15" s="525" t="str">
        <f t="shared" si="90"/>
        <v>0</v>
      </c>
      <c r="JO15" s="525" t="str">
        <f t="shared" si="91"/>
        <v>0</v>
      </c>
      <c r="JP15" s="523"/>
      <c r="JQ15" s="525" t="str">
        <f t="shared" si="92"/>
        <v>0</v>
      </c>
      <c r="JR15" s="525" t="str">
        <f t="shared" si="93"/>
        <v>0</v>
      </c>
      <c r="JS15" s="523"/>
      <c r="JT15" s="525" t="str">
        <f t="shared" si="94"/>
        <v>0</v>
      </c>
      <c r="JU15" s="525" t="str">
        <f t="shared" si="95"/>
        <v>0</v>
      </c>
      <c r="JV15" s="523"/>
      <c r="JW15" s="525" t="str">
        <f t="shared" si="96"/>
        <v>0</v>
      </c>
      <c r="JX15" s="525" t="str">
        <f t="shared" si="97"/>
        <v>0</v>
      </c>
      <c r="JY15" s="523"/>
      <c r="JZ15" s="525" t="str">
        <f t="shared" si="98"/>
        <v>0</v>
      </c>
      <c r="KA15" s="525" t="str">
        <f t="shared" si="99"/>
        <v>0</v>
      </c>
      <c r="KB15" s="523"/>
      <c r="KC15" s="525" t="str">
        <f t="shared" si="100"/>
        <v>0</v>
      </c>
      <c r="KD15" s="525" t="str">
        <f t="shared" si="101"/>
        <v>0</v>
      </c>
      <c r="KE15" s="523"/>
      <c r="KF15" s="525" t="str">
        <f t="shared" si="102"/>
        <v>0</v>
      </c>
      <c r="KG15" s="525" t="str">
        <f t="shared" si="103"/>
        <v>0</v>
      </c>
      <c r="KH15" s="523"/>
      <c r="KI15" s="525" t="str">
        <f t="shared" si="104"/>
        <v>0</v>
      </c>
      <c r="KJ15" s="525" t="str">
        <f t="shared" si="105"/>
        <v>0</v>
      </c>
      <c r="KK15" s="523"/>
      <c r="KL15" s="525" t="str">
        <f t="shared" si="106"/>
        <v>0</v>
      </c>
      <c r="KM15" s="525" t="str">
        <f t="shared" si="107"/>
        <v>0</v>
      </c>
      <c r="KN15" s="523"/>
      <c r="KO15" s="525" t="str">
        <f t="shared" si="108"/>
        <v>0</v>
      </c>
      <c r="KP15" s="525" t="str">
        <f t="shared" si="109"/>
        <v>0</v>
      </c>
      <c r="KQ15" s="523"/>
      <c r="KR15" s="525" t="str">
        <f t="shared" si="110"/>
        <v>0</v>
      </c>
      <c r="KS15" s="525" t="str">
        <f t="shared" si="111"/>
        <v>0</v>
      </c>
      <c r="KT15" s="525">
        <f t="shared" si="201"/>
        <v>0</v>
      </c>
      <c r="KU15" s="525">
        <f t="shared" si="202"/>
        <v>0</v>
      </c>
      <c r="KV15" s="261">
        <f t="shared" si="199"/>
        <v>527.03228136354585</v>
      </c>
    </row>
    <row r="16" spans="1:308">
      <c r="A16" s="262">
        <f t="shared" si="200"/>
        <v>46120</v>
      </c>
      <c r="B16" s="263" t="str">
        <f>+Report1!B16</f>
        <v>Facial</v>
      </c>
      <c r="C16" s="263" t="str">
        <f>+Report1!C16</f>
        <v>14/16/15</v>
      </c>
      <c r="D16" s="264">
        <f>+Report1!P16</f>
        <v>43.382000000000005</v>
      </c>
      <c r="E16" s="556">
        <f>+Report1!R16</f>
        <v>44.162999999999997</v>
      </c>
      <c r="F16" s="523"/>
      <c r="G16" s="524">
        <f t="shared" si="0"/>
        <v>0</v>
      </c>
      <c r="H16" s="525">
        <f t="shared" si="112"/>
        <v>0</v>
      </c>
      <c r="I16" s="523">
        <v>290.69767441860495</v>
      </c>
      <c r="J16" s="524">
        <f t="shared" si="1"/>
        <v>6.5823805995653597</v>
      </c>
      <c r="K16" s="525">
        <f t="shared" si="113"/>
        <v>0</v>
      </c>
      <c r="L16" s="523"/>
      <c r="M16" s="524">
        <f t="shared" si="2"/>
        <v>0</v>
      </c>
      <c r="N16" s="525">
        <f t="shared" si="114"/>
        <v>0</v>
      </c>
      <c r="O16" s="523">
        <v>6</v>
      </c>
      <c r="P16" s="524">
        <f t="shared" si="3"/>
        <v>0.13586033557502888</v>
      </c>
      <c r="Q16" s="525">
        <f t="shared" si="115"/>
        <v>0</v>
      </c>
      <c r="R16" s="523"/>
      <c r="S16" s="524">
        <f t="shared" si="4"/>
        <v>0</v>
      </c>
      <c r="T16" s="525">
        <f t="shared" si="116"/>
        <v>0</v>
      </c>
      <c r="U16" s="523">
        <v>5.125</v>
      </c>
      <c r="V16" s="524">
        <f t="shared" si="5"/>
        <v>0.11604736997033717</v>
      </c>
      <c r="W16" s="525">
        <f t="shared" si="117"/>
        <v>0</v>
      </c>
      <c r="X16" s="523"/>
      <c r="Y16" s="524">
        <f t="shared" si="6"/>
        <v>0</v>
      </c>
      <c r="Z16" s="525">
        <f t="shared" si="118"/>
        <v>0</v>
      </c>
      <c r="AA16" s="523">
        <v>9.3749999999999858</v>
      </c>
      <c r="AB16" s="524">
        <f t="shared" si="7"/>
        <v>0.2122817743359823</v>
      </c>
      <c r="AC16" s="525">
        <f t="shared" si="119"/>
        <v>0</v>
      </c>
      <c r="AD16" s="523"/>
      <c r="AE16" s="524">
        <f t="shared" si="8"/>
        <v>0</v>
      </c>
      <c r="AF16" s="525">
        <f t="shared" si="120"/>
        <v>0</v>
      </c>
      <c r="AG16" s="523"/>
      <c r="AH16" s="524">
        <f t="shared" si="9"/>
        <v>0</v>
      </c>
      <c r="AI16" s="525">
        <f t="shared" si="121"/>
        <v>0</v>
      </c>
      <c r="AJ16" s="523"/>
      <c r="AK16" s="524">
        <f t="shared" si="10"/>
        <v>0</v>
      </c>
      <c r="AL16" s="525">
        <f t="shared" si="122"/>
        <v>0</v>
      </c>
      <c r="AM16" s="523"/>
      <c r="AN16" s="524">
        <f t="shared" si="11"/>
        <v>0</v>
      </c>
      <c r="AO16" s="525">
        <f t="shared" si="123"/>
        <v>0</v>
      </c>
      <c r="AP16" s="523"/>
      <c r="AQ16" s="524">
        <f t="shared" si="12"/>
        <v>0</v>
      </c>
      <c r="AR16" s="525">
        <f t="shared" si="124"/>
        <v>0</v>
      </c>
      <c r="AS16" s="523"/>
      <c r="AT16" s="524">
        <f t="shared" si="13"/>
        <v>0</v>
      </c>
      <c r="AU16" s="525">
        <f t="shared" si="125"/>
        <v>0</v>
      </c>
      <c r="AV16" s="523"/>
      <c r="AW16" s="524">
        <f t="shared" si="14"/>
        <v>0</v>
      </c>
      <c r="AX16" s="525">
        <f t="shared" si="126"/>
        <v>0</v>
      </c>
      <c r="AY16" s="523"/>
      <c r="AZ16" s="524">
        <f t="shared" si="15"/>
        <v>0</v>
      </c>
      <c r="BA16" s="525">
        <f t="shared" si="127"/>
        <v>0</v>
      </c>
      <c r="BB16" s="523"/>
      <c r="BC16" s="524">
        <f t="shared" si="16"/>
        <v>0</v>
      </c>
      <c r="BD16" s="525">
        <f t="shared" si="128"/>
        <v>0</v>
      </c>
      <c r="BE16" s="523"/>
      <c r="BF16" s="524">
        <f t="shared" si="17"/>
        <v>0</v>
      </c>
      <c r="BG16" s="525">
        <f t="shared" si="129"/>
        <v>0</v>
      </c>
      <c r="BH16" s="523"/>
      <c r="BI16" s="524">
        <f t="shared" si="18"/>
        <v>0</v>
      </c>
      <c r="BJ16" s="525">
        <f t="shared" si="130"/>
        <v>0</v>
      </c>
      <c r="BK16" s="523"/>
      <c r="BL16" s="524">
        <f t="shared" si="19"/>
        <v>0</v>
      </c>
      <c r="BM16" s="525">
        <f t="shared" si="131"/>
        <v>0</v>
      </c>
      <c r="BN16" s="523"/>
      <c r="BO16" s="524">
        <f t="shared" si="20"/>
        <v>0</v>
      </c>
      <c r="BP16" s="525">
        <f t="shared" si="132"/>
        <v>0</v>
      </c>
      <c r="BQ16" s="523">
        <v>75.949367088607687</v>
      </c>
      <c r="BR16" s="524">
        <f t="shared" si="21"/>
        <v>1.7197510832282157</v>
      </c>
      <c r="BS16" s="525">
        <f t="shared" si="133"/>
        <v>0</v>
      </c>
      <c r="BT16" s="523"/>
      <c r="BU16" s="524">
        <f t="shared" si="22"/>
        <v>0</v>
      </c>
      <c r="BV16" s="525">
        <f t="shared" si="134"/>
        <v>0</v>
      </c>
      <c r="BW16" s="523"/>
      <c r="BX16" s="524">
        <f t="shared" si="23"/>
        <v>0</v>
      </c>
      <c r="BY16" s="525">
        <f t="shared" si="135"/>
        <v>0</v>
      </c>
      <c r="BZ16" s="523"/>
      <c r="CA16" s="524">
        <f t="shared" si="24"/>
        <v>0</v>
      </c>
      <c r="CB16" s="525">
        <f t="shared" si="136"/>
        <v>0</v>
      </c>
      <c r="CC16" s="523"/>
      <c r="CD16" s="524">
        <f t="shared" si="25"/>
        <v>0</v>
      </c>
      <c r="CE16" s="525">
        <f t="shared" si="137"/>
        <v>0</v>
      </c>
      <c r="CF16" s="523">
        <v>0.5</v>
      </c>
      <c r="CG16" s="524">
        <f t="shared" si="26"/>
        <v>1.1321694631252406E-2</v>
      </c>
      <c r="CH16" s="525">
        <f t="shared" si="138"/>
        <v>0</v>
      </c>
      <c r="CI16" s="523"/>
      <c r="CJ16" s="524">
        <f t="shared" si="27"/>
        <v>0</v>
      </c>
      <c r="CK16" s="525">
        <f t="shared" si="139"/>
        <v>0</v>
      </c>
      <c r="CL16" s="523"/>
      <c r="CM16" s="524">
        <f t="shared" si="28"/>
        <v>0</v>
      </c>
      <c r="CN16" s="525">
        <f t="shared" si="140"/>
        <v>0</v>
      </c>
      <c r="CO16" s="523"/>
      <c r="CP16" s="524">
        <f t="shared" si="29"/>
        <v>0</v>
      </c>
      <c r="CQ16" s="525">
        <f t="shared" si="141"/>
        <v>0</v>
      </c>
      <c r="CR16" s="523"/>
      <c r="CS16" s="524">
        <f t="shared" si="30"/>
        <v>0</v>
      </c>
      <c r="CT16" s="525">
        <f t="shared" si="142"/>
        <v>0</v>
      </c>
      <c r="CU16" s="523"/>
      <c r="CV16" s="524">
        <f t="shared" si="31"/>
        <v>0</v>
      </c>
      <c r="CW16" s="525">
        <f t="shared" si="143"/>
        <v>0</v>
      </c>
      <c r="CX16" s="523"/>
      <c r="CY16" s="524">
        <f t="shared" si="32"/>
        <v>0</v>
      </c>
      <c r="CZ16" s="525">
        <f t="shared" si="144"/>
        <v>0</v>
      </c>
      <c r="DA16" s="523"/>
      <c r="DB16" s="524">
        <f t="shared" si="33"/>
        <v>0</v>
      </c>
      <c r="DC16" s="525">
        <f t="shared" si="145"/>
        <v>0</v>
      </c>
      <c r="DD16" s="523"/>
      <c r="DE16" s="524">
        <f t="shared" si="34"/>
        <v>0</v>
      </c>
      <c r="DF16" s="525">
        <f t="shared" si="146"/>
        <v>0</v>
      </c>
      <c r="DG16" s="523"/>
      <c r="DH16" s="524">
        <f t="shared" si="35"/>
        <v>0</v>
      </c>
      <c r="DI16" s="525">
        <f t="shared" si="203"/>
        <v>0</v>
      </c>
      <c r="DJ16" s="523"/>
      <c r="DK16" s="524">
        <f t="shared" si="36"/>
        <v>0</v>
      </c>
      <c r="DL16" s="525">
        <f t="shared" si="147"/>
        <v>0</v>
      </c>
      <c r="DM16" s="523"/>
      <c r="DN16" s="524">
        <f t="shared" si="37"/>
        <v>0</v>
      </c>
      <c r="DO16" s="525">
        <f t="shared" si="148"/>
        <v>0</v>
      </c>
      <c r="DP16" s="523"/>
      <c r="DQ16" s="524">
        <f t="shared" si="38"/>
        <v>0</v>
      </c>
      <c r="DR16" s="525">
        <f t="shared" si="149"/>
        <v>0</v>
      </c>
      <c r="DS16" s="523"/>
      <c r="DT16" s="524">
        <f t="shared" si="39"/>
        <v>0</v>
      </c>
      <c r="DU16" s="525">
        <f t="shared" si="150"/>
        <v>0</v>
      </c>
      <c r="DV16" s="523"/>
      <c r="DW16" s="524">
        <f t="shared" si="40"/>
        <v>0</v>
      </c>
      <c r="DX16" s="525">
        <f t="shared" si="151"/>
        <v>0</v>
      </c>
      <c r="DY16" s="523"/>
      <c r="DZ16" s="524">
        <f t="shared" si="41"/>
        <v>0</v>
      </c>
      <c r="EA16" s="525">
        <f t="shared" si="152"/>
        <v>0</v>
      </c>
      <c r="EB16" s="523"/>
      <c r="EC16" s="524">
        <f t="shared" si="42"/>
        <v>0</v>
      </c>
      <c r="ED16" s="525">
        <f t="shared" si="153"/>
        <v>0</v>
      </c>
      <c r="EE16" s="523">
        <v>14.534883720930225</v>
      </c>
      <c r="EF16" s="524">
        <f t="shared" si="43"/>
        <v>0.32911902997826747</v>
      </c>
      <c r="EG16" s="525">
        <f t="shared" si="154"/>
        <v>0</v>
      </c>
      <c r="EH16" s="523">
        <v>46.964705882352973</v>
      </c>
      <c r="EI16" s="524">
        <f t="shared" si="44"/>
        <v>1.063440116893168</v>
      </c>
      <c r="EJ16" s="525">
        <f t="shared" si="155"/>
        <v>0</v>
      </c>
      <c r="EK16" s="523">
        <v>3</v>
      </c>
      <c r="EL16" s="524">
        <f t="shared" si="45"/>
        <v>6.7930167787514442E-2</v>
      </c>
      <c r="EM16" s="525">
        <f t="shared" si="156"/>
        <v>0</v>
      </c>
      <c r="EN16" s="523">
        <v>48.780487804878021</v>
      </c>
      <c r="EO16" s="524">
        <f t="shared" si="46"/>
        <v>1.104555573780722</v>
      </c>
      <c r="EP16" s="525">
        <f t="shared" si="157"/>
        <v>0</v>
      </c>
      <c r="EQ16" s="523">
        <v>24.709302325581348</v>
      </c>
      <c r="ER16" s="524">
        <f t="shared" si="47"/>
        <v>0.5595023509630539</v>
      </c>
      <c r="ES16" s="525">
        <f t="shared" si="158"/>
        <v>0</v>
      </c>
      <c r="ET16" s="523">
        <v>313.95348837209303</v>
      </c>
      <c r="EU16" s="524">
        <f t="shared" si="48"/>
        <v>7.1089710475305816</v>
      </c>
      <c r="EV16" s="525">
        <f t="shared" si="159"/>
        <v>0</v>
      </c>
      <c r="EW16" s="523"/>
      <c r="EX16" s="524">
        <f t="shared" si="49"/>
        <v>0</v>
      </c>
      <c r="EY16" s="525">
        <f t="shared" si="160"/>
        <v>0</v>
      </c>
      <c r="EZ16" s="523"/>
      <c r="FA16" s="524">
        <f t="shared" si="50"/>
        <v>0</v>
      </c>
      <c r="FB16" s="525">
        <f t="shared" si="161"/>
        <v>0</v>
      </c>
      <c r="FC16" s="523"/>
      <c r="FD16" s="524">
        <f t="shared" si="51"/>
        <v>0</v>
      </c>
      <c r="FE16" s="525">
        <f t="shared" si="162"/>
        <v>0</v>
      </c>
      <c r="FF16" s="523"/>
      <c r="FG16" s="524">
        <f t="shared" si="52"/>
        <v>0</v>
      </c>
      <c r="FH16" s="525">
        <f t="shared" si="163"/>
        <v>0</v>
      </c>
      <c r="FI16" s="523"/>
      <c r="FJ16" s="524">
        <f t="shared" si="53"/>
        <v>0</v>
      </c>
      <c r="FK16" s="525">
        <f t="shared" si="164"/>
        <v>0</v>
      </c>
      <c r="FL16" s="523"/>
      <c r="FM16" s="524">
        <f t="shared" si="54"/>
        <v>0</v>
      </c>
      <c r="FN16" s="525">
        <f t="shared" si="165"/>
        <v>0</v>
      </c>
      <c r="FO16" s="523"/>
      <c r="FP16" s="524">
        <f t="shared" si="55"/>
        <v>0</v>
      </c>
      <c r="FQ16" s="525">
        <f t="shared" si="166"/>
        <v>0</v>
      </c>
      <c r="FR16" s="523"/>
      <c r="FS16" s="524">
        <f t="shared" si="56"/>
        <v>0</v>
      </c>
      <c r="FT16" s="525">
        <f t="shared" si="167"/>
        <v>0</v>
      </c>
      <c r="FU16" s="523"/>
      <c r="FV16" s="524">
        <f t="shared" si="57"/>
        <v>0</v>
      </c>
      <c r="FW16" s="525">
        <f t="shared" si="168"/>
        <v>0</v>
      </c>
      <c r="FX16" s="523"/>
      <c r="FY16" s="524">
        <f t="shared" si="58"/>
        <v>0</v>
      </c>
      <c r="FZ16" s="525">
        <f t="shared" si="169"/>
        <v>0</v>
      </c>
      <c r="GA16" s="523"/>
      <c r="GB16" s="524">
        <f t="shared" si="59"/>
        <v>0</v>
      </c>
      <c r="GC16" s="525">
        <f t="shared" si="170"/>
        <v>0</v>
      </c>
      <c r="GD16" s="523"/>
      <c r="GE16" s="524">
        <f t="shared" si="60"/>
        <v>0</v>
      </c>
      <c r="GF16" s="525">
        <f t="shared" si="171"/>
        <v>0</v>
      </c>
      <c r="GG16" s="523"/>
      <c r="GH16" s="524">
        <f t="shared" si="61"/>
        <v>0</v>
      </c>
      <c r="GI16" s="525">
        <f t="shared" si="172"/>
        <v>0</v>
      </c>
      <c r="GJ16" s="523"/>
      <c r="GK16" s="524">
        <f t="shared" si="62"/>
        <v>0</v>
      </c>
      <c r="GL16" s="525">
        <f t="shared" si="173"/>
        <v>0</v>
      </c>
      <c r="GM16" s="523"/>
      <c r="GN16" s="524">
        <f t="shared" si="63"/>
        <v>0</v>
      </c>
      <c r="GO16" s="525">
        <f t="shared" si="174"/>
        <v>0</v>
      </c>
      <c r="GP16" s="523"/>
      <c r="GQ16" s="524">
        <f t="shared" si="64"/>
        <v>0</v>
      </c>
      <c r="GR16" s="525">
        <f t="shared" si="175"/>
        <v>0</v>
      </c>
      <c r="GS16" s="523"/>
      <c r="GT16" s="524">
        <f t="shared" si="65"/>
        <v>0</v>
      </c>
      <c r="GU16" s="525">
        <f t="shared" si="176"/>
        <v>0</v>
      </c>
      <c r="GV16" s="523"/>
      <c r="GW16" s="524">
        <f t="shared" si="66"/>
        <v>0</v>
      </c>
      <c r="GX16" s="525">
        <f t="shared" si="177"/>
        <v>0</v>
      </c>
      <c r="GY16" s="523"/>
      <c r="GZ16" s="524">
        <f t="shared" si="67"/>
        <v>0</v>
      </c>
      <c r="HA16" s="525">
        <f t="shared" si="178"/>
        <v>0</v>
      </c>
      <c r="HB16" s="523"/>
      <c r="HC16" s="524">
        <f t="shared" si="68"/>
        <v>0</v>
      </c>
      <c r="HD16" s="525">
        <f t="shared" si="179"/>
        <v>0</v>
      </c>
      <c r="HE16" s="523"/>
      <c r="HF16" s="524">
        <f t="shared" si="69"/>
        <v>0</v>
      </c>
      <c r="HG16" s="525">
        <f t="shared" si="180"/>
        <v>0</v>
      </c>
      <c r="HH16" s="523"/>
      <c r="HI16" s="524">
        <f t="shared" si="70"/>
        <v>0</v>
      </c>
      <c r="HJ16" s="525">
        <f t="shared" si="181"/>
        <v>0</v>
      </c>
      <c r="HK16" s="523"/>
      <c r="HL16" s="524">
        <f t="shared" si="71"/>
        <v>0</v>
      </c>
      <c r="HM16" s="525">
        <f t="shared" si="182"/>
        <v>0</v>
      </c>
      <c r="HN16" s="523"/>
      <c r="HO16" s="524">
        <f t="shared" si="72"/>
        <v>0</v>
      </c>
      <c r="HP16" s="525">
        <f t="shared" si="183"/>
        <v>0</v>
      </c>
      <c r="HQ16" s="523"/>
      <c r="HR16" s="524">
        <f t="shared" si="73"/>
        <v>0</v>
      </c>
      <c r="HS16" s="525">
        <f t="shared" si="184"/>
        <v>0</v>
      </c>
      <c r="HT16" s="523"/>
      <c r="HU16" s="524">
        <f t="shared" si="74"/>
        <v>0</v>
      </c>
      <c r="HV16" s="525">
        <f t="shared" si="185"/>
        <v>0</v>
      </c>
      <c r="HW16" s="523"/>
      <c r="HX16" s="524">
        <f t="shared" si="75"/>
        <v>0</v>
      </c>
      <c r="HY16" s="525">
        <f t="shared" si="186"/>
        <v>0</v>
      </c>
      <c r="HZ16" s="523"/>
      <c r="IA16" s="524">
        <f t="shared" si="76"/>
        <v>0</v>
      </c>
      <c r="IB16" s="525">
        <f t="shared" si="187"/>
        <v>0</v>
      </c>
      <c r="IC16" s="523"/>
      <c r="ID16" s="524">
        <f t="shared" si="77"/>
        <v>0</v>
      </c>
      <c r="IE16" s="525">
        <f t="shared" si="188"/>
        <v>0</v>
      </c>
      <c r="IF16" s="523"/>
      <c r="IG16" s="524">
        <f t="shared" si="78"/>
        <v>0</v>
      </c>
      <c r="IH16" s="525">
        <f t="shared" si="189"/>
        <v>0</v>
      </c>
      <c r="II16" s="523"/>
      <c r="IJ16" s="524">
        <f t="shared" si="79"/>
        <v>0</v>
      </c>
      <c r="IK16" s="525">
        <f t="shared" si="190"/>
        <v>0</v>
      </c>
      <c r="IL16" s="523"/>
      <c r="IM16" s="524">
        <f t="shared" si="80"/>
        <v>0</v>
      </c>
      <c r="IN16" s="525">
        <f t="shared" si="191"/>
        <v>0</v>
      </c>
      <c r="IO16" s="523"/>
      <c r="IP16" s="524">
        <f t="shared" si="81"/>
        <v>0</v>
      </c>
      <c r="IQ16" s="525">
        <f t="shared" si="192"/>
        <v>0</v>
      </c>
      <c r="IR16" s="523"/>
      <c r="IS16" s="524">
        <f t="shared" si="82"/>
        <v>0</v>
      </c>
      <c r="IT16" s="525">
        <f t="shared" si="193"/>
        <v>0</v>
      </c>
      <c r="IU16" s="523"/>
      <c r="IV16" s="524">
        <f t="shared" si="83"/>
        <v>0</v>
      </c>
      <c r="IW16" s="525">
        <f t="shared" si="194"/>
        <v>0</v>
      </c>
      <c r="IX16" s="523"/>
      <c r="IY16" s="524">
        <f t="shared" si="84"/>
        <v>0</v>
      </c>
      <c r="IZ16" s="525">
        <f t="shared" si="195"/>
        <v>0</v>
      </c>
      <c r="JA16" s="523"/>
      <c r="JB16" s="524">
        <f t="shared" si="85"/>
        <v>0</v>
      </c>
      <c r="JC16" s="525">
        <f t="shared" si="196"/>
        <v>0</v>
      </c>
      <c r="JD16" s="523"/>
      <c r="JE16" s="524">
        <f t="shared" si="86"/>
        <v>0</v>
      </c>
      <c r="JF16" s="525">
        <f t="shared" si="197"/>
        <v>0</v>
      </c>
      <c r="JG16" s="523"/>
      <c r="JH16" s="524">
        <f t="shared" si="87"/>
        <v>0</v>
      </c>
      <c r="JI16" s="525">
        <f t="shared" si="198"/>
        <v>0</v>
      </c>
      <c r="JJ16" s="523"/>
      <c r="JK16" s="525" t="str">
        <f t="shared" si="88"/>
        <v>0</v>
      </c>
      <c r="JL16" s="525" t="str">
        <f t="shared" si="89"/>
        <v>0</v>
      </c>
      <c r="JM16" s="523"/>
      <c r="JN16" s="525" t="str">
        <f t="shared" si="90"/>
        <v>0</v>
      </c>
      <c r="JO16" s="525" t="str">
        <f t="shared" si="91"/>
        <v>0</v>
      </c>
      <c r="JP16" s="523"/>
      <c r="JQ16" s="525" t="str">
        <f t="shared" si="92"/>
        <v>0</v>
      </c>
      <c r="JR16" s="525" t="str">
        <f t="shared" si="93"/>
        <v>0</v>
      </c>
      <c r="JS16" s="523"/>
      <c r="JT16" s="525" t="str">
        <f t="shared" si="94"/>
        <v>0</v>
      </c>
      <c r="JU16" s="525" t="str">
        <f t="shared" si="95"/>
        <v>0</v>
      </c>
      <c r="JV16" s="523"/>
      <c r="JW16" s="525" t="str">
        <f t="shared" si="96"/>
        <v>0</v>
      </c>
      <c r="JX16" s="525" t="str">
        <f t="shared" si="97"/>
        <v>0</v>
      </c>
      <c r="JY16" s="523"/>
      <c r="JZ16" s="525" t="str">
        <f t="shared" si="98"/>
        <v>0</v>
      </c>
      <c r="KA16" s="525" t="str">
        <f t="shared" si="99"/>
        <v>0</v>
      </c>
      <c r="KB16" s="523"/>
      <c r="KC16" s="525" t="str">
        <f t="shared" si="100"/>
        <v>0</v>
      </c>
      <c r="KD16" s="525" t="str">
        <f t="shared" si="101"/>
        <v>0</v>
      </c>
      <c r="KE16" s="523"/>
      <c r="KF16" s="525" t="str">
        <f t="shared" si="102"/>
        <v>0</v>
      </c>
      <c r="KG16" s="525" t="str">
        <f t="shared" si="103"/>
        <v>0</v>
      </c>
      <c r="KH16" s="523"/>
      <c r="KI16" s="525" t="str">
        <f t="shared" si="104"/>
        <v>0</v>
      </c>
      <c r="KJ16" s="525" t="str">
        <f t="shared" si="105"/>
        <v>0</v>
      </c>
      <c r="KK16" s="523"/>
      <c r="KL16" s="525" t="str">
        <f t="shared" si="106"/>
        <v>0</v>
      </c>
      <c r="KM16" s="525" t="str">
        <f t="shared" si="107"/>
        <v>0</v>
      </c>
      <c r="KN16" s="523"/>
      <c r="KO16" s="525" t="str">
        <f t="shared" si="108"/>
        <v>0</v>
      </c>
      <c r="KP16" s="525" t="str">
        <f t="shared" si="109"/>
        <v>0</v>
      </c>
      <c r="KQ16" s="523"/>
      <c r="KR16" s="525" t="str">
        <f t="shared" si="110"/>
        <v>0</v>
      </c>
      <c r="KS16" s="525" t="str">
        <f t="shared" si="111"/>
        <v>0</v>
      </c>
      <c r="KT16" s="525">
        <f t="shared" si="201"/>
        <v>0</v>
      </c>
      <c r="KU16" s="525">
        <f t="shared" si="202"/>
        <v>0</v>
      </c>
      <c r="KV16" s="261">
        <f t="shared" si="199"/>
        <v>525.6364212409552</v>
      </c>
    </row>
    <row r="17" spans="1:308">
      <c r="A17" s="262">
        <f t="shared" si="200"/>
        <v>46121</v>
      </c>
      <c r="B17" s="263" t="str">
        <f>+Report1!B17</f>
        <v>Facial/Toilet</v>
      </c>
      <c r="C17" s="263" t="str">
        <f>+Report1!C17</f>
        <v>15/14</v>
      </c>
      <c r="D17" s="264">
        <f>+Report1!P17</f>
        <v>5.7360000000000007</v>
      </c>
      <c r="E17" s="556">
        <f>+Report1!R17</f>
        <v>4.0439999999999996</v>
      </c>
      <c r="F17" s="523"/>
      <c r="G17" s="524">
        <f t="shared" si="0"/>
        <v>0</v>
      </c>
      <c r="H17" s="525">
        <f t="shared" si="112"/>
        <v>0</v>
      </c>
      <c r="I17" s="523">
        <v>46.511627906976628</v>
      </c>
      <c r="J17" s="524">
        <f t="shared" si="1"/>
        <v>11.501391668391848</v>
      </c>
      <c r="K17" s="525">
        <f t="shared" si="113"/>
        <v>0</v>
      </c>
      <c r="L17" s="523"/>
      <c r="M17" s="524">
        <f t="shared" si="2"/>
        <v>0</v>
      </c>
      <c r="N17" s="525">
        <f t="shared" si="114"/>
        <v>0</v>
      </c>
      <c r="O17" s="523">
        <v>3</v>
      </c>
      <c r="P17" s="524">
        <f t="shared" si="3"/>
        <v>0.74183976261127604</v>
      </c>
      <c r="Q17" s="525">
        <f t="shared" si="115"/>
        <v>0</v>
      </c>
      <c r="R17" s="523"/>
      <c r="S17" s="524">
        <f t="shared" si="4"/>
        <v>0</v>
      </c>
      <c r="T17" s="525">
        <f t="shared" si="116"/>
        <v>0</v>
      </c>
      <c r="U17" s="523">
        <v>2.5625</v>
      </c>
      <c r="V17" s="524">
        <f t="shared" si="5"/>
        <v>0.63365479723046492</v>
      </c>
      <c r="W17" s="525">
        <f t="shared" si="117"/>
        <v>0</v>
      </c>
      <c r="X17" s="523"/>
      <c r="Y17" s="524">
        <f t="shared" si="6"/>
        <v>0</v>
      </c>
      <c r="Z17" s="525">
        <f t="shared" si="118"/>
        <v>0</v>
      </c>
      <c r="AA17" s="523">
        <v>4.6875</v>
      </c>
      <c r="AB17" s="524">
        <f t="shared" si="7"/>
        <v>1.1591246290801187</v>
      </c>
      <c r="AC17" s="525">
        <f t="shared" si="119"/>
        <v>0</v>
      </c>
      <c r="AD17" s="523"/>
      <c r="AE17" s="524">
        <f t="shared" si="8"/>
        <v>0</v>
      </c>
      <c r="AF17" s="525">
        <f t="shared" si="120"/>
        <v>0</v>
      </c>
      <c r="AG17" s="523"/>
      <c r="AH17" s="524">
        <f t="shared" si="9"/>
        <v>0</v>
      </c>
      <c r="AI17" s="525">
        <f t="shared" si="121"/>
        <v>0</v>
      </c>
      <c r="AJ17" s="523"/>
      <c r="AK17" s="524">
        <f t="shared" si="10"/>
        <v>0</v>
      </c>
      <c r="AL17" s="525">
        <f t="shared" si="122"/>
        <v>0</v>
      </c>
      <c r="AM17" s="523"/>
      <c r="AN17" s="524">
        <f t="shared" si="11"/>
        <v>0</v>
      </c>
      <c r="AO17" s="525">
        <f t="shared" si="123"/>
        <v>0</v>
      </c>
      <c r="AP17" s="523"/>
      <c r="AQ17" s="524">
        <f t="shared" si="12"/>
        <v>0</v>
      </c>
      <c r="AR17" s="525">
        <f t="shared" si="124"/>
        <v>0</v>
      </c>
      <c r="AS17" s="523"/>
      <c r="AT17" s="524">
        <f t="shared" si="13"/>
        <v>0</v>
      </c>
      <c r="AU17" s="525">
        <f t="shared" si="125"/>
        <v>0</v>
      </c>
      <c r="AV17" s="523"/>
      <c r="AW17" s="524">
        <f t="shared" si="14"/>
        <v>0</v>
      </c>
      <c r="AX17" s="525">
        <f t="shared" si="126"/>
        <v>0</v>
      </c>
      <c r="AY17" s="523"/>
      <c r="AZ17" s="524">
        <f t="shared" si="15"/>
        <v>0</v>
      </c>
      <c r="BA17" s="525">
        <f t="shared" si="127"/>
        <v>0</v>
      </c>
      <c r="BB17" s="523"/>
      <c r="BC17" s="524">
        <f t="shared" si="16"/>
        <v>0</v>
      </c>
      <c r="BD17" s="525">
        <f t="shared" si="128"/>
        <v>0</v>
      </c>
      <c r="BE17" s="523"/>
      <c r="BF17" s="524">
        <f t="shared" si="17"/>
        <v>0</v>
      </c>
      <c r="BG17" s="525">
        <f t="shared" si="129"/>
        <v>0</v>
      </c>
      <c r="BH17" s="523"/>
      <c r="BI17" s="524">
        <f t="shared" si="18"/>
        <v>0</v>
      </c>
      <c r="BJ17" s="525">
        <f t="shared" si="130"/>
        <v>0</v>
      </c>
      <c r="BK17" s="523"/>
      <c r="BL17" s="524">
        <f t="shared" si="19"/>
        <v>0</v>
      </c>
      <c r="BM17" s="525">
        <f t="shared" si="131"/>
        <v>0</v>
      </c>
      <c r="BN17" s="523"/>
      <c r="BO17" s="524">
        <f t="shared" si="20"/>
        <v>0</v>
      </c>
      <c r="BP17" s="525">
        <f t="shared" si="132"/>
        <v>0</v>
      </c>
      <c r="BQ17" s="523"/>
      <c r="BR17" s="524">
        <f t="shared" si="21"/>
        <v>0</v>
      </c>
      <c r="BS17" s="525">
        <f t="shared" si="133"/>
        <v>0</v>
      </c>
      <c r="BT17" s="523"/>
      <c r="BU17" s="524">
        <f t="shared" si="22"/>
        <v>0</v>
      </c>
      <c r="BV17" s="525">
        <f t="shared" si="134"/>
        <v>0</v>
      </c>
      <c r="BW17" s="523"/>
      <c r="BX17" s="524">
        <f t="shared" si="23"/>
        <v>0</v>
      </c>
      <c r="BY17" s="525">
        <f t="shared" si="135"/>
        <v>0</v>
      </c>
      <c r="BZ17" s="523"/>
      <c r="CA17" s="524">
        <f t="shared" si="24"/>
        <v>0</v>
      </c>
      <c r="CB17" s="525">
        <f t="shared" si="136"/>
        <v>0</v>
      </c>
      <c r="CC17" s="523"/>
      <c r="CD17" s="524">
        <f t="shared" si="25"/>
        <v>0</v>
      </c>
      <c r="CE17" s="525">
        <f t="shared" si="137"/>
        <v>0</v>
      </c>
      <c r="CF17" s="523">
        <v>0.5</v>
      </c>
      <c r="CG17" s="524">
        <f t="shared" si="26"/>
        <v>0.12363996043521268</v>
      </c>
      <c r="CH17" s="525">
        <f t="shared" si="138"/>
        <v>0</v>
      </c>
      <c r="CI17" s="523"/>
      <c r="CJ17" s="524">
        <f t="shared" si="27"/>
        <v>0</v>
      </c>
      <c r="CK17" s="525">
        <f t="shared" si="139"/>
        <v>0</v>
      </c>
      <c r="CL17" s="523"/>
      <c r="CM17" s="524">
        <f t="shared" si="28"/>
        <v>0</v>
      </c>
      <c r="CN17" s="525">
        <f t="shared" si="140"/>
        <v>0</v>
      </c>
      <c r="CO17" s="523"/>
      <c r="CP17" s="524">
        <f t="shared" si="29"/>
        <v>0</v>
      </c>
      <c r="CQ17" s="525">
        <f t="shared" si="141"/>
        <v>0</v>
      </c>
      <c r="CR17" s="523"/>
      <c r="CS17" s="524">
        <f t="shared" si="30"/>
        <v>0</v>
      </c>
      <c r="CT17" s="525">
        <f t="shared" si="142"/>
        <v>0</v>
      </c>
      <c r="CU17" s="523"/>
      <c r="CV17" s="524">
        <f t="shared" si="31"/>
        <v>0</v>
      </c>
      <c r="CW17" s="525">
        <f t="shared" si="143"/>
        <v>0</v>
      </c>
      <c r="CX17" s="523"/>
      <c r="CY17" s="524">
        <f t="shared" si="32"/>
        <v>0</v>
      </c>
      <c r="CZ17" s="525">
        <f t="shared" si="144"/>
        <v>0</v>
      </c>
      <c r="DA17" s="523">
        <v>14.531906976744153</v>
      </c>
      <c r="DB17" s="524">
        <f t="shared" si="33"/>
        <v>3.5934488073056761</v>
      </c>
      <c r="DC17" s="525">
        <f t="shared" si="145"/>
        <v>0</v>
      </c>
      <c r="DD17" s="523"/>
      <c r="DE17" s="524">
        <f t="shared" si="34"/>
        <v>0</v>
      </c>
      <c r="DF17" s="525">
        <f t="shared" si="146"/>
        <v>0</v>
      </c>
      <c r="DG17" s="523"/>
      <c r="DH17" s="524">
        <f t="shared" si="35"/>
        <v>0</v>
      </c>
      <c r="DI17" s="525">
        <f t="shared" si="203"/>
        <v>0</v>
      </c>
      <c r="DJ17" s="523"/>
      <c r="DK17" s="524">
        <f t="shared" si="36"/>
        <v>0</v>
      </c>
      <c r="DL17" s="525">
        <f t="shared" si="147"/>
        <v>0</v>
      </c>
      <c r="DM17" s="523"/>
      <c r="DN17" s="524">
        <f t="shared" si="37"/>
        <v>0</v>
      </c>
      <c r="DO17" s="525">
        <f t="shared" si="148"/>
        <v>0</v>
      </c>
      <c r="DP17" s="523"/>
      <c r="DQ17" s="524">
        <f t="shared" si="38"/>
        <v>0</v>
      </c>
      <c r="DR17" s="525">
        <f t="shared" si="149"/>
        <v>0</v>
      </c>
      <c r="DS17" s="523"/>
      <c r="DT17" s="524">
        <f t="shared" si="39"/>
        <v>0</v>
      </c>
      <c r="DU17" s="525">
        <f t="shared" si="150"/>
        <v>0</v>
      </c>
      <c r="DV17" s="523"/>
      <c r="DW17" s="524">
        <f t="shared" si="40"/>
        <v>0</v>
      </c>
      <c r="DX17" s="525">
        <f t="shared" si="151"/>
        <v>0</v>
      </c>
      <c r="DY17" s="523"/>
      <c r="DZ17" s="524">
        <f t="shared" si="41"/>
        <v>0</v>
      </c>
      <c r="EA17" s="525">
        <f t="shared" si="152"/>
        <v>0</v>
      </c>
      <c r="EB17" s="523"/>
      <c r="EC17" s="524">
        <f t="shared" si="42"/>
        <v>0</v>
      </c>
      <c r="ED17" s="525">
        <f t="shared" si="153"/>
        <v>0</v>
      </c>
      <c r="EE17" s="523">
        <v>21.802325581395365</v>
      </c>
      <c r="EF17" s="524">
        <f t="shared" si="43"/>
        <v>5.3912773445586959</v>
      </c>
      <c r="EG17" s="525">
        <f t="shared" si="154"/>
        <v>0</v>
      </c>
      <c r="EH17" s="523">
        <v>23.482352941176487</v>
      </c>
      <c r="EI17" s="524">
        <f t="shared" si="44"/>
        <v>5.8067143771455214</v>
      </c>
      <c r="EJ17" s="525">
        <f t="shared" si="155"/>
        <v>0</v>
      </c>
      <c r="EK17" s="523">
        <v>4</v>
      </c>
      <c r="EL17" s="524">
        <f t="shared" si="45"/>
        <v>0.98911968348170143</v>
      </c>
      <c r="EM17" s="525">
        <f t="shared" si="156"/>
        <v>0</v>
      </c>
      <c r="EN17" s="523">
        <v>12.195121951219676</v>
      </c>
      <c r="EO17" s="524">
        <f t="shared" si="46"/>
        <v>3.0156087911027885</v>
      </c>
      <c r="EP17" s="525">
        <f t="shared" si="157"/>
        <v>0</v>
      </c>
      <c r="EQ17" s="523">
        <v>24.709302325581461</v>
      </c>
      <c r="ER17" s="524">
        <f t="shared" si="47"/>
        <v>6.1101143238332005</v>
      </c>
      <c r="ES17" s="525">
        <f t="shared" si="158"/>
        <v>0</v>
      </c>
      <c r="ET17" s="523">
        <v>34.883720930232585</v>
      </c>
      <c r="EU17" s="524">
        <f t="shared" si="48"/>
        <v>8.6260437512939134</v>
      </c>
      <c r="EV17" s="525">
        <f t="shared" si="159"/>
        <v>0</v>
      </c>
      <c r="EW17" s="523"/>
      <c r="EX17" s="524">
        <f t="shared" si="49"/>
        <v>0</v>
      </c>
      <c r="EY17" s="525">
        <f t="shared" si="160"/>
        <v>0</v>
      </c>
      <c r="EZ17" s="523"/>
      <c r="FA17" s="524">
        <f t="shared" si="50"/>
        <v>0</v>
      </c>
      <c r="FB17" s="525">
        <f t="shared" si="161"/>
        <v>0</v>
      </c>
      <c r="FC17" s="523"/>
      <c r="FD17" s="524">
        <f t="shared" si="51"/>
        <v>0</v>
      </c>
      <c r="FE17" s="525">
        <f t="shared" si="162"/>
        <v>0</v>
      </c>
      <c r="FF17" s="523"/>
      <c r="FG17" s="524">
        <f t="shared" si="52"/>
        <v>0</v>
      </c>
      <c r="FH17" s="525">
        <f t="shared" si="163"/>
        <v>0</v>
      </c>
      <c r="FI17" s="523"/>
      <c r="FJ17" s="524">
        <f t="shared" si="53"/>
        <v>0</v>
      </c>
      <c r="FK17" s="525">
        <f t="shared" si="164"/>
        <v>0</v>
      </c>
      <c r="FL17" s="523"/>
      <c r="FM17" s="524">
        <f t="shared" si="54"/>
        <v>0</v>
      </c>
      <c r="FN17" s="525">
        <f t="shared" si="165"/>
        <v>0</v>
      </c>
      <c r="FO17" s="523"/>
      <c r="FP17" s="524">
        <f t="shared" si="55"/>
        <v>0</v>
      </c>
      <c r="FQ17" s="525">
        <f t="shared" si="166"/>
        <v>0</v>
      </c>
      <c r="FR17" s="523"/>
      <c r="FS17" s="524">
        <f t="shared" si="56"/>
        <v>0</v>
      </c>
      <c r="FT17" s="525">
        <f t="shared" si="167"/>
        <v>0</v>
      </c>
      <c r="FU17" s="523"/>
      <c r="FV17" s="524">
        <f t="shared" si="57"/>
        <v>0</v>
      </c>
      <c r="FW17" s="525">
        <f t="shared" si="168"/>
        <v>0</v>
      </c>
      <c r="FX17" s="523"/>
      <c r="FY17" s="524">
        <f t="shared" si="58"/>
        <v>0</v>
      </c>
      <c r="FZ17" s="525">
        <f t="shared" si="169"/>
        <v>0</v>
      </c>
      <c r="GA17" s="523"/>
      <c r="GB17" s="524">
        <f t="shared" si="59"/>
        <v>0</v>
      </c>
      <c r="GC17" s="525">
        <f t="shared" si="170"/>
        <v>0</v>
      </c>
      <c r="GD17" s="523"/>
      <c r="GE17" s="524">
        <f t="shared" si="60"/>
        <v>0</v>
      </c>
      <c r="GF17" s="525">
        <f t="shared" si="171"/>
        <v>0</v>
      </c>
      <c r="GG17" s="523"/>
      <c r="GH17" s="524">
        <f t="shared" si="61"/>
        <v>0</v>
      </c>
      <c r="GI17" s="525">
        <f t="shared" si="172"/>
        <v>0</v>
      </c>
      <c r="GJ17" s="523"/>
      <c r="GK17" s="524">
        <f t="shared" si="62"/>
        <v>0</v>
      </c>
      <c r="GL17" s="525">
        <f t="shared" si="173"/>
        <v>0</v>
      </c>
      <c r="GM17" s="523"/>
      <c r="GN17" s="524">
        <f t="shared" si="63"/>
        <v>0</v>
      </c>
      <c r="GO17" s="525">
        <f t="shared" si="174"/>
        <v>0</v>
      </c>
      <c r="GP17" s="523"/>
      <c r="GQ17" s="524">
        <f t="shared" si="64"/>
        <v>0</v>
      </c>
      <c r="GR17" s="525">
        <f t="shared" si="175"/>
        <v>0</v>
      </c>
      <c r="GS17" s="523"/>
      <c r="GT17" s="524">
        <f t="shared" si="65"/>
        <v>0</v>
      </c>
      <c r="GU17" s="525">
        <f t="shared" si="176"/>
        <v>0</v>
      </c>
      <c r="GV17" s="523"/>
      <c r="GW17" s="524">
        <f t="shared" si="66"/>
        <v>0</v>
      </c>
      <c r="GX17" s="525">
        <f t="shared" si="177"/>
        <v>0</v>
      </c>
      <c r="GY17" s="523"/>
      <c r="GZ17" s="524">
        <f t="shared" si="67"/>
        <v>0</v>
      </c>
      <c r="HA17" s="525">
        <f t="shared" si="178"/>
        <v>0</v>
      </c>
      <c r="HB17" s="523"/>
      <c r="HC17" s="524">
        <f t="shared" si="68"/>
        <v>0</v>
      </c>
      <c r="HD17" s="525">
        <f t="shared" si="179"/>
        <v>0</v>
      </c>
      <c r="HE17" s="523"/>
      <c r="HF17" s="524">
        <f t="shared" si="69"/>
        <v>0</v>
      </c>
      <c r="HG17" s="525">
        <f t="shared" si="180"/>
        <v>0</v>
      </c>
      <c r="HH17" s="523"/>
      <c r="HI17" s="524">
        <f t="shared" si="70"/>
        <v>0</v>
      </c>
      <c r="HJ17" s="525">
        <f t="shared" si="181"/>
        <v>0</v>
      </c>
      <c r="HK17" s="523"/>
      <c r="HL17" s="524">
        <f t="shared" si="71"/>
        <v>0</v>
      </c>
      <c r="HM17" s="525">
        <f t="shared" si="182"/>
        <v>0</v>
      </c>
      <c r="HN17" s="523"/>
      <c r="HO17" s="524">
        <f t="shared" si="72"/>
        <v>0</v>
      </c>
      <c r="HP17" s="525">
        <f t="shared" si="183"/>
        <v>0</v>
      </c>
      <c r="HQ17" s="523"/>
      <c r="HR17" s="524">
        <f t="shared" si="73"/>
        <v>0</v>
      </c>
      <c r="HS17" s="525">
        <f t="shared" si="184"/>
        <v>0</v>
      </c>
      <c r="HT17" s="523"/>
      <c r="HU17" s="524">
        <f t="shared" si="74"/>
        <v>0</v>
      </c>
      <c r="HV17" s="525">
        <f t="shared" si="185"/>
        <v>0</v>
      </c>
      <c r="HW17" s="523"/>
      <c r="HX17" s="524">
        <f t="shared" si="75"/>
        <v>0</v>
      </c>
      <c r="HY17" s="525">
        <f t="shared" si="186"/>
        <v>0</v>
      </c>
      <c r="HZ17" s="523"/>
      <c r="IA17" s="524">
        <f t="shared" si="76"/>
        <v>0</v>
      </c>
      <c r="IB17" s="525">
        <f t="shared" si="187"/>
        <v>0</v>
      </c>
      <c r="IC17" s="523"/>
      <c r="ID17" s="524">
        <f t="shared" si="77"/>
        <v>0</v>
      </c>
      <c r="IE17" s="525">
        <f t="shared" si="188"/>
        <v>0</v>
      </c>
      <c r="IF17" s="523"/>
      <c r="IG17" s="524">
        <f t="shared" si="78"/>
        <v>0</v>
      </c>
      <c r="IH17" s="525">
        <f t="shared" si="189"/>
        <v>0</v>
      </c>
      <c r="II17" s="523"/>
      <c r="IJ17" s="524">
        <f t="shared" si="79"/>
        <v>0</v>
      </c>
      <c r="IK17" s="525">
        <f t="shared" si="190"/>
        <v>0</v>
      </c>
      <c r="IL17" s="523"/>
      <c r="IM17" s="524">
        <f t="shared" si="80"/>
        <v>0</v>
      </c>
      <c r="IN17" s="525">
        <f t="shared" si="191"/>
        <v>0</v>
      </c>
      <c r="IO17" s="523"/>
      <c r="IP17" s="524">
        <f t="shared" si="81"/>
        <v>0</v>
      </c>
      <c r="IQ17" s="525">
        <f t="shared" si="192"/>
        <v>0</v>
      </c>
      <c r="IR17" s="523"/>
      <c r="IS17" s="524">
        <f t="shared" si="82"/>
        <v>0</v>
      </c>
      <c r="IT17" s="525">
        <f t="shared" si="193"/>
        <v>0</v>
      </c>
      <c r="IU17" s="523"/>
      <c r="IV17" s="524">
        <f t="shared" si="83"/>
        <v>0</v>
      </c>
      <c r="IW17" s="525">
        <f t="shared" si="194"/>
        <v>0</v>
      </c>
      <c r="IX17" s="523"/>
      <c r="IY17" s="524">
        <f t="shared" si="84"/>
        <v>0</v>
      </c>
      <c r="IZ17" s="525">
        <f t="shared" si="195"/>
        <v>0</v>
      </c>
      <c r="JA17" s="523"/>
      <c r="JB17" s="524">
        <f t="shared" si="85"/>
        <v>0</v>
      </c>
      <c r="JC17" s="525">
        <f t="shared" si="196"/>
        <v>0</v>
      </c>
      <c r="JD17" s="523"/>
      <c r="JE17" s="524">
        <f t="shared" si="86"/>
        <v>0</v>
      </c>
      <c r="JF17" s="525">
        <f t="shared" si="197"/>
        <v>0</v>
      </c>
      <c r="JG17" s="523"/>
      <c r="JH17" s="524">
        <f t="shared" si="87"/>
        <v>0</v>
      </c>
      <c r="JI17" s="525">
        <f t="shared" si="198"/>
        <v>0</v>
      </c>
      <c r="JJ17" s="523"/>
      <c r="JK17" s="525" t="str">
        <f t="shared" si="88"/>
        <v>0</v>
      </c>
      <c r="JL17" s="525" t="str">
        <f t="shared" si="89"/>
        <v>0</v>
      </c>
      <c r="JM17" s="523"/>
      <c r="JN17" s="525" t="str">
        <f t="shared" si="90"/>
        <v>0</v>
      </c>
      <c r="JO17" s="525" t="str">
        <f t="shared" si="91"/>
        <v>0</v>
      </c>
      <c r="JP17" s="523"/>
      <c r="JQ17" s="525" t="str">
        <f t="shared" si="92"/>
        <v>0</v>
      </c>
      <c r="JR17" s="525" t="str">
        <f t="shared" si="93"/>
        <v>0</v>
      </c>
      <c r="JS17" s="523"/>
      <c r="JT17" s="525" t="str">
        <f t="shared" si="94"/>
        <v>0</v>
      </c>
      <c r="JU17" s="525" t="str">
        <f t="shared" si="95"/>
        <v>0</v>
      </c>
      <c r="JV17" s="523"/>
      <c r="JW17" s="525" t="str">
        <f t="shared" si="96"/>
        <v>0</v>
      </c>
      <c r="JX17" s="525" t="str">
        <f t="shared" si="97"/>
        <v>0</v>
      </c>
      <c r="JY17" s="523"/>
      <c r="JZ17" s="525" t="str">
        <f t="shared" si="98"/>
        <v>0</v>
      </c>
      <c r="KA17" s="525" t="str">
        <f t="shared" si="99"/>
        <v>0</v>
      </c>
      <c r="KB17" s="523"/>
      <c r="KC17" s="525" t="str">
        <f t="shared" si="100"/>
        <v>0</v>
      </c>
      <c r="KD17" s="525" t="str">
        <f t="shared" si="101"/>
        <v>0</v>
      </c>
      <c r="KE17" s="523"/>
      <c r="KF17" s="525" t="str">
        <f t="shared" si="102"/>
        <v>0</v>
      </c>
      <c r="KG17" s="525" t="str">
        <f t="shared" si="103"/>
        <v>0</v>
      </c>
      <c r="KH17" s="523"/>
      <c r="KI17" s="525" t="str">
        <f t="shared" si="104"/>
        <v>0</v>
      </c>
      <c r="KJ17" s="525" t="str">
        <f t="shared" si="105"/>
        <v>0</v>
      </c>
      <c r="KK17" s="523"/>
      <c r="KL17" s="525" t="str">
        <f t="shared" si="106"/>
        <v>0</v>
      </c>
      <c r="KM17" s="525" t="str">
        <f t="shared" si="107"/>
        <v>0</v>
      </c>
      <c r="KN17" s="523"/>
      <c r="KO17" s="525" t="str">
        <f t="shared" si="108"/>
        <v>0</v>
      </c>
      <c r="KP17" s="525" t="str">
        <f t="shared" si="109"/>
        <v>0</v>
      </c>
      <c r="KQ17" s="523"/>
      <c r="KR17" s="525" t="str">
        <f t="shared" si="110"/>
        <v>0</v>
      </c>
      <c r="KS17" s="525" t="str">
        <f t="shared" si="111"/>
        <v>0</v>
      </c>
      <c r="KT17" s="525">
        <f t="shared" si="201"/>
        <v>0</v>
      </c>
      <c r="KU17" s="525">
        <f t="shared" si="202"/>
        <v>0</v>
      </c>
      <c r="KV17" s="261">
        <f t="shared" si="199"/>
        <v>157.98263768309377</v>
      </c>
    </row>
    <row r="18" spans="1:308">
      <c r="A18" s="262">
        <f t="shared" si="200"/>
        <v>46122</v>
      </c>
      <c r="B18" s="263" t="str">
        <f>+Report1!B18</f>
        <v>Toilet</v>
      </c>
      <c r="C18" s="263" t="str">
        <f>+Report1!C18</f>
        <v>14/13</v>
      </c>
      <c r="D18" s="264">
        <f>+Report1!P18</f>
        <v>36.384999999999998</v>
      </c>
      <c r="E18" s="556">
        <f>+Report1!R18</f>
        <v>30.251000000000001</v>
      </c>
      <c r="F18" s="523"/>
      <c r="G18" s="524">
        <f t="shared" si="0"/>
        <v>0</v>
      </c>
      <c r="H18" s="525">
        <f t="shared" si="112"/>
        <v>0</v>
      </c>
      <c r="I18" s="523"/>
      <c r="J18" s="524">
        <f t="shared" si="1"/>
        <v>0</v>
      </c>
      <c r="K18" s="525">
        <f t="shared" si="113"/>
        <v>0</v>
      </c>
      <c r="L18" s="523"/>
      <c r="M18" s="524">
        <f t="shared" si="2"/>
        <v>0</v>
      </c>
      <c r="N18" s="525">
        <f t="shared" si="114"/>
        <v>0</v>
      </c>
      <c r="O18" s="523">
        <v>6.0000000000000284</v>
      </c>
      <c r="P18" s="524">
        <f t="shared" si="3"/>
        <v>0.19834055072559678</v>
      </c>
      <c r="Q18" s="525">
        <f t="shared" si="115"/>
        <v>0</v>
      </c>
      <c r="R18" s="523"/>
      <c r="S18" s="524">
        <f t="shared" si="4"/>
        <v>0</v>
      </c>
      <c r="T18" s="525">
        <f t="shared" si="116"/>
        <v>0</v>
      </c>
      <c r="U18" s="523">
        <v>5.1249999999999716</v>
      </c>
      <c r="V18" s="524">
        <f t="shared" si="5"/>
        <v>0.16941588707811217</v>
      </c>
      <c r="W18" s="525">
        <f t="shared" si="117"/>
        <v>0</v>
      </c>
      <c r="X18" s="523"/>
      <c r="Y18" s="524">
        <f t="shared" si="6"/>
        <v>0</v>
      </c>
      <c r="Z18" s="525">
        <f t="shared" si="118"/>
        <v>0</v>
      </c>
      <c r="AA18" s="523">
        <v>10.937500000000014</v>
      </c>
      <c r="AB18" s="524">
        <f t="shared" si="7"/>
        <v>0.36155829559353453</v>
      </c>
      <c r="AC18" s="525">
        <f t="shared" si="119"/>
        <v>0</v>
      </c>
      <c r="AD18" s="523"/>
      <c r="AE18" s="524">
        <f t="shared" si="8"/>
        <v>0</v>
      </c>
      <c r="AF18" s="525">
        <f t="shared" si="120"/>
        <v>0</v>
      </c>
      <c r="AG18" s="523"/>
      <c r="AH18" s="524">
        <f t="shared" si="9"/>
        <v>0</v>
      </c>
      <c r="AI18" s="525">
        <f t="shared" si="121"/>
        <v>0</v>
      </c>
      <c r="AJ18" s="523"/>
      <c r="AK18" s="524">
        <f t="shared" si="10"/>
        <v>0</v>
      </c>
      <c r="AL18" s="525">
        <f t="shared" si="122"/>
        <v>0</v>
      </c>
      <c r="AM18" s="523"/>
      <c r="AN18" s="524">
        <f t="shared" si="11"/>
        <v>0</v>
      </c>
      <c r="AO18" s="525">
        <f t="shared" si="123"/>
        <v>0</v>
      </c>
      <c r="AP18" s="523"/>
      <c r="AQ18" s="524">
        <f t="shared" si="12"/>
        <v>0</v>
      </c>
      <c r="AR18" s="525">
        <f t="shared" si="124"/>
        <v>0</v>
      </c>
      <c r="AS18" s="523"/>
      <c r="AT18" s="524">
        <f t="shared" si="13"/>
        <v>0</v>
      </c>
      <c r="AU18" s="525">
        <f t="shared" si="125"/>
        <v>0</v>
      </c>
      <c r="AV18" s="523"/>
      <c r="AW18" s="524">
        <f t="shared" si="14"/>
        <v>0</v>
      </c>
      <c r="AX18" s="525">
        <f t="shared" si="126"/>
        <v>0</v>
      </c>
      <c r="AY18" s="523"/>
      <c r="AZ18" s="524">
        <f t="shared" si="15"/>
        <v>0</v>
      </c>
      <c r="BA18" s="525">
        <f t="shared" si="127"/>
        <v>0</v>
      </c>
      <c r="BB18" s="523"/>
      <c r="BC18" s="524">
        <f t="shared" si="16"/>
        <v>0</v>
      </c>
      <c r="BD18" s="525">
        <f t="shared" si="128"/>
        <v>0</v>
      </c>
      <c r="BE18" s="523"/>
      <c r="BF18" s="524">
        <f t="shared" si="17"/>
        <v>0</v>
      </c>
      <c r="BG18" s="525">
        <f t="shared" si="129"/>
        <v>0</v>
      </c>
      <c r="BH18" s="523"/>
      <c r="BI18" s="524">
        <f t="shared" si="18"/>
        <v>0</v>
      </c>
      <c r="BJ18" s="525">
        <f t="shared" si="130"/>
        <v>0</v>
      </c>
      <c r="BK18" s="523"/>
      <c r="BL18" s="524">
        <f t="shared" si="19"/>
        <v>0</v>
      </c>
      <c r="BM18" s="525">
        <f t="shared" si="131"/>
        <v>0</v>
      </c>
      <c r="BN18" s="523"/>
      <c r="BO18" s="524">
        <f t="shared" si="20"/>
        <v>0</v>
      </c>
      <c r="BP18" s="525">
        <f t="shared" si="132"/>
        <v>0</v>
      </c>
      <c r="BQ18" s="523"/>
      <c r="BR18" s="524">
        <f t="shared" si="21"/>
        <v>0</v>
      </c>
      <c r="BS18" s="525">
        <f t="shared" si="133"/>
        <v>0</v>
      </c>
      <c r="BT18" s="523"/>
      <c r="BU18" s="524">
        <f t="shared" si="22"/>
        <v>0</v>
      </c>
      <c r="BV18" s="525">
        <f t="shared" si="134"/>
        <v>0</v>
      </c>
      <c r="BW18" s="523"/>
      <c r="BX18" s="524">
        <f t="shared" si="23"/>
        <v>0</v>
      </c>
      <c r="BY18" s="525">
        <f t="shared" si="135"/>
        <v>0</v>
      </c>
      <c r="BZ18" s="523"/>
      <c r="CA18" s="524">
        <f t="shared" si="24"/>
        <v>0</v>
      </c>
      <c r="CB18" s="525">
        <f t="shared" si="136"/>
        <v>0</v>
      </c>
      <c r="CC18" s="523"/>
      <c r="CD18" s="524">
        <f t="shared" si="25"/>
        <v>0</v>
      </c>
      <c r="CE18" s="525">
        <f t="shared" si="137"/>
        <v>0</v>
      </c>
      <c r="CF18" s="523">
        <v>1</v>
      </c>
      <c r="CG18" s="524">
        <f t="shared" si="26"/>
        <v>3.3056758454265971E-2</v>
      </c>
      <c r="CH18" s="525">
        <f t="shared" si="138"/>
        <v>0</v>
      </c>
      <c r="CI18" s="523"/>
      <c r="CJ18" s="524">
        <f t="shared" si="27"/>
        <v>0</v>
      </c>
      <c r="CK18" s="525">
        <f t="shared" si="139"/>
        <v>0</v>
      </c>
      <c r="CL18" s="523"/>
      <c r="CM18" s="524">
        <f t="shared" si="28"/>
        <v>0</v>
      </c>
      <c r="CN18" s="525">
        <f t="shared" si="140"/>
        <v>0</v>
      </c>
      <c r="CO18" s="523"/>
      <c r="CP18" s="524">
        <f t="shared" si="29"/>
        <v>0</v>
      </c>
      <c r="CQ18" s="525">
        <f t="shared" si="141"/>
        <v>0</v>
      </c>
      <c r="CR18" s="523"/>
      <c r="CS18" s="524">
        <f t="shared" si="30"/>
        <v>0</v>
      </c>
      <c r="CT18" s="525">
        <f t="shared" si="142"/>
        <v>0</v>
      </c>
      <c r="CU18" s="523"/>
      <c r="CV18" s="524">
        <f t="shared" si="31"/>
        <v>0</v>
      </c>
      <c r="CW18" s="525">
        <f t="shared" si="143"/>
        <v>0</v>
      </c>
      <c r="CX18" s="523"/>
      <c r="CY18" s="524">
        <f t="shared" si="32"/>
        <v>0</v>
      </c>
      <c r="CZ18" s="525">
        <f t="shared" si="144"/>
        <v>0</v>
      </c>
      <c r="DA18" s="523">
        <v>145.34883720930233</v>
      </c>
      <c r="DB18" s="524">
        <f t="shared" si="33"/>
        <v>4.8047614032363333</v>
      </c>
      <c r="DC18" s="525">
        <f t="shared" si="145"/>
        <v>0</v>
      </c>
      <c r="DD18" s="523"/>
      <c r="DE18" s="524">
        <f t="shared" si="34"/>
        <v>0</v>
      </c>
      <c r="DF18" s="525">
        <f t="shared" si="146"/>
        <v>0</v>
      </c>
      <c r="DG18" s="523"/>
      <c r="DH18" s="524">
        <f t="shared" si="35"/>
        <v>0</v>
      </c>
      <c r="DI18" s="525">
        <f t="shared" si="203"/>
        <v>0</v>
      </c>
      <c r="DJ18" s="523"/>
      <c r="DK18" s="524">
        <f t="shared" si="36"/>
        <v>0</v>
      </c>
      <c r="DL18" s="525">
        <f t="shared" si="147"/>
        <v>0</v>
      </c>
      <c r="DM18" s="523"/>
      <c r="DN18" s="524">
        <f t="shared" si="37"/>
        <v>0</v>
      </c>
      <c r="DO18" s="525">
        <f t="shared" si="148"/>
        <v>0</v>
      </c>
      <c r="DP18" s="523"/>
      <c r="DQ18" s="524">
        <f t="shared" si="38"/>
        <v>0</v>
      </c>
      <c r="DR18" s="525">
        <f t="shared" si="149"/>
        <v>0</v>
      </c>
      <c r="DS18" s="523"/>
      <c r="DT18" s="524">
        <f t="shared" si="39"/>
        <v>0</v>
      </c>
      <c r="DU18" s="525">
        <f t="shared" si="150"/>
        <v>0</v>
      </c>
      <c r="DV18" s="523"/>
      <c r="DW18" s="524">
        <f t="shared" si="40"/>
        <v>0</v>
      </c>
      <c r="DX18" s="525">
        <f t="shared" si="151"/>
        <v>0</v>
      </c>
      <c r="DY18" s="523"/>
      <c r="DZ18" s="524">
        <f t="shared" si="41"/>
        <v>0</v>
      </c>
      <c r="EA18" s="525">
        <f t="shared" si="152"/>
        <v>0</v>
      </c>
      <c r="EB18" s="523"/>
      <c r="EC18" s="524">
        <f t="shared" si="42"/>
        <v>0</v>
      </c>
      <c r="ED18" s="525">
        <f t="shared" si="153"/>
        <v>0</v>
      </c>
      <c r="EE18" s="523">
        <v>14.534883720930253</v>
      </c>
      <c r="EF18" s="524">
        <f t="shared" si="43"/>
        <v>0.480476140323634</v>
      </c>
      <c r="EG18" s="525">
        <f t="shared" si="154"/>
        <v>0</v>
      </c>
      <c r="EH18" s="523">
        <v>70.447058823529346</v>
      </c>
      <c r="EI18" s="524">
        <f t="shared" si="44"/>
        <v>2.3287514073428759</v>
      </c>
      <c r="EJ18" s="525">
        <f t="shared" si="155"/>
        <v>0</v>
      </c>
      <c r="EK18" s="523">
        <v>3</v>
      </c>
      <c r="EL18" s="524">
        <f t="shared" si="45"/>
        <v>9.9170275362797919E-2</v>
      </c>
      <c r="EM18" s="525">
        <f t="shared" si="156"/>
        <v>0</v>
      </c>
      <c r="EN18" s="523">
        <v>36.585365853658459</v>
      </c>
      <c r="EO18" s="524">
        <f t="shared" si="46"/>
        <v>1.209393601985338</v>
      </c>
      <c r="EP18" s="525">
        <f t="shared" si="157"/>
        <v>0</v>
      </c>
      <c r="EQ18" s="523">
        <v>39.534883720930225</v>
      </c>
      <c r="ER18" s="524">
        <f t="shared" si="47"/>
        <v>1.3068951016802823</v>
      </c>
      <c r="ES18" s="525">
        <f t="shared" si="158"/>
        <v>0</v>
      </c>
      <c r="ET18" s="523"/>
      <c r="EU18" s="524">
        <f t="shared" si="48"/>
        <v>0</v>
      </c>
      <c r="EV18" s="525">
        <f t="shared" si="159"/>
        <v>0</v>
      </c>
      <c r="EW18" s="523"/>
      <c r="EX18" s="524">
        <f t="shared" si="49"/>
        <v>0</v>
      </c>
      <c r="EY18" s="525">
        <f t="shared" si="160"/>
        <v>0</v>
      </c>
      <c r="EZ18" s="523"/>
      <c r="FA18" s="524">
        <f t="shared" si="50"/>
        <v>0</v>
      </c>
      <c r="FB18" s="525">
        <f t="shared" si="161"/>
        <v>0</v>
      </c>
      <c r="FC18" s="523"/>
      <c r="FD18" s="524">
        <f t="shared" si="51"/>
        <v>0</v>
      </c>
      <c r="FE18" s="525">
        <f t="shared" si="162"/>
        <v>0</v>
      </c>
      <c r="FF18" s="523"/>
      <c r="FG18" s="524">
        <f t="shared" si="52"/>
        <v>0</v>
      </c>
      <c r="FH18" s="525">
        <f t="shared" si="163"/>
        <v>0</v>
      </c>
      <c r="FI18" s="523"/>
      <c r="FJ18" s="524">
        <f t="shared" si="53"/>
        <v>0</v>
      </c>
      <c r="FK18" s="525">
        <f t="shared" si="164"/>
        <v>0</v>
      </c>
      <c r="FL18" s="523"/>
      <c r="FM18" s="524">
        <f t="shared" si="54"/>
        <v>0</v>
      </c>
      <c r="FN18" s="525">
        <f t="shared" si="165"/>
        <v>0</v>
      </c>
      <c r="FO18" s="523"/>
      <c r="FP18" s="524">
        <f t="shared" si="55"/>
        <v>0</v>
      </c>
      <c r="FQ18" s="525">
        <f t="shared" si="166"/>
        <v>0</v>
      </c>
      <c r="FR18" s="523"/>
      <c r="FS18" s="524">
        <f t="shared" si="56"/>
        <v>0</v>
      </c>
      <c r="FT18" s="525">
        <f t="shared" si="167"/>
        <v>0</v>
      </c>
      <c r="FU18" s="523"/>
      <c r="FV18" s="524">
        <f t="shared" si="57"/>
        <v>0</v>
      </c>
      <c r="FW18" s="525">
        <f t="shared" si="168"/>
        <v>0</v>
      </c>
      <c r="FX18" s="523"/>
      <c r="FY18" s="524">
        <f t="shared" si="58"/>
        <v>0</v>
      </c>
      <c r="FZ18" s="525">
        <f t="shared" si="169"/>
        <v>0</v>
      </c>
      <c r="GA18" s="523"/>
      <c r="GB18" s="524">
        <f t="shared" si="59"/>
        <v>0</v>
      </c>
      <c r="GC18" s="525">
        <f t="shared" si="170"/>
        <v>0</v>
      </c>
      <c r="GD18" s="523"/>
      <c r="GE18" s="524">
        <f t="shared" si="60"/>
        <v>0</v>
      </c>
      <c r="GF18" s="525">
        <f t="shared" si="171"/>
        <v>0</v>
      </c>
      <c r="GG18" s="523"/>
      <c r="GH18" s="524">
        <f t="shared" si="61"/>
        <v>0</v>
      </c>
      <c r="GI18" s="525">
        <f t="shared" si="172"/>
        <v>0</v>
      </c>
      <c r="GJ18" s="523"/>
      <c r="GK18" s="524">
        <f t="shared" si="62"/>
        <v>0</v>
      </c>
      <c r="GL18" s="525">
        <f t="shared" si="173"/>
        <v>0</v>
      </c>
      <c r="GM18" s="523"/>
      <c r="GN18" s="524">
        <f t="shared" si="63"/>
        <v>0</v>
      </c>
      <c r="GO18" s="525">
        <f t="shared" si="174"/>
        <v>0</v>
      </c>
      <c r="GP18" s="523"/>
      <c r="GQ18" s="524">
        <f t="shared" si="64"/>
        <v>0</v>
      </c>
      <c r="GR18" s="525">
        <f t="shared" si="175"/>
        <v>0</v>
      </c>
      <c r="GS18" s="523"/>
      <c r="GT18" s="524">
        <f t="shared" si="65"/>
        <v>0</v>
      </c>
      <c r="GU18" s="525">
        <f t="shared" si="176"/>
        <v>0</v>
      </c>
      <c r="GV18" s="523"/>
      <c r="GW18" s="524">
        <f t="shared" si="66"/>
        <v>0</v>
      </c>
      <c r="GX18" s="525">
        <f t="shared" si="177"/>
        <v>0</v>
      </c>
      <c r="GY18" s="523"/>
      <c r="GZ18" s="524">
        <f t="shared" si="67"/>
        <v>0</v>
      </c>
      <c r="HA18" s="525">
        <f t="shared" si="178"/>
        <v>0</v>
      </c>
      <c r="HB18" s="523"/>
      <c r="HC18" s="524">
        <f t="shared" si="68"/>
        <v>0</v>
      </c>
      <c r="HD18" s="525">
        <f t="shared" si="179"/>
        <v>0</v>
      </c>
      <c r="HE18" s="523"/>
      <c r="HF18" s="524">
        <f t="shared" si="69"/>
        <v>0</v>
      </c>
      <c r="HG18" s="525">
        <f t="shared" si="180"/>
        <v>0</v>
      </c>
      <c r="HH18" s="523"/>
      <c r="HI18" s="524">
        <f t="shared" si="70"/>
        <v>0</v>
      </c>
      <c r="HJ18" s="525">
        <f t="shared" si="181"/>
        <v>0</v>
      </c>
      <c r="HK18" s="523"/>
      <c r="HL18" s="524">
        <f t="shared" si="71"/>
        <v>0</v>
      </c>
      <c r="HM18" s="525">
        <f t="shared" si="182"/>
        <v>0</v>
      </c>
      <c r="HN18" s="523"/>
      <c r="HO18" s="524">
        <f t="shared" si="72"/>
        <v>0</v>
      </c>
      <c r="HP18" s="525">
        <f t="shared" si="183"/>
        <v>0</v>
      </c>
      <c r="HQ18" s="523"/>
      <c r="HR18" s="524">
        <f t="shared" si="73"/>
        <v>0</v>
      </c>
      <c r="HS18" s="525">
        <f t="shared" si="184"/>
        <v>0</v>
      </c>
      <c r="HT18" s="523"/>
      <c r="HU18" s="524">
        <f t="shared" si="74"/>
        <v>0</v>
      </c>
      <c r="HV18" s="525">
        <f t="shared" si="185"/>
        <v>0</v>
      </c>
      <c r="HW18" s="523"/>
      <c r="HX18" s="524">
        <f t="shared" si="75"/>
        <v>0</v>
      </c>
      <c r="HY18" s="525">
        <f t="shared" si="186"/>
        <v>0</v>
      </c>
      <c r="HZ18" s="523"/>
      <c r="IA18" s="524">
        <f t="shared" si="76"/>
        <v>0</v>
      </c>
      <c r="IB18" s="525">
        <f t="shared" si="187"/>
        <v>0</v>
      </c>
      <c r="IC18" s="523"/>
      <c r="ID18" s="524">
        <f t="shared" si="77"/>
        <v>0</v>
      </c>
      <c r="IE18" s="525">
        <f t="shared" si="188"/>
        <v>0</v>
      </c>
      <c r="IF18" s="523"/>
      <c r="IG18" s="524">
        <f t="shared" si="78"/>
        <v>0</v>
      </c>
      <c r="IH18" s="525">
        <f t="shared" si="189"/>
        <v>0</v>
      </c>
      <c r="II18" s="523"/>
      <c r="IJ18" s="524">
        <f t="shared" si="79"/>
        <v>0</v>
      </c>
      <c r="IK18" s="525">
        <f t="shared" si="190"/>
        <v>0</v>
      </c>
      <c r="IL18" s="523"/>
      <c r="IM18" s="524">
        <f t="shared" si="80"/>
        <v>0</v>
      </c>
      <c r="IN18" s="525">
        <f t="shared" si="191"/>
        <v>0</v>
      </c>
      <c r="IO18" s="523"/>
      <c r="IP18" s="524">
        <f t="shared" si="81"/>
        <v>0</v>
      </c>
      <c r="IQ18" s="525">
        <f t="shared" si="192"/>
        <v>0</v>
      </c>
      <c r="IR18" s="523"/>
      <c r="IS18" s="524">
        <f t="shared" si="82"/>
        <v>0</v>
      </c>
      <c r="IT18" s="525">
        <f t="shared" si="193"/>
        <v>0</v>
      </c>
      <c r="IU18" s="523"/>
      <c r="IV18" s="524">
        <f t="shared" si="83"/>
        <v>0</v>
      </c>
      <c r="IW18" s="525">
        <f t="shared" si="194"/>
        <v>0</v>
      </c>
      <c r="IX18" s="523"/>
      <c r="IY18" s="524">
        <f t="shared" si="84"/>
        <v>0</v>
      </c>
      <c r="IZ18" s="525">
        <f t="shared" si="195"/>
        <v>0</v>
      </c>
      <c r="JA18" s="523"/>
      <c r="JB18" s="524">
        <f t="shared" si="85"/>
        <v>0</v>
      </c>
      <c r="JC18" s="525">
        <f t="shared" si="196"/>
        <v>0</v>
      </c>
      <c r="JD18" s="523"/>
      <c r="JE18" s="524">
        <f t="shared" si="86"/>
        <v>0</v>
      </c>
      <c r="JF18" s="525">
        <f t="shared" si="197"/>
        <v>0</v>
      </c>
      <c r="JG18" s="523"/>
      <c r="JH18" s="524">
        <f t="shared" si="87"/>
        <v>0</v>
      </c>
      <c r="JI18" s="525">
        <f t="shared" si="198"/>
        <v>0</v>
      </c>
      <c r="JJ18" s="523"/>
      <c r="JK18" s="525" t="str">
        <f t="shared" si="88"/>
        <v>0</v>
      </c>
      <c r="JL18" s="525" t="str">
        <f t="shared" si="89"/>
        <v>0</v>
      </c>
      <c r="JM18" s="523"/>
      <c r="JN18" s="525" t="str">
        <f t="shared" si="90"/>
        <v>0</v>
      </c>
      <c r="JO18" s="525" t="str">
        <f t="shared" si="91"/>
        <v>0</v>
      </c>
      <c r="JP18" s="523"/>
      <c r="JQ18" s="525" t="str">
        <f t="shared" si="92"/>
        <v>0</v>
      </c>
      <c r="JR18" s="525" t="str">
        <f t="shared" si="93"/>
        <v>0</v>
      </c>
      <c r="JS18" s="523"/>
      <c r="JT18" s="525" t="str">
        <f t="shared" si="94"/>
        <v>0</v>
      </c>
      <c r="JU18" s="525" t="str">
        <f t="shared" si="95"/>
        <v>0</v>
      </c>
      <c r="JV18" s="523"/>
      <c r="JW18" s="525" t="str">
        <f t="shared" si="96"/>
        <v>0</v>
      </c>
      <c r="JX18" s="525" t="str">
        <f t="shared" si="97"/>
        <v>0</v>
      </c>
      <c r="JY18" s="523"/>
      <c r="JZ18" s="525" t="str">
        <f t="shared" si="98"/>
        <v>0</v>
      </c>
      <c r="KA18" s="525" t="str">
        <f t="shared" si="99"/>
        <v>0</v>
      </c>
      <c r="KB18" s="523"/>
      <c r="KC18" s="525" t="str">
        <f t="shared" si="100"/>
        <v>0</v>
      </c>
      <c r="KD18" s="525" t="str">
        <f t="shared" si="101"/>
        <v>0</v>
      </c>
      <c r="KE18" s="523"/>
      <c r="KF18" s="525" t="str">
        <f t="shared" si="102"/>
        <v>0</v>
      </c>
      <c r="KG18" s="525" t="str">
        <f t="shared" si="103"/>
        <v>0</v>
      </c>
      <c r="KH18" s="523"/>
      <c r="KI18" s="525" t="str">
        <f t="shared" si="104"/>
        <v>0</v>
      </c>
      <c r="KJ18" s="525" t="str">
        <f t="shared" si="105"/>
        <v>0</v>
      </c>
      <c r="KK18" s="523"/>
      <c r="KL18" s="525" t="str">
        <f t="shared" si="106"/>
        <v>0</v>
      </c>
      <c r="KM18" s="525" t="str">
        <f t="shared" si="107"/>
        <v>0</v>
      </c>
      <c r="KN18" s="523"/>
      <c r="KO18" s="525" t="str">
        <f t="shared" si="108"/>
        <v>0</v>
      </c>
      <c r="KP18" s="525" t="str">
        <f t="shared" si="109"/>
        <v>0</v>
      </c>
      <c r="KQ18" s="523"/>
      <c r="KR18" s="525" t="str">
        <f t="shared" si="110"/>
        <v>0</v>
      </c>
      <c r="KS18" s="525" t="str">
        <f t="shared" si="111"/>
        <v>0</v>
      </c>
      <c r="KT18" s="525">
        <f t="shared" si="201"/>
        <v>0</v>
      </c>
      <c r="KU18" s="525">
        <f t="shared" si="202"/>
        <v>0</v>
      </c>
      <c r="KV18" s="261">
        <f t="shared" si="199"/>
        <v>332.51352932835061</v>
      </c>
    </row>
    <row r="19" spans="1:308">
      <c r="A19" s="262">
        <f t="shared" si="200"/>
        <v>46123</v>
      </c>
      <c r="B19" s="263" t="str">
        <f>+Report1!B19</f>
        <v>Toilet</v>
      </c>
      <c r="C19" s="263" t="str">
        <f>+Report1!C19</f>
        <v>13</v>
      </c>
      <c r="D19" s="264">
        <f>+Report1!P19</f>
        <v>37.644999999999996</v>
      </c>
      <c r="E19" s="556">
        <f>+Report1!R19</f>
        <v>39.326999999999998</v>
      </c>
      <c r="F19" s="523"/>
      <c r="G19" s="524">
        <f t="shared" si="0"/>
        <v>0</v>
      </c>
      <c r="H19" s="525">
        <f t="shared" si="112"/>
        <v>0</v>
      </c>
      <c r="I19" s="523"/>
      <c r="J19" s="524">
        <f t="shared" si="1"/>
        <v>0</v>
      </c>
      <c r="K19" s="525">
        <f t="shared" si="113"/>
        <v>0</v>
      </c>
      <c r="L19" s="523"/>
      <c r="M19" s="524">
        <f t="shared" si="2"/>
        <v>0</v>
      </c>
      <c r="N19" s="525">
        <f t="shared" si="114"/>
        <v>0</v>
      </c>
      <c r="O19" s="523">
        <v>5.9999999999999716</v>
      </c>
      <c r="P19" s="524">
        <f t="shared" si="3"/>
        <v>0.15256693874437338</v>
      </c>
      <c r="Q19" s="525">
        <f t="shared" si="115"/>
        <v>0</v>
      </c>
      <c r="R19" s="523"/>
      <c r="S19" s="524">
        <f t="shared" si="4"/>
        <v>0</v>
      </c>
      <c r="T19" s="525">
        <f t="shared" si="116"/>
        <v>0</v>
      </c>
      <c r="U19" s="523">
        <v>5.125</v>
      </c>
      <c r="V19" s="524">
        <f t="shared" si="5"/>
        <v>0.13031759351081953</v>
      </c>
      <c r="W19" s="525">
        <f t="shared" si="117"/>
        <v>0</v>
      </c>
      <c r="X19" s="523"/>
      <c r="Y19" s="524">
        <f t="shared" si="6"/>
        <v>0</v>
      </c>
      <c r="Z19" s="525">
        <f t="shared" si="118"/>
        <v>0</v>
      </c>
      <c r="AA19" s="523">
        <v>7.8125</v>
      </c>
      <c r="AB19" s="524">
        <f t="shared" si="7"/>
        <v>0.19865486815673711</v>
      </c>
      <c r="AC19" s="525">
        <f t="shared" si="119"/>
        <v>0</v>
      </c>
      <c r="AD19" s="523"/>
      <c r="AE19" s="524">
        <f t="shared" si="8"/>
        <v>0</v>
      </c>
      <c r="AF19" s="525">
        <f t="shared" si="120"/>
        <v>0</v>
      </c>
      <c r="AG19" s="523"/>
      <c r="AH19" s="524">
        <f t="shared" si="9"/>
        <v>0</v>
      </c>
      <c r="AI19" s="525">
        <f t="shared" si="121"/>
        <v>0</v>
      </c>
      <c r="AJ19" s="523"/>
      <c r="AK19" s="524">
        <f t="shared" si="10"/>
        <v>0</v>
      </c>
      <c r="AL19" s="525">
        <f t="shared" si="122"/>
        <v>0</v>
      </c>
      <c r="AM19" s="523"/>
      <c r="AN19" s="524">
        <f t="shared" si="11"/>
        <v>0</v>
      </c>
      <c r="AO19" s="525">
        <f t="shared" si="123"/>
        <v>0</v>
      </c>
      <c r="AP19" s="523"/>
      <c r="AQ19" s="524">
        <f t="shared" si="12"/>
        <v>0</v>
      </c>
      <c r="AR19" s="525">
        <f t="shared" si="124"/>
        <v>0</v>
      </c>
      <c r="AS19" s="523"/>
      <c r="AT19" s="524">
        <f t="shared" si="13"/>
        <v>0</v>
      </c>
      <c r="AU19" s="525">
        <f t="shared" si="125"/>
        <v>0</v>
      </c>
      <c r="AV19" s="523"/>
      <c r="AW19" s="524">
        <f t="shared" si="14"/>
        <v>0</v>
      </c>
      <c r="AX19" s="525">
        <f t="shared" si="126"/>
        <v>0</v>
      </c>
      <c r="AY19" s="523"/>
      <c r="AZ19" s="524">
        <f t="shared" si="15"/>
        <v>0</v>
      </c>
      <c r="BA19" s="525">
        <f t="shared" si="127"/>
        <v>0</v>
      </c>
      <c r="BB19" s="523"/>
      <c r="BC19" s="524">
        <f t="shared" si="16"/>
        <v>0</v>
      </c>
      <c r="BD19" s="525">
        <f t="shared" si="128"/>
        <v>0</v>
      </c>
      <c r="BE19" s="523"/>
      <c r="BF19" s="524">
        <f t="shared" si="17"/>
        <v>0</v>
      </c>
      <c r="BG19" s="525">
        <f t="shared" si="129"/>
        <v>0</v>
      </c>
      <c r="BH19" s="523"/>
      <c r="BI19" s="524">
        <f t="shared" si="18"/>
        <v>0</v>
      </c>
      <c r="BJ19" s="525">
        <f t="shared" si="130"/>
        <v>0</v>
      </c>
      <c r="BK19" s="523"/>
      <c r="BL19" s="524">
        <f t="shared" si="19"/>
        <v>0</v>
      </c>
      <c r="BM19" s="525">
        <f t="shared" si="131"/>
        <v>0</v>
      </c>
      <c r="BN19" s="523"/>
      <c r="BO19" s="524">
        <f t="shared" si="20"/>
        <v>0</v>
      </c>
      <c r="BP19" s="525">
        <f t="shared" si="132"/>
        <v>0</v>
      </c>
      <c r="BQ19" s="523"/>
      <c r="BR19" s="524">
        <f t="shared" si="21"/>
        <v>0</v>
      </c>
      <c r="BS19" s="525">
        <f t="shared" si="133"/>
        <v>0</v>
      </c>
      <c r="BT19" s="523"/>
      <c r="BU19" s="524">
        <f t="shared" si="22"/>
        <v>0</v>
      </c>
      <c r="BV19" s="525">
        <f t="shared" si="134"/>
        <v>0</v>
      </c>
      <c r="BW19" s="523"/>
      <c r="BX19" s="524">
        <f t="shared" si="23"/>
        <v>0</v>
      </c>
      <c r="BY19" s="525">
        <f t="shared" si="135"/>
        <v>0</v>
      </c>
      <c r="BZ19" s="523"/>
      <c r="CA19" s="524">
        <f t="shared" si="24"/>
        <v>0</v>
      </c>
      <c r="CB19" s="525">
        <f t="shared" si="136"/>
        <v>0</v>
      </c>
      <c r="CC19" s="523"/>
      <c r="CD19" s="524">
        <f t="shared" si="25"/>
        <v>0</v>
      </c>
      <c r="CE19" s="525">
        <f t="shared" si="137"/>
        <v>0</v>
      </c>
      <c r="CF19" s="523">
        <v>1</v>
      </c>
      <c r="CG19" s="524">
        <f t="shared" si="26"/>
        <v>2.5427823124062349E-2</v>
      </c>
      <c r="CH19" s="525">
        <f t="shared" si="138"/>
        <v>0</v>
      </c>
      <c r="CI19" s="523"/>
      <c r="CJ19" s="524">
        <f t="shared" si="27"/>
        <v>0</v>
      </c>
      <c r="CK19" s="525">
        <f t="shared" si="139"/>
        <v>0</v>
      </c>
      <c r="CL19" s="523"/>
      <c r="CM19" s="524">
        <f t="shared" si="28"/>
        <v>0</v>
      </c>
      <c r="CN19" s="525">
        <f t="shared" si="140"/>
        <v>0</v>
      </c>
      <c r="CO19" s="523"/>
      <c r="CP19" s="524">
        <f t="shared" si="29"/>
        <v>0</v>
      </c>
      <c r="CQ19" s="525">
        <f t="shared" si="141"/>
        <v>0</v>
      </c>
      <c r="CR19" s="523"/>
      <c r="CS19" s="524">
        <f t="shared" si="30"/>
        <v>0</v>
      </c>
      <c r="CT19" s="525">
        <f t="shared" si="142"/>
        <v>0</v>
      </c>
      <c r="CU19" s="523"/>
      <c r="CV19" s="524">
        <f t="shared" si="31"/>
        <v>0</v>
      </c>
      <c r="CW19" s="525">
        <f t="shared" si="143"/>
        <v>0</v>
      </c>
      <c r="CX19" s="523"/>
      <c r="CY19" s="524">
        <f t="shared" si="32"/>
        <v>0</v>
      </c>
      <c r="CZ19" s="525">
        <f t="shared" si="144"/>
        <v>0</v>
      </c>
      <c r="DA19" s="523">
        <v>186.65125581395364</v>
      </c>
      <c r="DB19" s="524">
        <f t="shared" si="33"/>
        <v>4.7461351187213277</v>
      </c>
      <c r="DC19" s="525">
        <f t="shared" si="145"/>
        <v>0</v>
      </c>
      <c r="DD19" s="523"/>
      <c r="DE19" s="524">
        <f t="shared" si="34"/>
        <v>0</v>
      </c>
      <c r="DF19" s="525">
        <f t="shared" si="146"/>
        <v>0</v>
      </c>
      <c r="DG19" s="523"/>
      <c r="DH19" s="524">
        <f t="shared" si="35"/>
        <v>0</v>
      </c>
      <c r="DI19" s="525">
        <f t="shared" si="203"/>
        <v>0</v>
      </c>
      <c r="DJ19" s="523"/>
      <c r="DK19" s="524">
        <f t="shared" si="36"/>
        <v>0</v>
      </c>
      <c r="DL19" s="525">
        <f t="shared" si="147"/>
        <v>0</v>
      </c>
      <c r="DM19" s="523"/>
      <c r="DN19" s="524">
        <f t="shared" si="37"/>
        <v>0</v>
      </c>
      <c r="DO19" s="525">
        <f t="shared" si="148"/>
        <v>0</v>
      </c>
      <c r="DP19" s="523"/>
      <c r="DQ19" s="524">
        <f t="shared" si="38"/>
        <v>0</v>
      </c>
      <c r="DR19" s="525">
        <f t="shared" si="149"/>
        <v>0</v>
      </c>
      <c r="DS19" s="523"/>
      <c r="DT19" s="524">
        <f t="shared" si="39"/>
        <v>0</v>
      </c>
      <c r="DU19" s="525">
        <f t="shared" si="150"/>
        <v>0</v>
      </c>
      <c r="DV19" s="523"/>
      <c r="DW19" s="524">
        <f t="shared" si="40"/>
        <v>0</v>
      </c>
      <c r="DX19" s="525">
        <f t="shared" si="151"/>
        <v>0</v>
      </c>
      <c r="DY19" s="523"/>
      <c r="DZ19" s="524">
        <f t="shared" si="41"/>
        <v>0</v>
      </c>
      <c r="EA19" s="525">
        <f t="shared" si="152"/>
        <v>0</v>
      </c>
      <c r="EB19" s="523"/>
      <c r="EC19" s="524">
        <f t="shared" si="42"/>
        <v>0</v>
      </c>
      <c r="ED19" s="525">
        <f t="shared" si="153"/>
        <v>0</v>
      </c>
      <c r="EE19" s="523">
        <v>14.534883720930225</v>
      </c>
      <c r="EF19" s="524">
        <f t="shared" si="43"/>
        <v>0.36959045238462696</v>
      </c>
      <c r="EG19" s="525">
        <f t="shared" si="154"/>
        <v>0</v>
      </c>
      <c r="EH19" s="523">
        <v>70.447058823529403</v>
      </c>
      <c r="EI19" s="524">
        <f t="shared" si="44"/>
        <v>1.7913153513751217</v>
      </c>
      <c r="EJ19" s="525">
        <f t="shared" si="155"/>
        <v>0</v>
      </c>
      <c r="EK19" s="523">
        <v>4</v>
      </c>
      <c r="EL19" s="524">
        <f t="shared" si="45"/>
        <v>0.1017112924962494</v>
      </c>
      <c r="EM19" s="525">
        <f t="shared" si="156"/>
        <v>0</v>
      </c>
      <c r="EN19" s="523">
        <v>36.585365853658516</v>
      </c>
      <c r="EO19" s="524">
        <f t="shared" si="46"/>
        <v>0.93028621185593907</v>
      </c>
      <c r="EP19" s="525">
        <f t="shared" si="157"/>
        <v>0</v>
      </c>
      <c r="EQ19" s="523">
        <v>29.65116279069764</v>
      </c>
      <c r="ER19" s="524">
        <f t="shared" si="47"/>
        <v>0.75396452286463855</v>
      </c>
      <c r="ES19" s="525">
        <f t="shared" si="158"/>
        <v>0</v>
      </c>
      <c r="ET19" s="523"/>
      <c r="EU19" s="524">
        <f t="shared" si="48"/>
        <v>0</v>
      </c>
      <c r="EV19" s="525">
        <f t="shared" si="159"/>
        <v>0</v>
      </c>
      <c r="EW19" s="523"/>
      <c r="EX19" s="524">
        <f t="shared" si="49"/>
        <v>0</v>
      </c>
      <c r="EY19" s="525">
        <f t="shared" si="160"/>
        <v>0</v>
      </c>
      <c r="EZ19" s="523"/>
      <c r="FA19" s="524">
        <f t="shared" si="50"/>
        <v>0</v>
      </c>
      <c r="FB19" s="525">
        <f t="shared" si="161"/>
        <v>0</v>
      </c>
      <c r="FC19" s="523"/>
      <c r="FD19" s="524">
        <f t="shared" si="51"/>
        <v>0</v>
      </c>
      <c r="FE19" s="525">
        <f t="shared" si="162"/>
        <v>0</v>
      </c>
      <c r="FF19" s="523"/>
      <c r="FG19" s="524">
        <f t="shared" si="52"/>
        <v>0</v>
      </c>
      <c r="FH19" s="525">
        <f t="shared" si="163"/>
        <v>0</v>
      </c>
      <c r="FI19" s="523"/>
      <c r="FJ19" s="524">
        <f t="shared" si="53"/>
        <v>0</v>
      </c>
      <c r="FK19" s="525">
        <f t="shared" si="164"/>
        <v>0</v>
      </c>
      <c r="FL19" s="523"/>
      <c r="FM19" s="524">
        <f t="shared" si="54"/>
        <v>0</v>
      </c>
      <c r="FN19" s="525">
        <f t="shared" si="165"/>
        <v>0</v>
      </c>
      <c r="FO19" s="523"/>
      <c r="FP19" s="524">
        <f t="shared" si="55"/>
        <v>0</v>
      </c>
      <c r="FQ19" s="525">
        <f t="shared" si="166"/>
        <v>0</v>
      </c>
      <c r="FR19" s="523"/>
      <c r="FS19" s="524">
        <f t="shared" si="56"/>
        <v>0</v>
      </c>
      <c r="FT19" s="525">
        <f t="shared" si="167"/>
        <v>0</v>
      </c>
      <c r="FU19" s="523"/>
      <c r="FV19" s="524">
        <f t="shared" si="57"/>
        <v>0</v>
      </c>
      <c r="FW19" s="525">
        <f t="shared" si="168"/>
        <v>0</v>
      </c>
      <c r="FX19" s="523"/>
      <c r="FY19" s="524">
        <f t="shared" si="58"/>
        <v>0</v>
      </c>
      <c r="FZ19" s="525">
        <f t="shared" si="169"/>
        <v>0</v>
      </c>
      <c r="GA19" s="523"/>
      <c r="GB19" s="524">
        <f t="shared" si="59"/>
        <v>0</v>
      </c>
      <c r="GC19" s="525">
        <f t="shared" si="170"/>
        <v>0</v>
      </c>
      <c r="GD19" s="523"/>
      <c r="GE19" s="524">
        <f t="shared" si="60"/>
        <v>0</v>
      </c>
      <c r="GF19" s="525">
        <f t="shared" si="171"/>
        <v>0</v>
      </c>
      <c r="GG19" s="523"/>
      <c r="GH19" s="524">
        <f t="shared" si="61"/>
        <v>0</v>
      </c>
      <c r="GI19" s="525">
        <f t="shared" si="172"/>
        <v>0</v>
      </c>
      <c r="GJ19" s="523"/>
      <c r="GK19" s="524">
        <f t="shared" si="62"/>
        <v>0</v>
      </c>
      <c r="GL19" s="525">
        <f t="shared" si="173"/>
        <v>0</v>
      </c>
      <c r="GM19" s="523"/>
      <c r="GN19" s="524">
        <f t="shared" si="63"/>
        <v>0</v>
      </c>
      <c r="GO19" s="525">
        <f t="shared" si="174"/>
        <v>0</v>
      </c>
      <c r="GP19" s="523"/>
      <c r="GQ19" s="524">
        <f t="shared" si="64"/>
        <v>0</v>
      </c>
      <c r="GR19" s="525">
        <f t="shared" si="175"/>
        <v>0</v>
      </c>
      <c r="GS19" s="523"/>
      <c r="GT19" s="524">
        <f t="shared" si="65"/>
        <v>0</v>
      </c>
      <c r="GU19" s="525">
        <f t="shared" si="176"/>
        <v>0</v>
      </c>
      <c r="GV19" s="523"/>
      <c r="GW19" s="524">
        <f t="shared" si="66"/>
        <v>0</v>
      </c>
      <c r="GX19" s="525">
        <f t="shared" si="177"/>
        <v>0</v>
      </c>
      <c r="GY19" s="523"/>
      <c r="GZ19" s="524">
        <f t="shared" si="67"/>
        <v>0</v>
      </c>
      <c r="HA19" s="525">
        <f t="shared" si="178"/>
        <v>0</v>
      </c>
      <c r="HB19" s="523"/>
      <c r="HC19" s="524">
        <f t="shared" si="68"/>
        <v>0</v>
      </c>
      <c r="HD19" s="525">
        <f t="shared" si="179"/>
        <v>0</v>
      </c>
      <c r="HE19" s="523"/>
      <c r="HF19" s="524">
        <f t="shared" si="69"/>
        <v>0</v>
      </c>
      <c r="HG19" s="525">
        <f t="shared" si="180"/>
        <v>0</v>
      </c>
      <c r="HH19" s="523"/>
      <c r="HI19" s="524">
        <f t="shared" si="70"/>
        <v>0</v>
      </c>
      <c r="HJ19" s="525">
        <f t="shared" si="181"/>
        <v>0</v>
      </c>
      <c r="HK19" s="523"/>
      <c r="HL19" s="524">
        <f t="shared" si="71"/>
        <v>0</v>
      </c>
      <c r="HM19" s="525">
        <f t="shared" si="182"/>
        <v>0</v>
      </c>
      <c r="HN19" s="523"/>
      <c r="HO19" s="524">
        <f t="shared" si="72"/>
        <v>0</v>
      </c>
      <c r="HP19" s="525">
        <f t="shared" si="183"/>
        <v>0</v>
      </c>
      <c r="HQ19" s="523"/>
      <c r="HR19" s="524">
        <f t="shared" si="73"/>
        <v>0</v>
      </c>
      <c r="HS19" s="525">
        <f t="shared" si="184"/>
        <v>0</v>
      </c>
      <c r="HT19" s="523"/>
      <c r="HU19" s="524">
        <f t="shared" si="74"/>
        <v>0</v>
      </c>
      <c r="HV19" s="525">
        <f t="shared" si="185"/>
        <v>0</v>
      </c>
      <c r="HW19" s="523"/>
      <c r="HX19" s="524">
        <f t="shared" si="75"/>
        <v>0</v>
      </c>
      <c r="HY19" s="525">
        <f t="shared" si="186"/>
        <v>0</v>
      </c>
      <c r="HZ19" s="523"/>
      <c r="IA19" s="524">
        <f t="shared" si="76"/>
        <v>0</v>
      </c>
      <c r="IB19" s="525">
        <f t="shared" si="187"/>
        <v>0</v>
      </c>
      <c r="IC19" s="523"/>
      <c r="ID19" s="524">
        <f t="shared" si="77"/>
        <v>0</v>
      </c>
      <c r="IE19" s="525">
        <f t="shared" si="188"/>
        <v>0</v>
      </c>
      <c r="IF19" s="523"/>
      <c r="IG19" s="524">
        <f t="shared" si="78"/>
        <v>0</v>
      </c>
      <c r="IH19" s="525">
        <f t="shared" si="189"/>
        <v>0</v>
      </c>
      <c r="II19" s="523"/>
      <c r="IJ19" s="524">
        <f t="shared" si="79"/>
        <v>0</v>
      </c>
      <c r="IK19" s="525">
        <f t="shared" si="190"/>
        <v>0</v>
      </c>
      <c r="IL19" s="523"/>
      <c r="IM19" s="524">
        <f t="shared" si="80"/>
        <v>0</v>
      </c>
      <c r="IN19" s="525">
        <f t="shared" si="191"/>
        <v>0</v>
      </c>
      <c r="IO19" s="523"/>
      <c r="IP19" s="524">
        <f t="shared" si="81"/>
        <v>0</v>
      </c>
      <c r="IQ19" s="525">
        <f t="shared" si="192"/>
        <v>0</v>
      </c>
      <c r="IR19" s="523"/>
      <c r="IS19" s="524">
        <f t="shared" si="82"/>
        <v>0</v>
      </c>
      <c r="IT19" s="525">
        <f t="shared" si="193"/>
        <v>0</v>
      </c>
      <c r="IU19" s="523"/>
      <c r="IV19" s="524">
        <f t="shared" si="83"/>
        <v>0</v>
      </c>
      <c r="IW19" s="525">
        <f t="shared" si="194"/>
        <v>0</v>
      </c>
      <c r="IX19" s="523"/>
      <c r="IY19" s="524">
        <f t="shared" si="84"/>
        <v>0</v>
      </c>
      <c r="IZ19" s="525">
        <f t="shared" si="195"/>
        <v>0</v>
      </c>
      <c r="JA19" s="523"/>
      <c r="JB19" s="524">
        <f t="shared" si="85"/>
        <v>0</v>
      </c>
      <c r="JC19" s="525">
        <f t="shared" si="196"/>
        <v>0</v>
      </c>
      <c r="JD19" s="523"/>
      <c r="JE19" s="524">
        <f t="shared" si="86"/>
        <v>0</v>
      </c>
      <c r="JF19" s="525">
        <f t="shared" si="197"/>
        <v>0</v>
      </c>
      <c r="JG19" s="523"/>
      <c r="JH19" s="524">
        <f t="shared" si="87"/>
        <v>0</v>
      </c>
      <c r="JI19" s="525">
        <f t="shared" si="198"/>
        <v>0</v>
      </c>
      <c r="JJ19" s="523"/>
      <c r="JK19" s="525" t="str">
        <f t="shared" si="88"/>
        <v>0</v>
      </c>
      <c r="JL19" s="525" t="str">
        <f t="shared" si="89"/>
        <v>0</v>
      </c>
      <c r="JM19" s="523"/>
      <c r="JN19" s="525" t="str">
        <f t="shared" si="90"/>
        <v>0</v>
      </c>
      <c r="JO19" s="525" t="str">
        <f t="shared" si="91"/>
        <v>0</v>
      </c>
      <c r="JP19" s="523"/>
      <c r="JQ19" s="525" t="str">
        <f t="shared" si="92"/>
        <v>0</v>
      </c>
      <c r="JR19" s="525" t="str">
        <f t="shared" si="93"/>
        <v>0</v>
      </c>
      <c r="JS19" s="523"/>
      <c r="JT19" s="525" t="str">
        <f t="shared" si="94"/>
        <v>0</v>
      </c>
      <c r="JU19" s="525" t="str">
        <f t="shared" si="95"/>
        <v>0</v>
      </c>
      <c r="JV19" s="523"/>
      <c r="JW19" s="525" t="str">
        <f t="shared" si="96"/>
        <v>0</v>
      </c>
      <c r="JX19" s="525" t="str">
        <f t="shared" si="97"/>
        <v>0</v>
      </c>
      <c r="JY19" s="523"/>
      <c r="JZ19" s="525" t="str">
        <f t="shared" si="98"/>
        <v>0</v>
      </c>
      <c r="KA19" s="525" t="str">
        <f t="shared" si="99"/>
        <v>0</v>
      </c>
      <c r="KB19" s="523"/>
      <c r="KC19" s="525" t="str">
        <f t="shared" si="100"/>
        <v>0</v>
      </c>
      <c r="KD19" s="525" t="str">
        <f t="shared" si="101"/>
        <v>0</v>
      </c>
      <c r="KE19" s="523"/>
      <c r="KF19" s="525" t="str">
        <f t="shared" si="102"/>
        <v>0</v>
      </c>
      <c r="KG19" s="525" t="str">
        <f t="shared" si="103"/>
        <v>0</v>
      </c>
      <c r="KH19" s="523"/>
      <c r="KI19" s="525" t="str">
        <f t="shared" si="104"/>
        <v>0</v>
      </c>
      <c r="KJ19" s="525" t="str">
        <f t="shared" si="105"/>
        <v>0</v>
      </c>
      <c r="KK19" s="523"/>
      <c r="KL19" s="525" t="str">
        <f t="shared" si="106"/>
        <v>0</v>
      </c>
      <c r="KM19" s="525" t="str">
        <f t="shared" si="107"/>
        <v>0</v>
      </c>
      <c r="KN19" s="523"/>
      <c r="KO19" s="525" t="str">
        <f t="shared" si="108"/>
        <v>0</v>
      </c>
      <c r="KP19" s="525" t="str">
        <f t="shared" si="109"/>
        <v>0</v>
      </c>
      <c r="KQ19" s="523"/>
      <c r="KR19" s="525" t="str">
        <f t="shared" si="110"/>
        <v>0</v>
      </c>
      <c r="KS19" s="525" t="str">
        <f t="shared" si="111"/>
        <v>0</v>
      </c>
      <c r="KT19" s="525">
        <f t="shared" si="201"/>
        <v>0</v>
      </c>
      <c r="KU19" s="525">
        <f t="shared" si="202"/>
        <v>0</v>
      </c>
      <c r="KV19" s="261">
        <f t="shared" si="199"/>
        <v>361.80722700276937</v>
      </c>
    </row>
    <row r="20" spans="1:308">
      <c r="A20" s="262">
        <f t="shared" si="200"/>
        <v>46124</v>
      </c>
      <c r="B20" s="263" t="str">
        <f>+Report1!B20</f>
        <v>Toilet</v>
      </c>
      <c r="C20" s="263" t="str">
        <f>+Report1!C20</f>
        <v>13</v>
      </c>
      <c r="D20" s="264">
        <f>+Report1!P20</f>
        <v>38.573</v>
      </c>
      <c r="E20" s="556">
        <f>+Report1!R20</f>
        <v>35.430999999999997</v>
      </c>
      <c r="F20" s="523"/>
      <c r="G20" s="524">
        <f t="shared" si="0"/>
        <v>0</v>
      </c>
      <c r="H20" s="525">
        <f t="shared" si="112"/>
        <v>0</v>
      </c>
      <c r="I20" s="523"/>
      <c r="J20" s="524">
        <f t="shared" si="1"/>
        <v>0</v>
      </c>
      <c r="K20" s="525">
        <f t="shared" si="113"/>
        <v>0</v>
      </c>
      <c r="L20" s="523"/>
      <c r="M20" s="524">
        <f t="shared" si="2"/>
        <v>0</v>
      </c>
      <c r="N20" s="525">
        <f t="shared" si="114"/>
        <v>0</v>
      </c>
      <c r="O20" s="523">
        <v>6</v>
      </c>
      <c r="P20" s="524">
        <f t="shared" si="3"/>
        <v>0.16934323050436059</v>
      </c>
      <c r="Q20" s="525">
        <f t="shared" si="115"/>
        <v>0</v>
      </c>
      <c r="R20" s="523"/>
      <c r="S20" s="524">
        <f t="shared" si="4"/>
        <v>0</v>
      </c>
      <c r="T20" s="525">
        <f t="shared" si="116"/>
        <v>0</v>
      </c>
      <c r="U20" s="523">
        <v>5.1250000000000284</v>
      </c>
      <c r="V20" s="524">
        <f t="shared" si="5"/>
        <v>0.14464734272247548</v>
      </c>
      <c r="W20" s="525">
        <f t="shared" si="117"/>
        <v>0</v>
      </c>
      <c r="X20" s="523"/>
      <c r="Y20" s="524">
        <f t="shared" si="6"/>
        <v>0</v>
      </c>
      <c r="Z20" s="525">
        <f t="shared" si="118"/>
        <v>0</v>
      </c>
      <c r="AA20" s="523">
        <v>7.8124999999999858</v>
      </c>
      <c r="AB20" s="524">
        <f t="shared" si="7"/>
        <v>0.22049899805255246</v>
      </c>
      <c r="AC20" s="525">
        <f t="shared" si="119"/>
        <v>0</v>
      </c>
      <c r="AD20" s="523"/>
      <c r="AE20" s="524">
        <f t="shared" si="8"/>
        <v>0</v>
      </c>
      <c r="AF20" s="525">
        <f t="shared" si="120"/>
        <v>0</v>
      </c>
      <c r="AG20" s="523"/>
      <c r="AH20" s="524">
        <f t="shared" si="9"/>
        <v>0</v>
      </c>
      <c r="AI20" s="525">
        <f t="shared" si="121"/>
        <v>0</v>
      </c>
      <c r="AJ20" s="523"/>
      <c r="AK20" s="524">
        <f t="shared" si="10"/>
        <v>0</v>
      </c>
      <c r="AL20" s="525">
        <f t="shared" si="122"/>
        <v>0</v>
      </c>
      <c r="AM20" s="523"/>
      <c r="AN20" s="524">
        <f t="shared" si="11"/>
        <v>0</v>
      </c>
      <c r="AO20" s="525">
        <f t="shared" si="123"/>
        <v>0</v>
      </c>
      <c r="AP20" s="523"/>
      <c r="AQ20" s="524">
        <f t="shared" si="12"/>
        <v>0</v>
      </c>
      <c r="AR20" s="525">
        <f t="shared" si="124"/>
        <v>0</v>
      </c>
      <c r="AS20" s="523"/>
      <c r="AT20" s="524">
        <f t="shared" si="13"/>
        <v>0</v>
      </c>
      <c r="AU20" s="525">
        <f t="shared" si="125"/>
        <v>0</v>
      </c>
      <c r="AV20" s="523"/>
      <c r="AW20" s="524">
        <f t="shared" si="14"/>
        <v>0</v>
      </c>
      <c r="AX20" s="525">
        <f t="shared" si="126"/>
        <v>0</v>
      </c>
      <c r="AY20" s="523"/>
      <c r="AZ20" s="524">
        <f t="shared" si="15"/>
        <v>0</v>
      </c>
      <c r="BA20" s="525">
        <f t="shared" si="127"/>
        <v>0</v>
      </c>
      <c r="BB20" s="523"/>
      <c r="BC20" s="524">
        <f t="shared" si="16"/>
        <v>0</v>
      </c>
      <c r="BD20" s="525">
        <f t="shared" si="128"/>
        <v>0</v>
      </c>
      <c r="BE20" s="523"/>
      <c r="BF20" s="524">
        <f t="shared" si="17"/>
        <v>0</v>
      </c>
      <c r="BG20" s="525">
        <f t="shared" si="129"/>
        <v>0</v>
      </c>
      <c r="BH20" s="523"/>
      <c r="BI20" s="524">
        <f t="shared" si="18"/>
        <v>0</v>
      </c>
      <c r="BJ20" s="525">
        <f t="shared" si="130"/>
        <v>0</v>
      </c>
      <c r="BK20" s="523"/>
      <c r="BL20" s="524">
        <f t="shared" si="19"/>
        <v>0</v>
      </c>
      <c r="BM20" s="525">
        <f t="shared" si="131"/>
        <v>0</v>
      </c>
      <c r="BN20" s="523"/>
      <c r="BO20" s="524">
        <f t="shared" si="20"/>
        <v>0</v>
      </c>
      <c r="BP20" s="525">
        <f t="shared" si="132"/>
        <v>0</v>
      </c>
      <c r="BQ20" s="523"/>
      <c r="BR20" s="524">
        <f t="shared" si="21"/>
        <v>0</v>
      </c>
      <c r="BS20" s="525">
        <f t="shared" si="133"/>
        <v>0</v>
      </c>
      <c r="BT20" s="523"/>
      <c r="BU20" s="524">
        <f t="shared" si="22"/>
        <v>0</v>
      </c>
      <c r="BV20" s="525">
        <f t="shared" si="134"/>
        <v>0</v>
      </c>
      <c r="BW20" s="523"/>
      <c r="BX20" s="524">
        <f t="shared" si="23"/>
        <v>0</v>
      </c>
      <c r="BY20" s="525">
        <f t="shared" si="135"/>
        <v>0</v>
      </c>
      <c r="BZ20" s="523"/>
      <c r="CA20" s="524">
        <f t="shared" si="24"/>
        <v>0</v>
      </c>
      <c r="CB20" s="525">
        <f t="shared" si="136"/>
        <v>0</v>
      </c>
      <c r="CC20" s="523">
        <v>17</v>
      </c>
      <c r="CD20" s="524">
        <f t="shared" si="25"/>
        <v>0.47980581976235503</v>
      </c>
      <c r="CE20" s="525">
        <f t="shared" si="137"/>
        <v>0</v>
      </c>
      <c r="CF20" s="523">
        <v>1</v>
      </c>
      <c r="CG20" s="524">
        <f t="shared" si="26"/>
        <v>2.8223871750726767E-2</v>
      </c>
      <c r="CH20" s="525">
        <f t="shared" si="138"/>
        <v>0</v>
      </c>
      <c r="CI20" s="523"/>
      <c r="CJ20" s="524">
        <f t="shared" si="27"/>
        <v>0</v>
      </c>
      <c r="CK20" s="525">
        <f t="shared" si="139"/>
        <v>0</v>
      </c>
      <c r="CL20" s="523"/>
      <c r="CM20" s="524">
        <f t="shared" si="28"/>
        <v>0</v>
      </c>
      <c r="CN20" s="525">
        <f t="shared" si="140"/>
        <v>0</v>
      </c>
      <c r="CO20" s="523"/>
      <c r="CP20" s="524">
        <f t="shared" si="29"/>
        <v>0</v>
      </c>
      <c r="CQ20" s="525">
        <f t="shared" si="141"/>
        <v>0</v>
      </c>
      <c r="CR20" s="523"/>
      <c r="CS20" s="524">
        <f t="shared" si="30"/>
        <v>0</v>
      </c>
      <c r="CT20" s="525">
        <f t="shared" si="142"/>
        <v>0</v>
      </c>
      <c r="CU20" s="523"/>
      <c r="CV20" s="524">
        <f t="shared" si="31"/>
        <v>0</v>
      </c>
      <c r="CW20" s="525">
        <f t="shared" si="143"/>
        <v>0</v>
      </c>
      <c r="CX20" s="523"/>
      <c r="CY20" s="524">
        <f t="shared" si="32"/>
        <v>0</v>
      </c>
      <c r="CZ20" s="525">
        <f t="shared" si="144"/>
        <v>0</v>
      </c>
      <c r="DA20" s="523">
        <v>191.2557209302322</v>
      </c>
      <c r="DB20" s="524">
        <f t="shared" si="33"/>
        <v>5.3979769391276626</v>
      </c>
      <c r="DC20" s="525">
        <f t="shared" si="145"/>
        <v>0</v>
      </c>
      <c r="DD20" s="523"/>
      <c r="DE20" s="524">
        <f t="shared" si="34"/>
        <v>0</v>
      </c>
      <c r="DF20" s="525">
        <f t="shared" si="146"/>
        <v>0</v>
      </c>
      <c r="DG20" s="523"/>
      <c r="DH20" s="524">
        <f t="shared" si="35"/>
        <v>0</v>
      </c>
      <c r="DI20" s="525">
        <f t="shared" si="203"/>
        <v>0</v>
      </c>
      <c r="DJ20" s="523"/>
      <c r="DK20" s="524">
        <f t="shared" si="36"/>
        <v>0</v>
      </c>
      <c r="DL20" s="525">
        <f t="shared" si="147"/>
        <v>0</v>
      </c>
      <c r="DM20" s="523"/>
      <c r="DN20" s="524">
        <f t="shared" si="37"/>
        <v>0</v>
      </c>
      <c r="DO20" s="525">
        <f t="shared" si="148"/>
        <v>0</v>
      </c>
      <c r="DP20" s="523"/>
      <c r="DQ20" s="524">
        <f t="shared" si="38"/>
        <v>0</v>
      </c>
      <c r="DR20" s="525">
        <f t="shared" si="149"/>
        <v>0</v>
      </c>
      <c r="DS20" s="523"/>
      <c r="DT20" s="524">
        <f t="shared" si="39"/>
        <v>0</v>
      </c>
      <c r="DU20" s="525">
        <f t="shared" si="150"/>
        <v>0</v>
      </c>
      <c r="DV20" s="523"/>
      <c r="DW20" s="524">
        <f t="shared" si="40"/>
        <v>0</v>
      </c>
      <c r="DX20" s="525">
        <f t="shared" si="151"/>
        <v>0</v>
      </c>
      <c r="DY20" s="523"/>
      <c r="DZ20" s="524">
        <f t="shared" si="41"/>
        <v>0</v>
      </c>
      <c r="EA20" s="525">
        <f t="shared" si="152"/>
        <v>0</v>
      </c>
      <c r="EB20" s="523"/>
      <c r="EC20" s="524">
        <f t="shared" si="42"/>
        <v>0</v>
      </c>
      <c r="ED20" s="525">
        <f t="shared" si="153"/>
        <v>0</v>
      </c>
      <c r="EE20" s="523">
        <v>14.534883720930253</v>
      </c>
      <c r="EF20" s="524">
        <f t="shared" si="43"/>
        <v>0.41023069405126172</v>
      </c>
      <c r="EG20" s="525">
        <f t="shared" si="154"/>
        <v>0</v>
      </c>
      <c r="EH20" s="523">
        <v>82.188235294117646</v>
      </c>
      <c r="EI20" s="524">
        <f t="shared" si="44"/>
        <v>2.3196702123597315</v>
      </c>
      <c r="EJ20" s="525">
        <f t="shared" si="155"/>
        <v>0</v>
      </c>
      <c r="EK20" s="523">
        <v>4</v>
      </c>
      <c r="EL20" s="524">
        <f t="shared" si="45"/>
        <v>0.11289548700290707</v>
      </c>
      <c r="EM20" s="525">
        <f t="shared" si="156"/>
        <v>0</v>
      </c>
      <c r="EN20" s="523">
        <v>48.780487804878078</v>
      </c>
      <c r="EO20" s="524">
        <f t="shared" si="46"/>
        <v>1.37677423174277</v>
      </c>
      <c r="EP20" s="525">
        <f t="shared" si="157"/>
        <v>0</v>
      </c>
      <c r="EQ20" s="523">
        <v>44.476744186046631</v>
      </c>
      <c r="ER20" s="524">
        <f t="shared" si="47"/>
        <v>1.2553059237968625</v>
      </c>
      <c r="ES20" s="525">
        <f t="shared" si="158"/>
        <v>0</v>
      </c>
      <c r="ET20" s="523"/>
      <c r="EU20" s="524">
        <f t="shared" si="48"/>
        <v>0</v>
      </c>
      <c r="EV20" s="525">
        <f t="shared" si="159"/>
        <v>0</v>
      </c>
      <c r="EW20" s="523"/>
      <c r="EX20" s="524">
        <f t="shared" si="49"/>
        <v>0</v>
      </c>
      <c r="EY20" s="525">
        <f t="shared" si="160"/>
        <v>0</v>
      </c>
      <c r="EZ20" s="523"/>
      <c r="FA20" s="524">
        <f t="shared" si="50"/>
        <v>0</v>
      </c>
      <c r="FB20" s="525">
        <f t="shared" si="161"/>
        <v>0</v>
      </c>
      <c r="FC20" s="523"/>
      <c r="FD20" s="524">
        <f t="shared" si="51"/>
        <v>0</v>
      </c>
      <c r="FE20" s="525">
        <f t="shared" si="162"/>
        <v>0</v>
      </c>
      <c r="FF20" s="523"/>
      <c r="FG20" s="524">
        <f t="shared" si="52"/>
        <v>0</v>
      </c>
      <c r="FH20" s="525">
        <f t="shared" si="163"/>
        <v>0</v>
      </c>
      <c r="FI20" s="523"/>
      <c r="FJ20" s="524">
        <f t="shared" si="53"/>
        <v>0</v>
      </c>
      <c r="FK20" s="525">
        <f t="shared" si="164"/>
        <v>0</v>
      </c>
      <c r="FL20" s="523"/>
      <c r="FM20" s="524">
        <f t="shared" si="54"/>
        <v>0</v>
      </c>
      <c r="FN20" s="525">
        <f t="shared" si="165"/>
        <v>0</v>
      </c>
      <c r="FO20" s="523"/>
      <c r="FP20" s="524">
        <f t="shared" si="55"/>
        <v>0</v>
      </c>
      <c r="FQ20" s="525">
        <f t="shared" si="166"/>
        <v>0</v>
      </c>
      <c r="FR20" s="523"/>
      <c r="FS20" s="524">
        <f t="shared" si="56"/>
        <v>0</v>
      </c>
      <c r="FT20" s="525">
        <f t="shared" si="167"/>
        <v>0</v>
      </c>
      <c r="FU20" s="523"/>
      <c r="FV20" s="524">
        <f t="shared" si="57"/>
        <v>0</v>
      </c>
      <c r="FW20" s="525">
        <f t="shared" si="168"/>
        <v>0</v>
      </c>
      <c r="FX20" s="523"/>
      <c r="FY20" s="524">
        <f t="shared" si="58"/>
        <v>0</v>
      </c>
      <c r="FZ20" s="525">
        <f t="shared" si="169"/>
        <v>0</v>
      </c>
      <c r="GA20" s="523"/>
      <c r="GB20" s="524">
        <f t="shared" si="59"/>
        <v>0</v>
      </c>
      <c r="GC20" s="525">
        <f t="shared" si="170"/>
        <v>0</v>
      </c>
      <c r="GD20" s="523"/>
      <c r="GE20" s="524">
        <f t="shared" si="60"/>
        <v>0</v>
      </c>
      <c r="GF20" s="525">
        <f t="shared" si="171"/>
        <v>0</v>
      </c>
      <c r="GG20" s="523"/>
      <c r="GH20" s="524">
        <f t="shared" si="61"/>
        <v>0</v>
      </c>
      <c r="GI20" s="525">
        <f t="shared" si="172"/>
        <v>0</v>
      </c>
      <c r="GJ20" s="523"/>
      <c r="GK20" s="524">
        <f t="shared" si="62"/>
        <v>0</v>
      </c>
      <c r="GL20" s="525">
        <f t="shared" si="173"/>
        <v>0</v>
      </c>
      <c r="GM20" s="523"/>
      <c r="GN20" s="524">
        <f t="shared" si="63"/>
        <v>0</v>
      </c>
      <c r="GO20" s="525">
        <f t="shared" si="174"/>
        <v>0</v>
      </c>
      <c r="GP20" s="523"/>
      <c r="GQ20" s="524">
        <f t="shared" si="64"/>
        <v>0</v>
      </c>
      <c r="GR20" s="525">
        <f t="shared" si="175"/>
        <v>0</v>
      </c>
      <c r="GS20" s="523"/>
      <c r="GT20" s="524">
        <f t="shared" si="65"/>
        <v>0</v>
      </c>
      <c r="GU20" s="525">
        <f t="shared" si="176"/>
        <v>0</v>
      </c>
      <c r="GV20" s="523"/>
      <c r="GW20" s="524">
        <f t="shared" si="66"/>
        <v>0</v>
      </c>
      <c r="GX20" s="525">
        <f t="shared" si="177"/>
        <v>0</v>
      </c>
      <c r="GY20" s="523"/>
      <c r="GZ20" s="524">
        <f t="shared" si="67"/>
        <v>0</v>
      </c>
      <c r="HA20" s="525">
        <f t="shared" si="178"/>
        <v>0</v>
      </c>
      <c r="HB20" s="523"/>
      <c r="HC20" s="524">
        <f t="shared" si="68"/>
        <v>0</v>
      </c>
      <c r="HD20" s="525">
        <f t="shared" si="179"/>
        <v>0</v>
      </c>
      <c r="HE20" s="523"/>
      <c r="HF20" s="524">
        <f t="shared" si="69"/>
        <v>0</v>
      </c>
      <c r="HG20" s="525">
        <f t="shared" si="180"/>
        <v>0</v>
      </c>
      <c r="HH20" s="523"/>
      <c r="HI20" s="524">
        <f t="shared" si="70"/>
        <v>0</v>
      </c>
      <c r="HJ20" s="525">
        <f t="shared" si="181"/>
        <v>0</v>
      </c>
      <c r="HK20" s="523"/>
      <c r="HL20" s="524">
        <f t="shared" si="71"/>
        <v>0</v>
      </c>
      <c r="HM20" s="525">
        <f t="shared" si="182"/>
        <v>0</v>
      </c>
      <c r="HN20" s="523"/>
      <c r="HO20" s="524">
        <f t="shared" si="72"/>
        <v>0</v>
      </c>
      <c r="HP20" s="525">
        <f t="shared" si="183"/>
        <v>0</v>
      </c>
      <c r="HQ20" s="523"/>
      <c r="HR20" s="524">
        <f t="shared" si="73"/>
        <v>0</v>
      </c>
      <c r="HS20" s="525">
        <f t="shared" si="184"/>
        <v>0</v>
      </c>
      <c r="HT20" s="523"/>
      <c r="HU20" s="524">
        <f t="shared" si="74"/>
        <v>0</v>
      </c>
      <c r="HV20" s="525">
        <f t="shared" si="185"/>
        <v>0</v>
      </c>
      <c r="HW20" s="523"/>
      <c r="HX20" s="524">
        <f t="shared" si="75"/>
        <v>0</v>
      </c>
      <c r="HY20" s="525">
        <f t="shared" si="186"/>
        <v>0</v>
      </c>
      <c r="HZ20" s="523"/>
      <c r="IA20" s="524">
        <f t="shared" si="76"/>
        <v>0</v>
      </c>
      <c r="IB20" s="525">
        <f t="shared" si="187"/>
        <v>0</v>
      </c>
      <c r="IC20" s="523"/>
      <c r="ID20" s="524">
        <f t="shared" si="77"/>
        <v>0</v>
      </c>
      <c r="IE20" s="525">
        <f t="shared" si="188"/>
        <v>0</v>
      </c>
      <c r="IF20" s="523"/>
      <c r="IG20" s="524">
        <f t="shared" si="78"/>
        <v>0</v>
      </c>
      <c r="IH20" s="525">
        <f t="shared" si="189"/>
        <v>0</v>
      </c>
      <c r="II20" s="523"/>
      <c r="IJ20" s="524">
        <f t="shared" si="79"/>
        <v>0</v>
      </c>
      <c r="IK20" s="525">
        <f t="shared" si="190"/>
        <v>0</v>
      </c>
      <c r="IL20" s="523"/>
      <c r="IM20" s="524">
        <f t="shared" si="80"/>
        <v>0</v>
      </c>
      <c r="IN20" s="525">
        <f t="shared" si="191"/>
        <v>0</v>
      </c>
      <c r="IO20" s="523"/>
      <c r="IP20" s="524">
        <f t="shared" si="81"/>
        <v>0</v>
      </c>
      <c r="IQ20" s="525">
        <f t="shared" si="192"/>
        <v>0</v>
      </c>
      <c r="IR20" s="523"/>
      <c r="IS20" s="524">
        <f t="shared" si="82"/>
        <v>0</v>
      </c>
      <c r="IT20" s="525">
        <f t="shared" si="193"/>
        <v>0</v>
      </c>
      <c r="IU20" s="523"/>
      <c r="IV20" s="524">
        <f t="shared" si="83"/>
        <v>0</v>
      </c>
      <c r="IW20" s="525">
        <f t="shared" si="194"/>
        <v>0</v>
      </c>
      <c r="IX20" s="523"/>
      <c r="IY20" s="524">
        <f t="shared" si="84"/>
        <v>0</v>
      </c>
      <c r="IZ20" s="525">
        <f t="shared" si="195"/>
        <v>0</v>
      </c>
      <c r="JA20" s="523"/>
      <c r="JB20" s="524">
        <f t="shared" si="85"/>
        <v>0</v>
      </c>
      <c r="JC20" s="525">
        <f t="shared" si="196"/>
        <v>0</v>
      </c>
      <c r="JD20" s="523"/>
      <c r="JE20" s="524">
        <f t="shared" si="86"/>
        <v>0</v>
      </c>
      <c r="JF20" s="525">
        <f t="shared" si="197"/>
        <v>0</v>
      </c>
      <c r="JG20" s="523"/>
      <c r="JH20" s="524">
        <f t="shared" si="87"/>
        <v>0</v>
      </c>
      <c r="JI20" s="525">
        <f t="shared" si="198"/>
        <v>0</v>
      </c>
      <c r="JJ20" s="523"/>
      <c r="JK20" s="525" t="str">
        <f t="shared" si="88"/>
        <v>0</v>
      </c>
      <c r="JL20" s="525" t="str">
        <f t="shared" si="89"/>
        <v>0</v>
      </c>
      <c r="JM20" s="523"/>
      <c r="JN20" s="525" t="str">
        <f t="shared" si="90"/>
        <v>0</v>
      </c>
      <c r="JO20" s="525" t="str">
        <f t="shared" si="91"/>
        <v>0</v>
      </c>
      <c r="JP20" s="523"/>
      <c r="JQ20" s="525" t="str">
        <f t="shared" si="92"/>
        <v>0</v>
      </c>
      <c r="JR20" s="525" t="str">
        <f t="shared" si="93"/>
        <v>0</v>
      </c>
      <c r="JS20" s="523"/>
      <c r="JT20" s="525" t="str">
        <f t="shared" si="94"/>
        <v>0</v>
      </c>
      <c r="JU20" s="525" t="str">
        <f t="shared" si="95"/>
        <v>0</v>
      </c>
      <c r="JV20" s="523"/>
      <c r="JW20" s="525" t="str">
        <f t="shared" si="96"/>
        <v>0</v>
      </c>
      <c r="JX20" s="525" t="str">
        <f t="shared" si="97"/>
        <v>0</v>
      </c>
      <c r="JY20" s="523"/>
      <c r="JZ20" s="525" t="str">
        <f t="shared" si="98"/>
        <v>0</v>
      </c>
      <c r="KA20" s="525" t="str">
        <f t="shared" si="99"/>
        <v>0</v>
      </c>
      <c r="KB20" s="523"/>
      <c r="KC20" s="525" t="str">
        <f t="shared" si="100"/>
        <v>0</v>
      </c>
      <c r="KD20" s="525" t="str">
        <f t="shared" si="101"/>
        <v>0</v>
      </c>
      <c r="KE20" s="523"/>
      <c r="KF20" s="525" t="str">
        <f t="shared" si="102"/>
        <v>0</v>
      </c>
      <c r="KG20" s="525" t="str">
        <f t="shared" si="103"/>
        <v>0</v>
      </c>
      <c r="KH20" s="523"/>
      <c r="KI20" s="525" t="str">
        <f t="shared" si="104"/>
        <v>0</v>
      </c>
      <c r="KJ20" s="525" t="str">
        <f t="shared" si="105"/>
        <v>0</v>
      </c>
      <c r="KK20" s="523"/>
      <c r="KL20" s="525" t="str">
        <f t="shared" si="106"/>
        <v>0</v>
      </c>
      <c r="KM20" s="525" t="str">
        <f t="shared" si="107"/>
        <v>0</v>
      </c>
      <c r="KN20" s="523"/>
      <c r="KO20" s="525" t="str">
        <f t="shared" si="108"/>
        <v>0</v>
      </c>
      <c r="KP20" s="525" t="str">
        <f t="shared" si="109"/>
        <v>0</v>
      </c>
      <c r="KQ20" s="523"/>
      <c r="KR20" s="525" t="str">
        <f t="shared" si="110"/>
        <v>0</v>
      </c>
      <c r="KS20" s="525" t="str">
        <f t="shared" si="111"/>
        <v>0</v>
      </c>
      <c r="KT20" s="525">
        <f t="shared" si="201"/>
        <v>0</v>
      </c>
      <c r="KU20" s="525">
        <f t="shared" si="202"/>
        <v>0</v>
      </c>
      <c r="KV20" s="261">
        <f t="shared" si="199"/>
        <v>422.17357193620484</v>
      </c>
    </row>
    <row r="21" spans="1:308">
      <c r="A21" s="262">
        <f t="shared" si="200"/>
        <v>46125</v>
      </c>
      <c r="B21" s="263" t="str">
        <f>+Report1!B21</f>
        <v>Toilet</v>
      </c>
      <c r="C21" s="263" t="str">
        <f>+Report1!C21</f>
        <v>13/12</v>
      </c>
      <c r="D21" s="264">
        <f>+Report1!P21</f>
        <v>27.853999999999999</v>
      </c>
      <c r="E21" s="556">
        <f>+Report1!R21</f>
        <v>25.204000000000001</v>
      </c>
      <c r="F21" s="523"/>
      <c r="G21" s="524">
        <f t="shared" si="0"/>
        <v>0</v>
      </c>
      <c r="H21" s="525">
        <f t="shared" si="112"/>
        <v>0</v>
      </c>
      <c r="I21" s="523"/>
      <c r="J21" s="524">
        <f t="shared" si="1"/>
        <v>0</v>
      </c>
      <c r="K21" s="525">
        <f t="shared" si="113"/>
        <v>0</v>
      </c>
      <c r="L21" s="523"/>
      <c r="M21" s="524">
        <f t="shared" si="2"/>
        <v>0</v>
      </c>
      <c r="N21" s="525">
        <f t="shared" si="114"/>
        <v>0</v>
      </c>
      <c r="O21" s="523">
        <v>3</v>
      </c>
      <c r="P21" s="524">
        <f t="shared" si="3"/>
        <v>0.11902872559911125</v>
      </c>
      <c r="Q21" s="525">
        <f t="shared" si="115"/>
        <v>0</v>
      </c>
      <c r="R21" s="523"/>
      <c r="S21" s="524">
        <f t="shared" si="4"/>
        <v>0</v>
      </c>
      <c r="T21" s="525">
        <f t="shared" si="116"/>
        <v>0</v>
      </c>
      <c r="U21" s="523">
        <v>2.5625</v>
      </c>
      <c r="V21" s="524">
        <f t="shared" si="5"/>
        <v>0.1016703697825742</v>
      </c>
      <c r="W21" s="525">
        <f t="shared" si="117"/>
        <v>0</v>
      </c>
      <c r="X21" s="523"/>
      <c r="Y21" s="524">
        <f t="shared" si="6"/>
        <v>0</v>
      </c>
      <c r="Z21" s="525">
        <f t="shared" si="118"/>
        <v>0</v>
      </c>
      <c r="AA21" s="523">
        <v>6.2500000000000071</v>
      </c>
      <c r="AB21" s="524">
        <f t="shared" si="7"/>
        <v>0.24797651166481538</v>
      </c>
      <c r="AC21" s="525">
        <f t="shared" si="119"/>
        <v>0</v>
      </c>
      <c r="AD21" s="523"/>
      <c r="AE21" s="524">
        <f t="shared" si="8"/>
        <v>0</v>
      </c>
      <c r="AF21" s="525">
        <f t="shared" si="120"/>
        <v>0</v>
      </c>
      <c r="AG21" s="523"/>
      <c r="AH21" s="524">
        <f t="shared" si="9"/>
        <v>0</v>
      </c>
      <c r="AI21" s="525">
        <f t="shared" si="121"/>
        <v>0</v>
      </c>
      <c r="AJ21" s="523"/>
      <c r="AK21" s="524">
        <f t="shared" si="10"/>
        <v>0</v>
      </c>
      <c r="AL21" s="525">
        <f t="shared" si="122"/>
        <v>0</v>
      </c>
      <c r="AM21" s="523"/>
      <c r="AN21" s="524">
        <f t="shared" si="11"/>
        <v>0</v>
      </c>
      <c r="AO21" s="525">
        <f t="shared" si="123"/>
        <v>0</v>
      </c>
      <c r="AP21" s="523"/>
      <c r="AQ21" s="524">
        <f t="shared" si="12"/>
        <v>0</v>
      </c>
      <c r="AR21" s="525">
        <f t="shared" si="124"/>
        <v>0</v>
      </c>
      <c r="AS21" s="523"/>
      <c r="AT21" s="524">
        <f t="shared" si="13"/>
        <v>0</v>
      </c>
      <c r="AU21" s="525">
        <f t="shared" si="125"/>
        <v>0</v>
      </c>
      <c r="AV21" s="523"/>
      <c r="AW21" s="524">
        <f t="shared" si="14"/>
        <v>0</v>
      </c>
      <c r="AX21" s="525">
        <f t="shared" si="126"/>
        <v>0</v>
      </c>
      <c r="AY21" s="523"/>
      <c r="AZ21" s="524">
        <f t="shared" si="15"/>
        <v>0</v>
      </c>
      <c r="BA21" s="525">
        <f t="shared" si="127"/>
        <v>0</v>
      </c>
      <c r="BB21" s="523"/>
      <c r="BC21" s="524">
        <f t="shared" si="16"/>
        <v>0</v>
      </c>
      <c r="BD21" s="525">
        <f t="shared" si="128"/>
        <v>0</v>
      </c>
      <c r="BE21" s="523"/>
      <c r="BF21" s="524">
        <f t="shared" si="17"/>
        <v>0</v>
      </c>
      <c r="BG21" s="525">
        <f t="shared" si="129"/>
        <v>0</v>
      </c>
      <c r="BH21" s="523"/>
      <c r="BI21" s="524">
        <f t="shared" si="18"/>
        <v>0</v>
      </c>
      <c r="BJ21" s="525">
        <f t="shared" si="130"/>
        <v>0</v>
      </c>
      <c r="BK21" s="523"/>
      <c r="BL21" s="524">
        <f t="shared" si="19"/>
        <v>0</v>
      </c>
      <c r="BM21" s="525">
        <f t="shared" si="131"/>
        <v>0</v>
      </c>
      <c r="BN21" s="523"/>
      <c r="BO21" s="524">
        <f t="shared" si="20"/>
        <v>0</v>
      </c>
      <c r="BP21" s="525">
        <f t="shared" si="132"/>
        <v>0</v>
      </c>
      <c r="BQ21" s="523">
        <v>10.12658227848101</v>
      </c>
      <c r="BR21" s="524">
        <f t="shared" si="21"/>
        <v>0.40178472776071295</v>
      </c>
      <c r="BS21" s="525">
        <f t="shared" si="133"/>
        <v>0</v>
      </c>
      <c r="BT21" s="523"/>
      <c r="BU21" s="524">
        <f t="shared" si="22"/>
        <v>0</v>
      </c>
      <c r="BV21" s="525">
        <f t="shared" si="134"/>
        <v>0</v>
      </c>
      <c r="BW21" s="523"/>
      <c r="BX21" s="524">
        <f t="shared" si="23"/>
        <v>0</v>
      </c>
      <c r="BY21" s="525">
        <f t="shared" si="135"/>
        <v>0</v>
      </c>
      <c r="BZ21" s="523"/>
      <c r="CA21" s="524">
        <f t="shared" si="24"/>
        <v>0</v>
      </c>
      <c r="CB21" s="525">
        <f t="shared" si="136"/>
        <v>0</v>
      </c>
      <c r="CC21" s="523"/>
      <c r="CD21" s="524">
        <f t="shared" si="25"/>
        <v>0</v>
      </c>
      <c r="CE21" s="525">
        <f t="shared" si="137"/>
        <v>0</v>
      </c>
      <c r="CF21" s="523">
        <v>0.5</v>
      </c>
      <c r="CG21" s="524">
        <f t="shared" si="26"/>
        <v>1.9838120933185207E-2</v>
      </c>
      <c r="CH21" s="525">
        <f t="shared" si="138"/>
        <v>0</v>
      </c>
      <c r="CI21" s="523"/>
      <c r="CJ21" s="524">
        <f t="shared" si="27"/>
        <v>0</v>
      </c>
      <c r="CK21" s="525">
        <f t="shared" si="139"/>
        <v>0</v>
      </c>
      <c r="CL21" s="523"/>
      <c r="CM21" s="524">
        <f t="shared" si="28"/>
        <v>0</v>
      </c>
      <c r="CN21" s="525">
        <f t="shared" si="140"/>
        <v>0</v>
      </c>
      <c r="CO21" s="523"/>
      <c r="CP21" s="524">
        <f t="shared" si="29"/>
        <v>0</v>
      </c>
      <c r="CQ21" s="525">
        <f t="shared" si="141"/>
        <v>0</v>
      </c>
      <c r="CR21" s="523"/>
      <c r="CS21" s="524">
        <f t="shared" si="30"/>
        <v>0</v>
      </c>
      <c r="CT21" s="525">
        <f t="shared" si="142"/>
        <v>0</v>
      </c>
      <c r="CU21" s="523"/>
      <c r="CV21" s="524">
        <f t="shared" si="31"/>
        <v>0</v>
      </c>
      <c r="CW21" s="525">
        <f t="shared" si="143"/>
        <v>0</v>
      </c>
      <c r="CX21" s="523"/>
      <c r="CY21" s="524">
        <f t="shared" si="32"/>
        <v>0</v>
      </c>
      <c r="CZ21" s="525">
        <f t="shared" si="144"/>
        <v>0</v>
      </c>
      <c r="DA21" s="523"/>
      <c r="DB21" s="524">
        <f t="shared" si="33"/>
        <v>0</v>
      </c>
      <c r="DC21" s="525">
        <f t="shared" si="145"/>
        <v>0</v>
      </c>
      <c r="DD21" s="523"/>
      <c r="DE21" s="524">
        <f t="shared" si="34"/>
        <v>0</v>
      </c>
      <c r="DF21" s="525">
        <f t="shared" si="146"/>
        <v>0</v>
      </c>
      <c r="DG21" s="523"/>
      <c r="DH21" s="524">
        <f t="shared" si="35"/>
        <v>0</v>
      </c>
      <c r="DI21" s="525">
        <f t="shared" si="203"/>
        <v>0</v>
      </c>
      <c r="DJ21" s="523"/>
      <c r="DK21" s="524">
        <f t="shared" si="36"/>
        <v>0</v>
      </c>
      <c r="DL21" s="525">
        <f t="shared" si="147"/>
        <v>0</v>
      </c>
      <c r="DM21" s="523"/>
      <c r="DN21" s="524">
        <f t="shared" si="37"/>
        <v>0</v>
      </c>
      <c r="DO21" s="525">
        <f t="shared" si="148"/>
        <v>0</v>
      </c>
      <c r="DP21" s="523"/>
      <c r="DQ21" s="524">
        <f t="shared" si="38"/>
        <v>0</v>
      </c>
      <c r="DR21" s="525">
        <f t="shared" si="149"/>
        <v>0</v>
      </c>
      <c r="DS21" s="523"/>
      <c r="DT21" s="524">
        <f t="shared" si="39"/>
        <v>0</v>
      </c>
      <c r="DU21" s="525">
        <f t="shared" si="150"/>
        <v>0</v>
      </c>
      <c r="DV21" s="523"/>
      <c r="DW21" s="524">
        <f t="shared" si="40"/>
        <v>0</v>
      </c>
      <c r="DX21" s="525">
        <f t="shared" si="151"/>
        <v>0</v>
      </c>
      <c r="DY21" s="523"/>
      <c r="DZ21" s="524">
        <f t="shared" si="41"/>
        <v>0</v>
      </c>
      <c r="EA21" s="525">
        <f t="shared" si="152"/>
        <v>0</v>
      </c>
      <c r="EB21" s="523"/>
      <c r="EC21" s="524">
        <f t="shared" si="42"/>
        <v>0</v>
      </c>
      <c r="ED21" s="525">
        <f t="shared" si="153"/>
        <v>0</v>
      </c>
      <c r="EE21" s="523">
        <v>14.534883720930196</v>
      </c>
      <c r="EF21" s="524">
        <f t="shared" si="43"/>
        <v>0.57668956201119648</v>
      </c>
      <c r="EG21" s="525">
        <f t="shared" si="154"/>
        <v>0</v>
      </c>
      <c r="EH21" s="523">
        <v>23.482352941176487</v>
      </c>
      <c r="EI21" s="524">
        <f t="shared" si="44"/>
        <v>0.93169151488559299</v>
      </c>
      <c r="EJ21" s="525">
        <f t="shared" si="155"/>
        <v>0</v>
      </c>
      <c r="EK21" s="523">
        <v>1</v>
      </c>
      <c r="EL21" s="524">
        <f t="shared" si="45"/>
        <v>3.9676241866370414E-2</v>
      </c>
      <c r="EM21" s="525">
        <f t="shared" si="156"/>
        <v>0</v>
      </c>
      <c r="EN21" s="523">
        <v>24.390243902439011</v>
      </c>
      <c r="EO21" s="524">
        <f t="shared" si="46"/>
        <v>0.96771321625293638</v>
      </c>
      <c r="EP21" s="525">
        <f t="shared" si="157"/>
        <v>0</v>
      </c>
      <c r="EQ21" s="523">
        <v>14.825581395348763</v>
      </c>
      <c r="ER21" s="524">
        <f t="shared" si="47"/>
        <v>0.58822335325141895</v>
      </c>
      <c r="ES21" s="525">
        <f t="shared" si="158"/>
        <v>0</v>
      </c>
      <c r="ET21" s="523"/>
      <c r="EU21" s="524">
        <f t="shared" si="48"/>
        <v>0</v>
      </c>
      <c r="EV21" s="525">
        <f t="shared" si="159"/>
        <v>0</v>
      </c>
      <c r="EW21" s="523"/>
      <c r="EX21" s="524">
        <f t="shared" si="49"/>
        <v>0</v>
      </c>
      <c r="EY21" s="525">
        <f t="shared" si="160"/>
        <v>0</v>
      </c>
      <c r="EZ21" s="523"/>
      <c r="FA21" s="524">
        <f t="shared" si="50"/>
        <v>0</v>
      </c>
      <c r="FB21" s="525">
        <f t="shared" si="161"/>
        <v>0</v>
      </c>
      <c r="FC21" s="523"/>
      <c r="FD21" s="524">
        <f t="shared" si="51"/>
        <v>0</v>
      </c>
      <c r="FE21" s="525">
        <f t="shared" si="162"/>
        <v>0</v>
      </c>
      <c r="FF21" s="523"/>
      <c r="FG21" s="524">
        <f t="shared" si="52"/>
        <v>0</v>
      </c>
      <c r="FH21" s="525">
        <f t="shared" si="163"/>
        <v>0</v>
      </c>
      <c r="FI21" s="523"/>
      <c r="FJ21" s="524">
        <f t="shared" si="53"/>
        <v>0</v>
      </c>
      <c r="FK21" s="525">
        <f t="shared" si="164"/>
        <v>0</v>
      </c>
      <c r="FL21" s="523"/>
      <c r="FM21" s="524">
        <f t="shared" si="54"/>
        <v>0</v>
      </c>
      <c r="FN21" s="525">
        <f t="shared" si="165"/>
        <v>0</v>
      </c>
      <c r="FO21" s="523"/>
      <c r="FP21" s="524">
        <f t="shared" si="55"/>
        <v>0</v>
      </c>
      <c r="FQ21" s="525">
        <f t="shared" si="166"/>
        <v>0</v>
      </c>
      <c r="FR21" s="523"/>
      <c r="FS21" s="524">
        <f t="shared" si="56"/>
        <v>0</v>
      </c>
      <c r="FT21" s="525">
        <f t="shared" si="167"/>
        <v>0</v>
      </c>
      <c r="FU21" s="523"/>
      <c r="FV21" s="524">
        <f t="shared" si="57"/>
        <v>0</v>
      </c>
      <c r="FW21" s="525">
        <f t="shared" si="168"/>
        <v>0</v>
      </c>
      <c r="FX21" s="523"/>
      <c r="FY21" s="524">
        <f t="shared" si="58"/>
        <v>0</v>
      </c>
      <c r="FZ21" s="525">
        <f t="shared" si="169"/>
        <v>0</v>
      </c>
      <c r="GA21" s="523"/>
      <c r="GB21" s="524">
        <f t="shared" si="59"/>
        <v>0</v>
      </c>
      <c r="GC21" s="525">
        <f t="shared" si="170"/>
        <v>0</v>
      </c>
      <c r="GD21" s="523"/>
      <c r="GE21" s="524">
        <f t="shared" si="60"/>
        <v>0</v>
      </c>
      <c r="GF21" s="525">
        <f t="shared" si="171"/>
        <v>0</v>
      </c>
      <c r="GG21" s="523"/>
      <c r="GH21" s="524">
        <f t="shared" si="61"/>
        <v>0</v>
      </c>
      <c r="GI21" s="525">
        <f t="shared" si="172"/>
        <v>0</v>
      </c>
      <c r="GJ21" s="523"/>
      <c r="GK21" s="524">
        <f t="shared" si="62"/>
        <v>0</v>
      </c>
      <c r="GL21" s="525">
        <f t="shared" si="173"/>
        <v>0</v>
      </c>
      <c r="GM21" s="523"/>
      <c r="GN21" s="524">
        <f t="shared" si="63"/>
        <v>0</v>
      </c>
      <c r="GO21" s="525">
        <f t="shared" si="174"/>
        <v>0</v>
      </c>
      <c r="GP21" s="523"/>
      <c r="GQ21" s="524">
        <f t="shared" si="64"/>
        <v>0</v>
      </c>
      <c r="GR21" s="525">
        <f t="shared" si="175"/>
        <v>0</v>
      </c>
      <c r="GS21" s="523"/>
      <c r="GT21" s="524">
        <f t="shared" si="65"/>
        <v>0</v>
      </c>
      <c r="GU21" s="525">
        <f t="shared" si="176"/>
        <v>0</v>
      </c>
      <c r="GV21" s="523"/>
      <c r="GW21" s="524">
        <f t="shared" si="66"/>
        <v>0</v>
      </c>
      <c r="GX21" s="525">
        <f t="shared" si="177"/>
        <v>0</v>
      </c>
      <c r="GY21" s="523"/>
      <c r="GZ21" s="524">
        <f t="shared" si="67"/>
        <v>0</v>
      </c>
      <c r="HA21" s="525">
        <f t="shared" si="178"/>
        <v>0</v>
      </c>
      <c r="HB21" s="523"/>
      <c r="HC21" s="524">
        <f t="shared" si="68"/>
        <v>0</v>
      </c>
      <c r="HD21" s="525">
        <f t="shared" si="179"/>
        <v>0</v>
      </c>
      <c r="HE21" s="523"/>
      <c r="HF21" s="524">
        <f t="shared" si="69"/>
        <v>0</v>
      </c>
      <c r="HG21" s="525">
        <f t="shared" si="180"/>
        <v>0</v>
      </c>
      <c r="HH21" s="523"/>
      <c r="HI21" s="524">
        <f t="shared" si="70"/>
        <v>0</v>
      </c>
      <c r="HJ21" s="525">
        <f t="shared" si="181"/>
        <v>0</v>
      </c>
      <c r="HK21" s="523"/>
      <c r="HL21" s="524">
        <f t="shared" si="71"/>
        <v>0</v>
      </c>
      <c r="HM21" s="525">
        <f t="shared" si="182"/>
        <v>0</v>
      </c>
      <c r="HN21" s="523"/>
      <c r="HO21" s="524">
        <f t="shared" si="72"/>
        <v>0</v>
      </c>
      <c r="HP21" s="525">
        <f t="shared" si="183"/>
        <v>0</v>
      </c>
      <c r="HQ21" s="523"/>
      <c r="HR21" s="524">
        <f t="shared" si="73"/>
        <v>0</v>
      </c>
      <c r="HS21" s="525">
        <f t="shared" si="184"/>
        <v>0</v>
      </c>
      <c r="HT21" s="523"/>
      <c r="HU21" s="524">
        <f t="shared" si="74"/>
        <v>0</v>
      </c>
      <c r="HV21" s="525">
        <f t="shared" si="185"/>
        <v>0</v>
      </c>
      <c r="HW21" s="523"/>
      <c r="HX21" s="524">
        <f t="shared" si="75"/>
        <v>0</v>
      </c>
      <c r="HY21" s="525">
        <f t="shared" si="186"/>
        <v>0</v>
      </c>
      <c r="HZ21" s="523"/>
      <c r="IA21" s="524">
        <f t="shared" si="76"/>
        <v>0</v>
      </c>
      <c r="IB21" s="525">
        <f t="shared" si="187"/>
        <v>0</v>
      </c>
      <c r="IC21" s="523"/>
      <c r="ID21" s="524">
        <f t="shared" si="77"/>
        <v>0</v>
      </c>
      <c r="IE21" s="525">
        <f t="shared" si="188"/>
        <v>0</v>
      </c>
      <c r="IF21" s="523"/>
      <c r="IG21" s="524">
        <f t="shared" si="78"/>
        <v>0</v>
      </c>
      <c r="IH21" s="525">
        <f t="shared" si="189"/>
        <v>0</v>
      </c>
      <c r="II21" s="523"/>
      <c r="IJ21" s="524">
        <f t="shared" si="79"/>
        <v>0</v>
      </c>
      <c r="IK21" s="525">
        <f t="shared" si="190"/>
        <v>0</v>
      </c>
      <c r="IL21" s="523"/>
      <c r="IM21" s="524">
        <f t="shared" si="80"/>
        <v>0</v>
      </c>
      <c r="IN21" s="525">
        <f t="shared" si="191"/>
        <v>0</v>
      </c>
      <c r="IO21" s="523"/>
      <c r="IP21" s="524">
        <f t="shared" si="81"/>
        <v>0</v>
      </c>
      <c r="IQ21" s="525">
        <f t="shared" si="192"/>
        <v>0</v>
      </c>
      <c r="IR21" s="523"/>
      <c r="IS21" s="524">
        <f t="shared" si="82"/>
        <v>0</v>
      </c>
      <c r="IT21" s="525">
        <f t="shared" si="193"/>
        <v>0</v>
      </c>
      <c r="IU21" s="523"/>
      <c r="IV21" s="524">
        <f t="shared" si="83"/>
        <v>0</v>
      </c>
      <c r="IW21" s="525">
        <f t="shared" si="194"/>
        <v>0</v>
      </c>
      <c r="IX21" s="523"/>
      <c r="IY21" s="524">
        <f t="shared" si="84"/>
        <v>0</v>
      </c>
      <c r="IZ21" s="525">
        <f t="shared" si="195"/>
        <v>0</v>
      </c>
      <c r="JA21" s="523"/>
      <c r="JB21" s="524">
        <f t="shared" si="85"/>
        <v>0</v>
      </c>
      <c r="JC21" s="525">
        <f t="shared" si="196"/>
        <v>0</v>
      </c>
      <c r="JD21" s="523"/>
      <c r="JE21" s="524">
        <f t="shared" si="86"/>
        <v>0</v>
      </c>
      <c r="JF21" s="525">
        <f t="shared" si="197"/>
        <v>0</v>
      </c>
      <c r="JG21" s="523"/>
      <c r="JH21" s="524">
        <f t="shared" si="87"/>
        <v>0</v>
      </c>
      <c r="JI21" s="525">
        <f t="shared" si="198"/>
        <v>0</v>
      </c>
      <c r="JJ21" s="523"/>
      <c r="JK21" s="525" t="str">
        <f t="shared" si="88"/>
        <v>0</v>
      </c>
      <c r="JL21" s="525" t="str">
        <f t="shared" si="89"/>
        <v>0</v>
      </c>
      <c r="JM21" s="523"/>
      <c r="JN21" s="525" t="str">
        <f t="shared" si="90"/>
        <v>0</v>
      </c>
      <c r="JO21" s="525" t="str">
        <f t="shared" si="91"/>
        <v>0</v>
      </c>
      <c r="JP21" s="523"/>
      <c r="JQ21" s="525" t="str">
        <f t="shared" si="92"/>
        <v>0</v>
      </c>
      <c r="JR21" s="525" t="str">
        <f t="shared" si="93"/>
        <v>0</v>
      </c>
      <c r="JS21" s="523"/>
      <c r="JT21" s="525" t="str">
        <f t="shared" si="94"/>
        <v>0</v>
      </c>
      <c r="JU21" s="525" t="str">
        <f t="shared" si="95"/>
        <v>0</v>
      </c>
      <c r="JV21" s="523"/>
      <c r="JW21" s="525" t="str">
        <f t="shared" si="96"/>
        <v>0</v>
      </c>
      <c r="JX21" s="525" t="str">
        <f t="shared" si="97"/>
        <v>0</v>
      </c>
      <c r="JY21" s="523"/>
      <c r="JZ21" s="525" t="str">
        <f t="shared" si="98"/>
        <v>0</v>
      </c>
      <c r="KA21" s="525" t="str">
        <f t="shared" si="99"/>
        <v>0</v>
      </c>
      <c r="KB21" s="523"/>
      <c r="KC21" s="525" t="str">
        <f t="shared" si="100"/>
        <v>0</v>
      </c>
      <c r="KD21" s="525" t="str">
        <f t="shared" si="101"/>
        <v>0</v>
      </c>
      <c r="KE21" s="523"/>
      <c r="KF21" s="525" t="str">
        <f t="shared" si="102"/>
        <v>0</v>
      </c>
      <c r="KG21" s="525" t="str">
        <f t="shared" si="103"/>
        <v>0</v>
      </c>
      <c r="KH21" s="523"/>
      <c r="KI21" s="525" t="str">
        <f t="shared" si="104"/>
        <v>0</v>
      </c>
      <c r="KJ21" s="525" t="str">
        <f t="shared" si="105"/>
        <v>0</v>
      </c>
      <c r="KK21" s="523"/>
      <c r="KL21" s="525" t="str">
        <f t="shared" si="106"/>
        <v>0</v>
      </c>
      <c r="KM21" s="525" t="str">
        <f t="shared" si="107"/>
        <v>0</v>
      </c>
      <c r="KN21" s="523"/>
      <c r="KO21" s="525" t="str">
        <f t="shared" si="108"/>
        <v>0</v>
      </c>
      <c r="KP21" s="525" t="str">
        <f t="shared" si="109"/>
        <v>0</v>
      </c>
      <c r="KQ21" s="523"/>
      <c r="KR21" s="525" t="str">
        <f t="shared" si="110"/>
        <v>0</v>
      </c>
      <c r="KS21" s="525" t="str">
        <f t="shared" si="111"/>
        <v>0</v>
      </c>
      <c r="KT21" s="525">
        <f t="shared" si="201"/>
        <v>0</v>
      </c>
      <c r="KU21" s="525">
        <f t="shared" si="202"/>
        <v>0</v>
      </c>
      <c r="KV21" s="261">
        <f t="shared" si="199"/>
        <v>100.67214423837547</v>
      </c>
    </row>
    <row r="22" spans="1:308">
      <c r="A22" s="262">
        <f t="shared" si="200"/>
        <v>46126</v>
      </c>
      <c r="B22" s="263" t="str">
        <f>+Report1!B22</f>
        <v>Toilet</v>
      </c>
      <c r="C22" s="263" t="str">
        <f>+Report1!C22</f>
        <v>12/13</v>
      </c>
      <c r="D22" s="264">
        <f>+Report1!P22</f>
        <v>43.125</v>
      </c>
      <c r="E22" s="556">
        <f>+Report1!R22</f>
        <v>45.835000000000001</v>
      </c>
      <c r="F22" s="523"/>
      <c r="G22" s="524">
        <f t="shared" si="0"/>
        <v>0</v>
      </c>
      <c r="H22" s="525">
        <f t="shared" si="112"/>
        <v>0</v>
      </c>
      <c r="I22" s="523"/>
      <c r="J22" s="524">
        <f t="shared" si="1"/>
        <v>0</v>
      </c>
      <c r="K22" s="525">
        <f t="shared" si="113"/>
        <v>0</v>
      </c>
      <c r="L22" s="523"/>
      <c r="M22" s="524">
        <f t="shared" si="2"/>
        <v>0</v>
      </c>
      <c r="N22" s="525">
        <f t="shared" si="114"/>
        <v>0</v>
      </c>
      <c r="O22" s="523">
        <v>6</v>
      </c>
      <c r="P22" s="524">
        <f t="shared" si="3"/>
        <v>0.13090433075160904</v>
      </c>
      <c r="Q22" s="525">
        <f t="shared" si="115"/>
        <v>0</v>
      </c>
      <c r="R22" s="523"/>
      <c r="S22" s="524">
        <f t="shared" si="4"/>
        <v>0</v>
      </c>
      <c r="T22" s="525">
        <f t="shared" si="116"/>
        <v>0</v>
      </c>
      <c r="U22" s="523">
        <v>7.6875</v>
      </c>
      <c r="V22" s="524">
        <f t="shared" si="5"/>
        <v>0.16772117377549908</v>
      </c>
      <c r="W22" s="525">
        <f t="shared" si="117"/>
        <v>0</v>
      </c>
      <c r="X22" s="523"/>
      <c r="Y22" s="524">
        <f t="shared" si="6"/>
        <v>0</v>
      </c>
      <c r="Z22" s="525">
        <f t="shared" si="118"/>
        <v>0</v>
      </c>
      <c r="AA22" s="523">
        <v>6.25</v>
      </c>
      <c r="AB22" s="524">
        <f t="shared" si="7"/>
        <v>0.13635867786625941</v>
      </c>
      <c r="AC22" s="525">
        <f t="shared" si="119"/>
        <v>0</v>
      </c>
      <c r="AD22" s="523"/>
      <c r="AE22" s="524">
        <f t="shared" si="8"/>
        <v>0</v>
      </c>
      <c r="AF22" s="525">
        <f t="shared" si="120"/>
        <v>0</v>
      </c>
      <c r="AG22" s="523"/>
      <c r="AH22" s="524">
        <f t="shared" si="9"/>
        <v>0</v>
      </c>
      <c r="AI22" s="525">
        <f t="shared" si="121"/>
        <v>0</v>
      </c>
      <c r="AJ22" s="523"/>
      <c r="AK22" s="524">
        <f t="shared" si="10"/>
        <v>0</v>
      </c>
      <c r="AL22" s="525">
        <f t="shared" si="122"/>
        <v>0</v>
      </c>
      <c r="AM22" s="523"/>
      <c r="AN22" s="524">
        <f t="shared" si="11"/>
        <v>0</v>
      </c>
      <c r="AO22" s="525">
        <f t="shared" si="123"/>
        <v>0</v>
      </c>
      <c r="AP22" s="523"/>
      <c r="AQ22" s="524">
        <f t="shared" si="12"/>
        <v>0</v>
      </c>
      <c r="AR22" s="525">
        <f t="shared" si="124"/>
        <v>0</v>
      </c>
      <c r="AS22" s="523"/>
      <c r="AT22" s="524">
        <f t="shared" si="13"/>
        <v>0</v>
      </c>
      <c r="AU22" s="525">
        <f t="shared" si="125"/>
        <v>0</v>
      </c>
      <c r="AV22" s="523"/>
      <c r="AW22" s="524">
        <f t="shared" si="14"/>
        <v>0</v>
      </c>
      <c r="AX22" s="525">
        <f t="shared" si="126"/>
        <v>0</v>
      </c>
      <c r="AY22" s="523"/>
      <c r="AZ22" s="524">
        <f t="shared" si="15"/>
        <v>0</v>
      </c>
      <c r="BA22" s="525">
        <f t="shared" si="127"/>
        <v>0</v>
      </c>
      <c r="BB22" s="523"/>
      <c r="BC22" s="524">
        <f t="shared" si="16"/>
        <v>0</v>
      </c>
      <c r="BD22" s="525">
        <f t="shared" si="128"/>
        <v>0</v>
      </c>
      <c r="BE22" s="523"/>
      <c r="BF22" s="524">
        <f t="shared" si="17"/>
        <v>0</v>
      </c>
      <c r="BG22" s="525">
        <f t="shared" si="129"/>
        <v>0</v>
      </c>
      <c r="BH22" s="523"/>
      <c r="BI22" s="524">
        <f t="shared" si="18"/>
        <v>0</v>
      </c>
      <c r="BJ22" s="525">
        <f t="shared" si="130"/>
        <v>0</v>
      </c>
      <c r="BK22" s="523"/>
      <c r="BL22" s="524">
        <f t="shared" si="19"/>
        <v>0</v>
      </c>
      <c r="BM22" s="525">
        <f t="shared" si="131"/>
        <v>0</v>
      </c>
      <c r="BN22" s="523"/>
      <c r="BO22" s="524">
        <f t="shared" si="20"/>
        <v>0</v>
      </c>
      <c r="BP22" s="525">
        <f t="shared" si="132"/>
        <v>0</v>
      </c>
      <c r="BQ22" s="523">
        <v>45.569620253164544</v>
      </c>
      <c r="BR22" s="524">
        <f t="shared" si="21"/>
        <v>0.9942101069742455</v>
      </c>
      <c r="BS22" s="525">
        <f t="shared" si="133"/>
        <v>0</v>
      </c>
      <c r="BT22" s="523"/>
      <c r="BU22" s="524">
        <f t="shared" si="22"/>
        <v>0</v>
      </c>
      <c r="BV22" s="525">
        <f t="shared" si="134"/>
        <v>0</v>
      </c>
      <c r="BW22" s="523"/>
      <c r="BX22" s="524">
        <f t="shared" si="23"/>
        <v>0</v>
      </c>
      <c r="BY22" s="525">
        <f t="shared" si="135"/>
        <v>0</v>
      </c>
      <c r="BZ22" s="523"/>
      <c r="CA22" s="524">
        <f t="shared" si="24"/>
        <v>0</v>
      </c>
      <c r="CB22" s="525">
        <f t="shared" si="136"/>
        <v>0</v>
      </c>
      <c r="CC22" s="523"/>
      <c r="CD22" s="524">
        <f t="shared" si="25"/>
        <v>0</v>
      </c>
      <c r="CE22" s="525">
        <f t="shared" si="137"/>
        <v>0</v>
      </c>
      <c r="CF22" s="523">
        <v>1</v>
      </c>
      <c r="CG22" s="524">
        <f t="shared" si="26"/>
        <v>2.1817388458601504E-2</v>
      </c>
      <c r="CH22" s="525">
        <f t="shared" si="138"/>
        <v>0</v>
      </c>
      <c r="CI22" s="523"/>
      <c r="CJ22" s="524">
        <f t="shared" si="27"/>
        <v>0</v>
      </c>
      <c r="CK22" s="525">
        <f t="shared" si="139"/>
        <v>0</v>
      </c>
      <c r="CL22" s="523"/>
      <c r="CM22" s="524">
        <f t="shared" si="28"/>
        <v>0</v>
      </c>
      <c r="CN22" s="525">
        <f t="shared" si="140"/>
        <v>0</v>
      </c>
      <c r="CO22" s="523"/>
      <c r="CP22" s="524">
        <f t="shared" si="29"/>
        <v>0</v>
      </c>
      <c r="CQ22" s="525">
        <f t="shared" si="141"/>
        <v>0</v>
      </c>
      <c r="CR22" s="523"/>
      <c r="CS22" s="524">
        <f t="shared" si="30"/>
        <v>0</v>
      </c>
      <c r="CT22" s="525">
        <f t="shared" si="142"/>
        <v>0</v>
      </c>
      <c r="CU22" s="523"/>
      <c r="CV22" s="524">
        <f t="shared" si="31"/>
        <v>0</v>
      </c>
      <c r="CW22" s="525">
        <f t="shared" si="143"/>
        <v>0</v>
      </c>
      <c r="CX22" s="523"/>
      <c r="CY22" s="524">
        <f t="shared" si="32"/>
        <v>0</v>
      </c>
      <c r="CZ22" s="525">
        <f t="shared" si="144"/>
        <v>0</v>
      </c>
      <c r="DA22" s="523">
        <v>174.41860465116292</v>
      </c>
      <c r="DB22" s="524">
        <f t="shared" si="33"/>
        <v>3.8053584520816606</v>
      </c>
      <c r="DC22" s="525">
        <f t="shared" si="145"/>
        <v>0</v>
      </c>
      <c r="DD22" s="523"/>
      <c r="DE22" s="524">
        <f t="shared" si="34"/>
        <v>0</v>
      </c>
      <c r="DF22" s="525">
        <f t="shared" si="146"/>
        <v>0</v>
      </c>
      <c r="DG22" s="523"/>
      <c r="DH22" s="524">
        <f t="shared" si="35"/>
        <v>0</v>
      </c>
      <c r="DI22" s="525">
        <f t="shared" si="203"/>
        <v>0</v>
      </c>
      <c r="DJ22" s="523"/>
      <c r="DK22" s="524">
        <f t="shared" si="36"/>
        <v>0</v>
      </c>
      <c r="DL22" s="525">
        <f t="shared" si="147"/>
        <v>0</v>
      </c>
      <c r="DM22" s="523"/>
      <c r="DN22" s="524">
        <f t="shared" si="37"/>
        <v>0</v>
      </c>
      <c r="DO22" s="525">
        <f t="shared" si="148"/>
        <v>0</v>
      </c>
      <c r="DP22" s="523"/>
      <c r="DQ22" s="524">
        <f t="shared" si="38"/>
        <v>0</v>
      </c>
      <c r="DR22" s="525">
        <f t="shared" si="149"/>
        <v>0</v>
      </c>
      <c r="DS22" s="523"/>
      <c r="DT22" s="524">
        <f t="shared" si="39"/>
        <v>0</v>
      </c>
      <c r="DU22" s="525">
        <f t="shared" si="150"/>
        <v>0</v>
      </c>
      <c r="DV22" s="523"/>
      <c r="DW22" s="524">
        <f t="shared" si="40"/>
        <v>0</v>
      </c>
      <c r="DX22" s="525">
        <f t="shared" si="151"/>
        <v>0</v>
      </c>
      <c r="DY22" s="523"/>
      <c r="DZ22" s="524">
        <f t="shared" si="41"/>
        <v>0</v>
      </c>
      <c r="EA22" s="525">
        <f t="shared" si="152"/>
        <v>0</v>
      </c>
      <c r="EB22" s="523"/>
      <c r="EC22" s="524">
        <f t="shared" si="42"/>
        <v>0</v>
      </c>
      <c r="ED22" s="525">
        <f t="shared" si="153"/>
        <v>0</v>
      </c>
      <c r="EE22" s="523">
        <v>14.534883720930253</v>
      </c>
      <c r="EF22" s="524">
        <f t="shared" si="43"/>
        <v>0.31711320434013862</v>
      </c>
      <c r="EG22" s="525">
        <f t="shared" si="154"/>
        <v>0</v>
      </c>
      <c r="EH22" s="523">
        <v>46.964705882352945</v>
      </c>
      <c r="EI22" s="524">
        <f t="shared" si="44"/>
        <v>1.0246472320792614</v>
      </c>
      <c r="EJ22" s="525">
        <f t="shared" si="155"/>
        <v>0</v>
      </c>
      <c r="EK22" s="523">
        <v>3</v>
      </c>
      <c r="EL22" s="524">
        <f t="shared" si="45"/>
        <v>6.5452165375804519E-2</v>
      </c>
      <c r="EM22" s="525">
        <f t="shared" si="156"/>
        <v>0</v>
      </c>
      <c r="EN22" s="523">
        <v>42.682926829268297</v>
      </c>
      <c r="EO22" s="524">
        <f t="shared" si="46"/>
        <v>0.93122999518421068</v>
      </c>
      <c r="EP22" s="525">
        <f t="shared" si="157"/>
        <v>0</v>
      </c>
      <c r="EQ22" s="523">
        <v>39.534883720930111</v>
      </c>
      <c r="ER22" s="524">
        <f t="shared" si="47"/>
        <v>0.86254791580517309</v>
      </c>
      <c r="ES22" s="525">
        <f t="shared" si="158"/>
        <v>0</v>
      </c>
      <c r="ET22" s="523"/>
      <c r="EU22" s="524">
        <f t="shared" si="48"/>
        <v>0</v>
      </c>
      <c r="EV22" s="525">
        <f t="shared" si="159"/>
        <v>0</v>
      </c>
      <c r="EW22" s="523"/>
      <c r="EX22" s="524">
        <f t="shared" si="49"/>
        <v>0</v>
      </c>
      <c r="EY22" s="525">
        <f t="shared" si="160"/>
        <v>0</v>
      </c>
      <c r="EZ22" s="523"/>
      <c r="FA22" s="524">
        <f t="shared" si="50"/>
        <v>0</v>
      </c>
      <c r="FB22" s="525">
        <f t="shared" si="161"/>
        <v>0</v>
      </c>
      <c r="FC22" s="523"/>
      <c r="FD22" s="524">
        <f t="shared" si="51"/>
        <v>0</v>
      </c>
      <c r="FE22" s="525">
        <f t="shared" si="162"/>
        <v>0</v>
      </c>
      <c r="FF22" s="523"/>
      <c r="FG22" s="524">
        <f t="shared" si="52"/>
        <v>0</v>
      </c>
      <c r="FH22" s="525">
        <f t="shared" si="163"/>
        <v>0</v>
      </c>
      <c r="FI22" s="523"/>
      <c r="FJ22" s="524">
        <f t="shared" si="53"/>
        <v>0</v>
      </c>
      <c r="FK22" s="525">
        <f t="shared" si="164"/>
        <v>0</v>
      </c>
      <c r="FL22" s="523"/>
      <c r="FM22" s="524">
        <f t="shared" si="54"/>
        <v>0</v>
      </c>
      <c r="FN22" s="525">
        <f t="shared" si="165"/>
        <v>0</v>
      </c>
      <c r="FO22" s="523"/>
      <c r="FP22" s="524">
        <f t="shared" si="55"/>
        <v>0</v>
      </c>
      <c r="FQ22" s="525">
        <f t="shared" si="166"/>
        <v>0</v>
      </c>
      <c r="FR22" s="523"/>
      <c r="FS22" s="524">
        <f t="shared" si="56"/>
        <v>0</v>
      </c>
      <c r="FT22" s="525">
        <f t="shared" si="167"/>
        <v>0</v>
      </c>
      <c r="FU22" s="523"/>
      <c r="FV22" s="524">
        <f t="shared" si="57"/>
        <v>0</v>
      </c>
      <c r="FW22" s="525">
        <f t="shared" si="168"/>
        <v>0</v>
      </c>
      <c r="FX22" s="523"/>
      <c r="FY22" s="524">
        <f t="shared" si="58"/>
        <v>0</v>
      </c>
      <c r="FZ22" s="525">
        <f t="shared" si="169"/>
        <v>0</v>
      </c>
      <c r="GA22" s="523"/>
      <c r="GB22" s="524">
        <f t="shared" si="59"/>
        <v>0</v>
      </c>
      <c r="GC22" s="525">
        <f t="shared" si="170"/>
        <v>0</v>
      </c>
      <c r="GD22" s="523"/>
      <c r="GE22" s="524">
        <f t="shared" si="60"/>
        <v>0</v>
      </c>
      <c r="GF22" s="525">
        <f t="shared" si="171"/>
        <v>0</v>
      </c>
      <c r="GG22" s="523"/>
      <c r="GH22" s="524">
        <f t="shared" si="61"/>
        <v>0</v>
      </c>
      <c r="GI22" s="525">
        <f t="shared" si="172"/>
        <v>0</v>
      </c>
      <c r="GJ22" s="523"/>
      <c r="GK22" s="524">
        <f t="shared" si="62"/>
        <v>0</v>
      </c>
      <c r="GL22" s="525">
        <f t="shared" si="173"/>
        <v>0</v>
      </c>
      <c r="GM22" s="523"/>
      <c r="GN22" s="524">
        <f t="shared" si="63"/>
        <v>0</v>
      </c>
      <c r="GO22" s="525">
        <f t="shared" si="174"/>
        <v>0</v>
      </c>
      <c r="GP22" s="523"/>
      <c r="GQ22" s="524">
        <f t="shared" si="64"/>
        <v>0</v>
      </c>
      <c r="GR22" s="525">
        <f t="shared" si="175"/>
        <v>0</v>
      </c>
      <c r="GS22" s="523"/>
      <c r="GT22" s="524">
        <f t="shared" si="65"/>
        <v>0</v>
      </c>
      <c r="GU22" s="525">
        <f t="shared" si="176"/>
        <v>0</v>
      </c>
      <c r="GV22" s="523"/>
      <c r="GW22" s="524">
        <f t="shared" si="66"/>
        <v>0</v>
      </c>
      <c r="GX22" s="525">
        <f t="shared" si="177"/>
        <v>0</v>
      </c>
      <c r="GY22" s="523"/>
      <c r="GZ22" s="524">
        <f t="shared" si="67"/>
        <v>0</v>
      </c>
      <c r="HA22" s="525">
        <f t="shared" si="178"/>
        <v>0</v>
      </c>
      <c r="HB22" s="523"/>
      <c r="HC22" s="524">
        <f t="shared" si="68"/>
        <v>0</v>
      </c>
      <c r="HD22" s="525">
        <f t="shared" si="179"/>
        <v>0</v>
      </c>
      <c r="HE22" s="523"/>
      <c r="HF22" s="524">
        <f t="shared" si="69"/>
        <v>0</v>
      </c>
      <c r="HG22" s="525">
        <f t="shared" si="180"/>
        <v>0</v>
      </c>
      <c r="HH22" s="523"/>
      <c r="HI22" s="524">
        <f t="shared" si="70"/>
        <v>0</v>
      </c>
      <c r="HJ22" s="525">
        <f t="shared" si="181"/>
        <v>0</v>
      </c>
      <c r="HK22" s="523"/>
      <c r="HL22" s="524">
        <f t="shared" si="71"/>
        <v>0</v>
      </c>
      <c r="HM22" s="525">
        <f t="shared" si="182"/>
        <v>0</v>
      </c>
      <c r="HN22" s="523"/>
      <c r="HO22" s="524">
        <f t="shared" si="72"/>
        <v>0</v>
      </c>
      <c r="HP22" s="525">
        <f t="shared" si="183"/>
        <v>0</v>
      </c>
      <c r="HQ22" s="523"/>
      <c r="HR22" s="524">
        <f t="shared" si="73"/>
        <v>0</v>
      </c>
      <c r="HS22" s="525">
        <f t="shared" si="184"/>
        <v>0</v>
      </c>
      <c r="HT22" s="523"/>
      <c r="HU22" s="524">
        <f t="shared" si="74"/>
        <v>0</v>
      </c>
      <c r="HV22" s="525">
        <f t="shared" si="185"/>
        <v>0</v>
      </c>
      <c r="HW22" s="523"/>
      <c r="HX22" s="524">
        <f t="shared" si="75"/>
        <v>0</v>
      </c>
      <c r="HY22" s="525">
        <f t="shared" si="186"/>
        <v>0</v>
      </c>
      <c r="HZ22" s="523"/>
      <c r="IA22" s="524">
        <f t="shared" si="76"/>
        <v>0</v>
      </c>
      <c r="IB22" s="525">
        <f t="shared" si="187"/>
        <v>0</v>
      </c>
      <c r="IC22" s="523"/>
      <c r="ID22" s="524">
        <f t="shared" si="77"/>
        <v>0</v>
      </c>
      <c r="IE22" s="525">
        <f t="shared" si="188"/>
        <v>0</v>
      </c>
      <c r="IF22" s="523"/>
      <c r="IG22" s="524">
        <f t="shared" si="78"/>
        <v>0</v>
      </c>
      <c r="IH22" s="525">
        <f t="shared" si="189"/>
        <v>0</v>
      </c>
      <c r="II22" s="523"/>
      <c r="IJ22" s="524">
        <f t="shared" si="79"/>
        <v>0</v>
      </c>
      <c r="IK22" s="525">
        <f t="shared" si="190"/>
        <v>0</v>
      </c>
      <c r="IL22" s="523"/>
      <c r="IM22" s="524">
        <f t="shared" si="80"/>
        <v>0</v>
      </c>
      <c r="IN22" s="525">
        <f t="shared" si="191"/>
        <v>0</v>
      </c>
      <c r="IO22" s="523"/>
      <c r="IP22" s="524">
        <f t="shared" si="81"/>
        <v>0</v>
      </c>
      <c r="IQ22" s="525">
        <f t="shared" si="192"/>
        <v>0</v>
      </c>
      <c r="IR22" s="523"/>
      <c r="IS22" s="524">
        <f t="shared" si="82"/>
        <v>0</v>
      </c>
      <c r="IT22" s="525">
        <f t="shared" si="193"/>
        <v>0</v>
      </c>
      <c r="IU22" s="523"/>
      <c r="IV22" s="524">
        <f t="shared" si="83"/>
        <v>0</v>
      </c>
      <c r="IW22" s="525">
        <f t="shared" si="194"/>
        <v>0</v>
      </c>
      <c r="IX22" s="523"/>
      <c r="IY22" s="524">
        <f t="shared" si="84"/>
        <v>0</v>
      </c>
      <c r="IZ22" s="525">
        <f t="shared" si="195"/>
        <v>0</v>
      </c>
      <c r="JA22" s="523"/>
      <c r="JB22" s="524">
        <f t="shared" si="85"/>
        <v>0</v>
      </c>
      <c r="JC22" s="525">
        <f t="shared" si="196"/>
        <v>0</v>
      </c>
      <c r="JD22" s="523"/>
      <c r="JE22" s="524">
        <f t="shared" si="86"/>
        <v>0</v>
      </c>
      <c r="JF22" s="525">
        <f t="shared" si="197"/>
        <v>0</v>
      </c>
      <c r="JG22" s="523"/>
      <c r="JH22" s="524">
        <f t="shared" si="87"/>
        <v>0</v>
      </c>
      <c r="JI22" s="525">
        <f t="shared" si="198"/>
        <v>0</v>
      </c>
      <c r="JJ22" s="523"/>
      <c r="JK22" s="525" t="str">
        <f t="shared" si="88"/>
        <v>0</v>
      </c>
      <c r="JL22" s="525" t="str">
        <f t="shared" si="89"/>
        <v>0</v>
      </c>
      <c r="JM22" s="523"/>
      <c r="JN22" s="525" t="str">
        <f t="shared" si="90"/>
        <v>0</v>
      </c>
      <c r="JO22" s="525" t="str">
        <f t="shared" si="91"/>
        <v>0</v>
      </c>
      <c r="JP22" s="523"/>
      <c r="JQ22" s="525" t="str">
        <f t="shared" si="92"/>
        <v>0</v>
      </c>
      <c r="JR22" s="525" t="str">
        <f t="shared" si="93"/>
        <v>0</v>
      </c>
      <c r="JS22" s="523"/>
      <c r="JT22" s="525" t="str">
        <f t="shared" si="94"/>
        <v>0</v>
      </c>
      <c r="JU22" s="525" t="str">
        <f t="shared" si="95"/>
        <v>0</v>
      </c>
      <c r="JV22" s="523"/>
      <c r="JW22" s="525" t="str">
        <f t="shared" si="96"/>
        <v>0</v>
      </c>
      <c r="JX22" s="525" t="str">
        <f t="shared" si="97"/>
        <v>0</v>
      </c>
      <c r="JY22" s="523"/>
      <c r="JZ22" s="525" t="str">
        <f t="shared" si="98"/>
        <v>0</v>
      </c>
      <c r="KA22" s="525" t="str">
        <f t="shared" si="99"/>
        <v>0</v>
      </c>
      <c r="KB22" s="523"/>
      <c r="KC22" s="525" t="str">
        <f t="shared" si="100"/>
        <v>0</v>
      </c>
      <c r="KD22" s="525" t="str">
        <f t="shared" si="101"/>
        <v>0</v>
      </c>
      <c r="KE22" s="523"/>
      <c r="KF22" s="525" t="str">
        <f t="shared" si="102"/>
        <v>0</v>
      </c>
      <c r="KG22" s="525" t="str">
        <f t="shared" si="103"/>
        <v>0</v>
      </c>
      <c r="KH22" s="523"/>
      <c r="KI22" s="525" t="str">
        <f t="shared" si="104"/>
        <v>0</v>
      </c>
      <c r="KJ22" s="525" t="str">
        <f t="shared" si="105"/>
        <v>0</v>
      </c>
      <c r="KK22" s="523"/>
      <c r="KL22" s="525" t="str">
        <f t="shared" si="106"/>
        <v>0</v>
      </c>
      <c r="KM22" s="525" t="str">
        <f t="shared" si="107"/>
        <v>0</v>
      </c>
      <c r="KN22" s="523"/>
      <c r="KO22" s="525" t="str">
        <f t="shared" si="108"/>
        <v>0</v>
      </c>
      <c r="KP22" s="525" t="str">
        <f t="shared" si="109"/>
        <v>0</v>
      </c>
      <c r="KQ22" s="523"/>
      <c r="KR22" s="525" t="str">
        <f t="shared" si="110"/>
        <v>0</v>
      </c>
      <c r="KS22" s="525" t="str">
        <f t="shared" si="111"/>
        <v>0</v>
      </c>
      <c r="KT22" s="525">
        <f t="shared" si="201"/>
        <v>0</v>
      </c>
      <c r="KU22" s="525">
        <f t="shared" si="202"/>
        <v>0</v>
      </c>
      <c r="KV22" s="261">
        <f t="shared" si="199"/>
        <v>387.64312505780907</v>
      </c>
    </row>
    <row r="23" spans="1:308">
      <c r="A23" s="262">
        <f t="shared" si="200"/>
        <v>46127</v>
      </c>
      <c r="B23" s="263" t="str">
        <f>+Report1!B23</f>
        <v>Toilet</v>
      </c>
      <c r="C23" s="263" t="str">
        <f>+Report1!C23</f>
        <v>13</v>
      </c>
      <c r="D23" s="264">
        <f>+Report1!P23</f>
        <v>46.03</v>
      </c>
      <c r="E23" s="556">
        <f>+Report1!R23</f>
        <v>44.06</v>
      </c>
      <c r="F23" s="523"/>
      <c r="G23" s="524">
        <f t="shared" si="0"/>
        <v>0</v>
      </c>
      <c r="H23" s="525">
        <f t="shared" si="112"/>
        <v>0</v>
      </c>
      <c r="I23" s="523"/>
      <c r="J23" s="524">
        <f t="shared" si="1"/>
        <v>0</v>
      </c>
      <c r="K23" s="525">
        <f t="shared" si="113"/>
        <v>0</v>
      </c>
      <c r="L23" s="523"/>
      <c r="M23" s="524">
        <f t="shared" si="2"/>
        <v>0</v>
      </c>
      <c r="N23" s="525">
        <f t="shared" si="114"/>
        <v>0</v>
      </c>
      <c r="O23" s="523">
        <v>9.0000000000000142</v>
      </c>
      <c r="P23" s="524">
        <f t="shared" si="3"/>
        <v>0.20426690876078107</v>
      </c>
      <c r="Q23" s="525">
        <f t="shared" si="115"/>
        <v>0</v>
      </c>
      <c r="R23" s="523"/>
      <c r="S23" s="524">
        <f t="shared" si="4"/>
        <v>0</v>
      </c>
      <c r="T23" s="525">
        <f t="shared" si="116"/>
        <v>0</v>
      </c>
      <c r="U23" s="523">
        <v>7.6875</v>
      </c>
      <c r="V23" s="524">
        <f t="shared" si="5"/>
        <v>0.17447798456650021</v>
      </c>
      <c r="W23" s="525">
        <f t="shared" si="117"/>
        <v>0</v>
      </c>
      <c r="X23" s="523"/>
      <c r="Y23" s="524">
        <f t="shared" si="6"/>
        <v>0</v>
      </c>
      <c r="Z23" s="525">
        <f t="shared" si="118"/>
        <v>0</v>
      </c>
      <c r="AA23" s="523">
        <v>9.3749999999999929</v>
      </c>
      <c r="AB23" s="524">
        <f t="shared" si="7"/>
        <v>0.21277802995914644</v>
      </c>
      <c r="AC23" s="525">
        <f t="shared" si="119"/>
        <v>0</v>
      </c>
      <c r="AD23" s="523"/>
      <c r="AE23" s="524">
        <f t="shared" si="8"/>
        <v>0</v>
      </c>
      <c r="AF23" s="525">
        <f t="shared" si="120"/>
        <v>0</v>
      </c>
      <c r="AG23" s="523"/>
      <c r="AH23" s="524">
        <f t="shared" si="9"/>
        <v>0</v>
      </c>
      <c r="AI23" s="525">
        <f t="shared" si="121"/>
        <v>0</v>
      </c>
      <c r="AJ23" s="523"/>
      <c r="AK23" s="524">
        <f t="shared" si="10"/>
        <v>0</v>
      </c>
      <c r="AL23" s="525">
        <f t="shared" si="122"/>
        <v>0</v>
      </c>
      <c r="AM23" s="523"/>
      <c r="AN23" s="524">
        <f t="shared" si="11"/>
        <v>0</v>
      </c>
      <c r="AO23" s="525">
        <f t="shared" si="123"/>
        <v>0</v>
      </c>
      <c r="AP23" s="523"/>
      <c r="AQ23" s="524">
        <f t="shared" si="12"/>
        <v>0</v>
      </c>
      <c r="AR23" s="525">
        <f t="shared" si="124"/>
        <v>0</v>
      </c>
      <c r="AS23" s="523"/>
      <c r="AT23" s="524">
        <f t="shared" si="13"/>
        <v>0</v>
      </c>
      <c r="AU23" s="525">
        <f t="shared" si="125"/>
        <v>0</v>
      </c>
      <c r="AV23" s="523"/>
      <c r="AW23" s="524">
        <f t="shared" si="14"/>
        <v>0</v>
      </c>
      <c r="AX23" s="525">
        <f t="shared" si="126"/>
        <v>0</v>
      </c>
      <c r="AY23" s="523"/>
      <c r="AZ23" s="524">
        <f t="shared" si="15"/>
        <v>0</v>
      </c>
      <c r="BA23" s="525">
        <f t="shared" si="127"/>
        <v>0</v>
      </c>
      <c r="BB23" s="523"/>
      <c r="BC23" s="524">
        <f t="shared" si="16"/>
        <v>0</v>
      </c>
      <c r="BD23" s="525">
        <f t="shared" si="128"/>
        <v>0</v>
      </c>
      <c r="BE23" s="523"/>
      <c r="BF23" s="524">
        <f t="shared" si="17"/>
        <v>0</v>
      </c>
      <c r="BG23" s="525">
        <f t="shared" si="129"/>
        <v>0</v>
      </c>
      <c r="BH23" s="523"/>
      <c r="BI23" s="524">
        <f t="shared" si="18"/>
        <v>0</v>
      </c>
      <c r="BJ23" s="525">
        <f t="shared" si="130"/>
        <v>0</v>
      </c>
      <c r="BK23" s="523"/>
      <c r="BL23" s="524">
        <f t="shared" si="19"/>
        <v>0</v>
      </c>
      <c r="BM23" s="525">
        <f t="shared" si="131"/>
        <v>0</v>
      </c>
      <c r="BN23" s="523"/>
      <c r="BO23" s="524">
        <f t="shared" si="20"/>
        <v>0</v>
      </c>
      <c r="BP23" s="525">
        <f t="shared" si="132"/>
        <v>0</v>
      </c>
      <c r="BQ23" s="523"/>
      <c r="BR23" s="524">
        <f t="shared" si="21"/>
        <v>0</v>
      </c>
      <c r="BS23" s="525">
        <f t="shared" si="133"/>
        <v>0</v>
      </c>
      <c r="BT23" s="523"/>
      <c r="BU23" s="524">
        <f t="shared" si="22"/>
        <v>0</v>
      </c>
      <c r="BV23" s="525">
        <f t="shared" si="134"/>
        <v>0</v>
      </c>
      <c r="BW23" s="523"/>
      <c r="BX23" s="524">
        <f t="shared" si="23"/>
        <v>0</v>
      </c>
      <c r="BY23" s="525">
        <f t="shared" si="135"/>
        <v>0</v>
      </c>
      <c r="BZ23" s="523"/>
      <c r="CA23" s="524">
        <f t="shared" si="24"/>
        <v>0</v>
      </c>
      <c r="CB23" s="525">
        <f t="shared" si="136"/>
        <v>0</v>
      </c>
      <c r="CC23" s="523"/>
      <c r="CD23" s="524">
        <f t="shared" si="25"/>
        <v>0</v>
      </c>
      <c r="CE23" s="525">
        <f t="shared" si="137"/>
        <v>0</v>
      </c>
      <c r="CF23" s="523">
        <v>1</v>
      </c>
      <c r="CG23" s="524">
        <f t="shared" si="26"/>
        <v>2.2696323195642305E-2</v>
      </c>
      <c r="CH23" s="525">
        <f t="shared" si="138"/>
        <v>0</v>
      </c>
      <c r="CI23" s="523"/>
      <c r="CJ23" s="524">
        <f t="shared" si="27"/>
        <v>0</v>
      </c>
      <c r="CK23" s="525">
        <f t="shared" si="139"/>
        <v>0</v>
      </c>
      <c r="CL23" s="523"/>
      <c r="CM23" s="524">
        <f t="shared" si="28"/>
        <v>0</v>
      </c>
      <c r="CN23" s="525">
        <f t="shared" si="140"/>
        <v>0</v>
      </c>
      <c r="CO23" s="523"/>
      <c r="CP23" s="524">
        <f t="shared" si="29"/>
        <v>0</v>
      </c>
      <c r="CQ23" s="525">
        <f t="shared" si="141"/>
        <v>0</v>
      </c>
      <c r="CR23" s="523"/>
      <c r="CS23" s="524">
        <f t="shared" si="30"/>
        <v>0</v>
      </c>
      <c r="CT23" s="525">
        <f t="shared" si="142"/>
        <v>0</v>
      </c>
      <c r="CU23" s="523"/>
      <c r="CV23" s="524">
        <f t="shared" si="31"/>
        <v>0</v>
      </c>
      <c r="CW23" s="525">
        <f t="shared" si="143"/>
        <v>0</v>
      </c>
      <c r="CX23" s="523"/>
      <c r="CY23" s="524">
        <f t="shared" si="32"/>
        <v>0</v>
      </c>
      <c r="CZ23" s="525">
        <f t="shared" si="144"/>
        <v>0</v>
      </c>
      <c r="DA23" s="523">
        <v>145.34883720930236</v>
      </c>
      <c r="DB23" s="524">
        <f t="shared" si="33"/>
        <v>3.2988841854131263</v>
      </c>
      <c r="DC23" s="525">
        <f t="shared" si="145"/>
        <v>0</v>
      </c>
      <c r="DD23" s="523"/>
      <c r="DE23" s="524">
        <f t="shared" si="34"/>
        <v>0</v>
      </c>
      <c r="DF23" s="525">
        <f t="shared" si="146"/>
        <v>0</v>
      </c>
      <c r="DG23" s="523"/>
      <c r="DH23" s="524">
        <f t="shared" si="35"/>
        <v>0</v>
      </c>
      <c r="DI23" s="525">
        <f t="shared" si="203"/>
        <v>0</v>
      </c>
      <c r="DJ23" s="523"/>
      <c r="DK23" s="524">
        <f t="shared" si="36"/>
        <v>0</v>
      </c>
      <c r="DL23" s="525">
        <f t="shared" si="147"/>
        <v>0</v>
      </c>
      <c r="DM23" s="523"/>
      <c r="DN23" s="524">
        <f t="shared" si="37"/>
        <v>0</v>
      </c>
      <c r="DO23" s="525">
        <f t="shared" si="148"/>
        <v>0</v>
      </c>
      <c r="DP23" s="523"/>
      <c r="DQ23" s="524">
        <f t="shared" si="38"/>
        <v>0</v>
      </c>
      <c r="DR23" s="525">
        <f t="shared" si="149"/>
        <v>0</v>
      </c>
      <c r="DS23" s="523"/>
      <c r="DT23" s="524">
        <f t="shared" si="39"/>
        <v>0</v>
      </c>
      <c r="DU23" s="525">
        <f t="shared" si="150"/>
        <v>0</v>
      </c>
      <c r="DV23" s="523"/>
      <c r="DW23" s="524">
        <f t="shared" si="40"/>
        <v>0</v>
      </c>
      <c r="DX23" s="525">
        <f t="shared" si="151"/>
        <v>0</v>
      </c>
      <c r="DY23" s="523"/>
      <c r="DZ23" s="524">
        <f t="shared" si="41"/>
        <v>0</v>
      </c>
      <c r="EA23" s="525">
        <f t="shared" si="152"/>
        <v>0</v>
      </c>
      <c r="EB23" s="523"/>
      <c r="EC23" s="524">
        <f t="shared" si="42"/>
        <v>0</v>
      </c>
      <c r="ED23" s="525">
        <f t="shared" si="153"/>
        <v>0</v>
      </c>
      <c r="EE23" s="523">
        <v>14.534883720930225</v>
      </c>
      <c r="EF23" s="524">
        <f t="shared" si="43"/>
        <v>0.3298884185413124</v>
      </c>
      <c r="EG23" s="525">
        <f t="shared" si="154"/>
        <v>0</v>
      </c>
      <c r="EH23" s="523">
        <v>46.964705882352916</v>
      </c>
      <c r="EI23" s="524">
        <f t="shared" si="44"/>
        <v>1.0659261434941651</v>
      </c>
      <c r="EJ23" s="525">
        <f t="shared" si="155"/>
        <v>0</v>
      </c>
      <c r="EK23" s="523">
        <v>3</v>
      </c>
      <c r="EL23" s="524">
        <f t="shared" si="45"/>
        <v>6.8088969586926909E-2</v>
      </c>
      <c r="EM23" s="525">
        <f t="shared" si="156"/>
        <v>0</v>
      </c>
      <c r="EN23" s="523">
        <v>42.682926829268297</v>
      </c>
      <c r="EO23" s="524">
        <f t="shared" si="46"/>
        <v>0.96874550225302525</v>
      </c>
      <c r="EP23" s="525">
        <f t="shared" si="157"/>
        <v>0</v>
      </c>
      <c r="EQ23" s="523">
        <v>34.593023255814046</v>
      </c>
      <c r="ER23" s="524">
        <f t="shared" si="47"/>
        <v>0.78513443612832601</v>
      </c>
      <c r="ES23" s="525">
        <f t="shared" si="158"/>
        <v>0</v>
      </c>
      <c r="ET23" s="523"/>
      <c r="EU23" s="524">
        <f t="shared" si="48"/>
        <v>0</v>
      </c>
      <c r="EV23" s="525">
        <f t="shared" si="159"/>
        <v>0</v>
      </c>
      <c r="EW23" s="523"/>
      <c r="EX23" s="524">
        <f t="shared" si="49"/>
        <v>0</v>
      </c>
      <c r="EY23" s="525">
        <f t="shared" si="160"/>
        <v>0</v>
      </c>
      <c r="EZ23" s="523"/>
      <c r="FA23" s="524">
        <f t="shared" si="50"/>
        <v>0</v>
      </c>
      <c r="FB23" s="525">
        <f t="shared" si="161"/>
        <v>0</v>
      </c>
      <c r="FC23" s="523"/>
      <c r="FD23" s="524">
        <f t="shared" si="51"/>
        <v>0</v>
      </c>
      <c r="FE23" s="525">
        <f t="shared" si="162"/>
        <v>0</v>
      </c>
      <c r="FF23" s="523"/>
      <c r="FG23" s="524">
        <f t="shared" si="52"/>
        <v>0</v>
      </c>
      <c r="FH23" s="525">
        <f t="shared" si="163"/>
        <v>0</v>
      </c>
      <c r="FI23" s="523"/>
      <c r="FJ23" s="524">
        <f t="shared" si="53"/>
        <v>0</v>
      </c>
      <c r="FK23" s="525">
        <f t="shared" si="164"/>
        <v>0</v>
      </c>
      <c r="FL23" s="523"/>
      <c r="FM23" s="524">
        <f t="shared" si="54"/>
        <v>0</v>
      </c>
      <c r="FN23" s="525">
        <f t="shared" si="165"/>
        <v>0</v>
      </c>
      <c r="FO23" s="523"/>
      <c r="FP23" s="524">
        <f t="shared" si="55"/>
        <v>0</v>
      </c>
      <c r="FQ23" s="525">
        <f t="shared" si="166"/>
        <v>0</v>
      </c>
      <c r="FR23" s="523"/>
      <c r="FS23" s="524">
        <f t="shared" si="56"/>
        <v>0</v>
      </c>
      <c r="FT23" s="525">
        <f t="shared" si="167"/>
        <v>0</v>
      </c>
      <c r="FU23" s="523"/>
      <c r="FV23" s="524">
        <f t="shared" si="57"/>
        <v>0</v>
      </c>
      <c r="FW23" s="525">
        <f t="shared" si="168"/>
        <v>0</v>
      </c>
      <c r="FX23" s="523"/>
      <c r="FY23" s="524">
        <f t="shared" si="58"/>
        <v>0</v>
      </c>
      <c r="FZ23" s="525">
        <f t="shared" si="169"/>
        <v>0</v>
      </c>
      <c r="GA23" s="523"/>
      <c r="GB23" s="524">
        <f t="shared" si="59"/>
        <v>0</v>
      </c>
      <c r="GC23" s="525">
        <f t="shared" si="170"/>
        <v>0</v>
      </c>
      <c r="GD23" s="523"/>
      <c r="GE23" s="524">
        <f t="shared" si="60"/>
        <v>0</v>
      </c>
      <c r="GF23" s="525">
        <f t="shared" si="171"/>
        <v>0</v>
      </c>
      <c r="GG23" s="523"/>
      <c r="GH23" s="524">
        <f t="shared" si="61"/>
        <v>0</v>
      </c>
      <c r="GI23" s="525">
        <f t="shared" si="172"/>
        <v>0</v>
      </c>
      <c r="GJ23" s="523"/>
      <c r="GK23" s="524">
        <f t="shared" si="62"/>
        <v>0</v>
      </c>
      <c r="GL23" s="525">
        <f t="shared" si="173"/>
        <v>0</v>
      </c>
      <c r="GM23" s="523"/>
      <c r="GN23" s="524">
        <f t="shared" si="63"/>
        <v>0</v>
      </c>
      <c r="GO23" s="525">
        <f t="shared" si="174"/>
        <v>0</v>
      </c>
      <c r="GP23" s="523"/>
      <c r="GQ23" s="524">
        <f t="shared" si="64"/>
        <v>0</v>
      </c>
      <c r="GR23" s="525">
        <f t="shared" si="175"/>
        <v>0</v>
      </c>
      <c r="GS23" s="523"/>
      <c r="GT23" s="524">
        <f t="shared" si="65"/>
        <v>0</v>
      </c>
      <c r="GU23" s="525">
        <f t="shared" si="176"/>
        <v>0</v>
      </c>
      <c r="GV23" s="523"/>
      <c r="GW23" s="524">
        <f t="shared" si="66"/>
        <v>0</v>
      </c>
      <c r="GX23" s="525">
        <f t="shared" si="177"/>
        <v>0</v>
      </c>
      <c r="GY23" s="523"/>
      <c r="GZ23" s="524">
        <f t="shared" si="67"/>
        <v>0</v>
      </c>
      <c r="HA23" s="525">
        <f t="shared" si="178"/>
        <v>0</v>
      </c>
      <c r="HB23" s="523"/>
      <c r="HC23" s="524">
        <f t="shared" si="68"/>
        <v>0</v>
      </c>
      <c r="HD23" s="525">
        <f t="shared" si="179"/>
        <v>0</v>
      </c>
      <c r="HE23" s="523"/>
      <c r="HF23" s="524">
        <f t="shared" si="69"/>
        <v>0</v>
      </c>
      <c r="HG23" s="525">
        <f t="shared" si="180"/>
        <v>0</v>
      </c>
      <c r="HH23" s="523"/>
      <c r="HI23" s="524">
        <f t="shared" si="70"/>
        <v>0</v>
      </c>
      <c r="HJ23" s="525">
        <f t="shared" si="181"/>
        <v>0</v>
      </c>
      <c r="HK23" s="523"/>
      <c r="HL23" s="524">
        <f t="shared" si="71"/>
        <v>0</v>
      </c>
      <c r="HM23" s="525">
        <f t="shared" si="182"/>
        <v>0</v>
      </c>
      <c r="HN23" s="523"/>
      <c r="HO23" s="524">
        <f t="shared" si="72"/>
        <v>0</v>
      </c>
      <c r="HP23" s="525">
        <f t="shared" si="183"/>
        <v>0</v>
      </c>
      <c r="HQ23" s="523"/>
      <c r="HR23" s="524">
        <f t="shared" si="73"/>
        <v>0</v>
      </c>
      <c r="HS23" s="525">
        <f t="shared" si="184"/>
        <v>0</v>
      </c>
      <c r="HT23" s="523"/>
      <c r="HU23" s="524">
        <f t="shared" si="74"/>
        <v>0</v>
      </c>
      <c r="HV23" s="525">
        <f t="shared" si="185"/>
        <v>0</v>
      </c>
      <c r="HW23" s="523"/>
      <c r="HX23" s="524">
        <f t="shared" si="75"/>
        <v>0</v>
      </c>
      <c r="HY23" s="525">
        <f t="shared" si="186"/>
        <v>0</v>
      </c>
      <c r="HZ23" s="523"/>
      <c r="IA23" s="524">
        <f t="shared" si="76"/>
        <v>0</v>
      </c>
      <c r="IB23" s="525">
        <f t="shared" si="187"/>
        <v>0</v>
      </c>
      <c r="IC23" s="523"/>
      <c r="ID23" s="524">
        <f t="shared" si="77"/>
        <v>0</v>
      </c>
      <c r="IE23" s="525">
        <f t="shared" si="188"/>
        <v>0</v>
      </c>
      <c r="IF23" s="523"/>
      <c r="IG23" s="524">
        <f t="shared" si="78"/>
        <v>0</v>
      </c>
      <c r="IH23" s="525">
        <f t="shared" si="189"/>
        <v>0</v>
      </c>
      <c r="II23" s="523"/>
      <c r="IJ23" s="524">
        <f t="shared" si="79"/>
        <v>0</v>
      </c>
      <c r="IK23" s="525">
        <f t="shared" si="190"/>
        <v>0</v>
      </c>
      <c r="IL23" s="523"/>
      <c r="IM23" s="524">
        <f t="shared" si="80"/>
        <v>0</v>
      </c>
      <c r="IN23" s="525">
        <f t="shared" si="191"/>
        <v>0</v>
      </c>
      <c r="IO23" s="523"/>
      <c r="IP23" s="524">
        <f t="shared" si="81"/>
        <v>0</v>
      </c>
      <c r="IQ23" s="525">
        <f t="shared" si="192"/>
        <v>0</v>
      </c>
      <c r="IR23" s="523"/>
      <c r="IS23" s="524">
        <f t="shared" si="82"/>
        <v>0</v>
      </c>
      <c r="IT23" s="525">
        <f t="shared" si="193"/>
        <v>0</v>
      </c>
      <c r="IU23" s="523"/>
      <c r="IV23" s="524">
        <f t="shared" si="83"/>
        <v>0</v>
      </c>
      <c r="IW23" s="525">
        <f t="shared" si="194"/>
        <v>0</v>
      </c>
      <c r="IX23" s="523"/>
      <c r="IY23" s="524">
        <f t="shared" si="84"/>
        <v>0</v>
      </c>
      <c r="IZ23" s="525">
        <f t="shared" si="195"/>
        <v>0</v>
      </c>
      <c r="JA23" s="523"/>
      <c r="JB23" s="524">
        <f t="shared" si="85"/>
        <v>0</v>
      </c>
      <c r="JC23" s="525">
        <f t="shared" si="196"/>
        <v>0</v>
      </c>
      <c r="JD23" s="523"/>
      <c r="JE23" s="524">
        <f t="shared" si="86"/>
        <v>0</v>
      </c>
      <c r="JF23" s="525">
        <f t="shared" si="197"/>
        <v>0</v>
      </c>
      <c r="JG23" s="523"/>
      <c r="JH23" s="524">
        <f t="shared" si="87"/>
        <v>0</v>
      </c>
      <c r="JI23" s="525">
        <f t="shared" si="198"/>
        <v>0</v>
      </c>
      <c r="JJ23" s="523"/>
      <c r="JK23" s="525" t="str">
        <f t="shared" si="88"/>
        <v>0</v>
      </c>
      <c r="JL23" s="525" t="str">
        <f t="shared" si="89"/>
        <v>0</v>
      </c>
      <c r="JM23" s="523"/>
      <c r="JN23" s="525" t="str">
        <f t="shared" si="90"/>
        <v>0</v>
      </c>
      <c r="JO23" s="525" t="str">
        <f t="shared" si="91"/>
        <v>0</v>
      </c>
      <c r="JP23" s="523"/>
      <c r="JQ23" s="525" t="str">
        <f t="shared" si="92"/>
        <v>0</v>
      </c>
      <c r="JR23" s="525" t="str">
        <f t="shared" si="93"/>
        <v>0</v>
      </c>
      <c r="JS23" s="523"/>
      <c r="JT23" s="525" t="str">
        <f t="shared" si="94"/>
        <v>0</v>
      </c>
      <c r="JU23" s="525" t="str">
        <f t="shared" si="95"/>
        <v>0</v>
      </c>
      <c r="JV23" s="523"/>
      <c r="JW23" s="525" t="str">
        <f t="shared" si="96"/>
        <v>0</v>
      </c>
      <c r="JX23" s="525" t="str">
        <f t="shared" si="97"/>
        <v>0</v>
      </c>
      <c r="JY23" s="523"/>
      <c r="JZ23" s="525" t="str">
        <f t="shared" si="98"/>
        <v>0</v>
      </c>
      <c r="KA23" s="525" t="str">
        <f t="shared" si="99"/>
        <v>0</v>
      </c>
      <c r="KB23" s="523"/>
      <c r="KC23" s="525" t="str">
        <f t="shared" si="100"/>
        <v>0</v>
      </c>
      <c r="KD23" s="525" t="str">
        <f t="shared" si="101"/>
        <v>0</v>
      </c>
      <c r="KE23" s="523"/>
      <c r="KF23" s="525" t="str">
        <f t="shared" si="102"/>
        <v>0</v>
      </c>
      <c r="KG23" s="525" t="str">
        <f t="shared" si="103"/>
        <v>0</v>
      </c>
      <c r="KH23" s="523"/>
      <c r="KI23" s="525" t="str">
        <f t="shared" si="104"/>
        <v>0</v>
      </c>
      <c r="KJ23" s="525" t="str">
        <f t="shared" si="105"/>
        <v>0</v>
      </c>
      <c r="KK23" s="523"/>
      <c r="KL23" s="525" t="str">
        <f t="shared" si="106"/>
        <v>0</v>
      </c>
      <c r="KM23" s="525" t="str">
        <f t="shared" si="107"/>
        <v>0</v>
      </c>
      <c r="KN23" s="523"/>
      <c r="KO23" s="525" t="str">
        <f t="shared" si="108"/>
        <v>0</v>
      </c>
      <c r="KP23" s="525" t="str">
        <f t="shared" si="109"/>
        <v>0</v>
      </c>
      <c r="KQ23" s="523"/>
      <c r="KR23" s="525" t="str">
        <f t="shared" si="110"/>
        <v>0</v>
      </c>
      <c r="KS23" s="525" t="str">
        <f t="shared" si="111"/>
        <v>0</v>
      </c>
      <c r="KT23" s="525">
        <f t="shared" si="201"/>
        <v>0</v>
      </c>
      <c r="KU23" s="525">
        <f t="shared" si="202"/>
        <v>0</v>
      </c>
      <c r="KV23" s="261">
        <f t="shared" si="199"/>
        <v>314.18687689766784</v>
      </c>
    </row>
    <row r="24" spans="1:308">
      <c r="A24" s="262">
        <f t="shared" si="200"/>
        <v>46128</v>
      </c>
      <c r="B24" s="263" t="str">
        <f>+Report1!B24</f>
        <v>Toilet</v>
      </c>
      <c r="C24" s="263" t="str">
        <f>+Report1!C24</f>
        <v>13</v>
      </c>
      <c r="D24" s="264">
        <f>+Report1!P24</f>
        <v>45.048999999999999</v>
      </c>
      <c r="E24" s="556">
        <f>+Report1!R24</f>
        <v>46.640999999999998</v>
      </c>
      <c r="F24" s="523"/>
      <c r="G24" s="524">
        <f t="shared" si="0"/>
        <v>0</v>
      </c>
      <c r="H24" s="525">
        <f t="shared" si="112"/>
        <v>0</v>
      </c>
      <c r="I24" s="523"/>
      <c r="J24" s="524">
        <f t="shared" si="1"/>
        <v>0</v>
      </c>
      <c r="K24" s="525">
        <f t="shared" si="113"/>
        <v>0</v>
      </c>
      <c r="L24" s="523"/>
      <c r="M24" s="524">
        <f t="shared" si="2"/>
        <v>0</v>
      </c>
      <c r="N24" s="525">
        <f t="shared" si="114"/>
        <v>0</v>
      </c>
      <c r="O24" s="523">
        <v>5.9999999999999858</v>
      </c>
      <c r="P24" s="524">
        <f t="shared" si="3"/>
        <v>0.12864218177140255</v>
      </c>
      <c r="Q24" s="525">
        <f t="shared" si="115"/>
        <v>0</v>
      </c>
      <c r="R24" s="523"/>
      <c r="S24" s="524">
        <f t="shared" si="4"/>
        <v>0</v>
      </c>
      <c r="T24" s="525">
        <f t="shared" si="116"/>
        <v>0</v>
      </c>
      <c r="U24" s="523">
        <v>7.6875</v>
      </c>
      <c r="V24" s="524">
        <f t="shared" si="5"/>
        <v>0.16482279539460989</v>
      </c>
      <c r="W24" s="525">
        <f t="shared" si="117"/>
        <v>0</v>
      </c>
      <c r="X24" s="523"/>
      <c r="Y24" s="524">
        <f t="shared" si="6"/>
        <v>0</v>
      </c>
      <c r="Z24" s="525">
        <f t="shared" si="118"/>
        <v>0</v>
      </c>
      <c r="AA24" s="523">
        <v>6.25</v>
      </c>
      <c r="AB24" s="524">
        <f t="shared" si="7"/>
        <v>0.13400227267854464</v>
      </c>
      <c r="AC24" s="525">
        <f t="shared" si="119"/>
        <v>0</v>
      </c>
      <c r="AD24" s="523"/>
      <c r="AE24" s="524">
        <f t="shared" si="8"/>
        <v>0</v>
      </c>
      <c r="AF24" s="525">
        <f t="shared" si="120"/>
        <v>0</v>
      </c>
      <c r="AG24" s="523"/>
      <c r="AH24" s="524">
        <f t="shared" si="9"/>
        <v>0</v>
      </c>
      <c r="AI24" s="525">
        <f t="shared" si="121"/>
        <v>0</v>
      </c>
      <c r="AJ24" s="523"/>
      <c r="AK24" s="524">
        <f t="shared" si="10"/>
        <v>0</v>
      </c>
      <c r="AL24" s="525">
        <f t="shared" si="122"/>
        <v>0</v>
      </c>
      <c r="AM24" s="523"/>
      <c r="AN24" s="524">
        <f t="shared" si="11"/>
        <v>0</v>
      </c>
      <c r="AO24" s="525">
        <f t="shared" si="123"/>
        <v>0</v>
      </c>
      <c r="AP24" s="523"/>
      <c r="AQ24" s="524">
        <f t="shared" si="12"/>
        <v>0</v>
      </c>
      <c r="AR24" s="525">
        <f t="shared" si="124"/>
        <v>0</v>
      </c>
      <c r="AS24" s="523"/>
      <c r="AT24" s="524">
        <f t="shared" si="13"/>
        <v>0</v>
      </c>
      <c r="AU24" s="525">
        <f t="shared" si="125"/>
        <v>0</v>
      </c>
      <c r="AV24" s="523"/>
      <c r="AW24" s="524">
        <f t="shared" si="14"/>
        <v>0</v>
      </c>
      <c r="AX24" s="525">
        <f t="shared" si="126"/>
        <v>0</v>
      </c>
      <c r="AY24" s="523"/>
      <c r="AZ24" s="524">
        <f t="shared" si="15"/>
        <v>0</v>
      </c>
      <c r="BA24" s="525">
        <f t="shared" si="127"/>
        <v>0</v>
      </c>
      <c r="BB24" s="523"/>
      <c r="BC24" s="524">
        <f t="shared" si="16"/>
        <v>0</v>
      </c>
      <c r="BD24" s="525">
        <f t="shared" si="128"/>
        <v>0</v>
      </c>
      <c r="BE24" s="523"/>
      <c r="BF24" s="524">
        <f t="shared" si="17"/>
        <v>0</v>
      </c>
      <c r="BG24" s="525">
        <f t="shared" si="129"/>
        <v>0</v>
      </c>
      <c r="BH24" s="523"/>
      <c r="BI24" s="524">
        <f t="shared" si="18"/>
        <v>0</v>
      </c>
      <c r="BJ24" s="525">
        <f t="shared" si="130"/>
        <v>0</v>
      </c>
      <c r="BK24" s="523"/>
      <c r="BL24" s="524">
        <f t="shared" si="19"/>
        <v>0</v>
      </c>
      <c r="BM24" s="525">
        <f t="shared" si="131"/>
        <v>0</v>
      </c>
      <c r="BN24" s="523"/>
      <c r="BO24" s="524">
        <f t="shared" si="20"/>
        <v>0</v>
      </c>
      <c r="BP24" s="525">
        <f t="shared" si="132"/>
        <v>0</v>
      </c>
      <c r="BQ24" s="523"/>
      <c r="BR24" s="524">
        <f t="shared" si="21"/>
        <v>0</v>
      </c>
      <c r="BS24" s="525">
        <f t="shared" si="133"/>
        <v>0</v>
      </c>
      <c r="BT24" s="523"/>
      <c r="BU24" s="524">
        <f t="shared" si="22"/>
        <v>0</v>
      </c>
      <c r="BV24" s="525">
        <f t="shared" si="134"/>
        <v>0</v>
      </c>
      <c r="BW24" s="523"/>
      <c r="BX24" s="524">
        <f t="shared" si="23"/>
        <v>0</v>
      </c>
      <c r="BY24" s="525">
        <f t="shared" si="135"/>
        <v>0</v>
      </c>
      <c r="BZ24" s="523"/>
      <c r="CA24" s="524">
        <f t="shared" si="24"/>
        <v>0</v>
      </c>
      <c r="CB24" s="525">
        <f t="shared" si="136"/>
        <v>0</v>
      </c>
      <c r="CC24" s="523"/>
      <c r="CD24" s="524">
        <f t="shared" si="25"/>
        <v>0</v>
      </c>
      <c r="CE24" s="525">
        <f t="shared" si="137"/>
        <v>0</v>
      </c>
      <c r="CF24" s="523">
        <v>1</v>
      </c>
      <c r="CG24" s="524">
        <f t="shared" si="26"/>
        <v>2.144036362856714E-2</v>
      </c>
      <c r="CH24" s="525">
        <f t="shared" si="138"/>
        <v>0</v>
      </c>
      <c r="CI24" s="523"/>
      <c r="CJ24" s="524">
        <f t="shared" si="27"/>
        <v>0</v>
      </c>
      <c r="CK24" s="525">
        <f t="shared" si="139"/>
        <v>0</v>
      </c>
      <c r="CL24" s="523"/>
      <c r="CM24" s="524">
        <f t="shared" si="28"/>
        <v>0</v>
      </c>
      <c r="CN24" s="525">
        <f t="shared" si="140"/>
        <v>0</v>
      </c>
      <c r="CO24" s="523"/>
      <c r="CP24" s="524">
        <f t="shared" si="29"/>
        <v>0</v>
      </c>
      <c r="CQ24" s="525">
        <f t="shared" si="141"/>
        <v>0</v>
      </c>
      <c r="CR24" s="523"/>
      <c r="CS24" s="524">
        <f t="shared" si="30"/>
        <v>0</v>
      </c>
      <c r="CT24" s="525">
        <f t="shared" si="142"/>
        <v>0</v>
      </c>
      <c r="CU24" s="523"/>
      <c r="CV24" s="524">
        <f t="shared" si="31"/>
        <v>0</v>
      </c>
      <c r="CW24" s="525">
        <f t="shared" si="143"/>
        <v>0</v>
      </c>
      <c r="CX24" s="523"/>
      <c r="CY24" s="524">
        <f t="shared" si="32"/>
        <v>0</v>
      </c>
      <c r="CZ24" s="525">
        <f t="shared" si="144"/>
        <v>0</v>
      </c>
      <c r="DA24" s="523">
        <v>116.2790697674418</v>
      </c>
      <c r="DB24" s="524">
        <f t="shared" si="33"/>
        <v>2.4930655382054803</v>
      </c>
      <c r="DC24" s="525">
        <f t="shared" si="145"/>
        <v>0</v>
      </c>
      <c r="DD24" s="523"/>
      <c r="DE24" s="524">
        <f t="shared" si="34"/>
        <v>0</v>
      </c>
      <c r="DF24" s="525">
        <f t="shared" si="146"/>
        <v>0</v>
      </c>
      <c r="DG24" s="523"/>
      <c r="DH24" s="524">
        <f t="shared" si="35"/>
        <v>0</v>
      </c>
      <c r="DI24" s="525">
        <f t="shared" si="203"/>
        <v>0</v>
      </c>
      <c r="DJ24" s="523"/>
      <c r="DK24" s="524">
        <f t="shared" si="36"/>
        <v>0</v>
      </c>
      <c r="DL24" s="525">
        <f t="shared" si="147"/>
        <v>0</v>
      </c>
      <c r="DM24" s="523"/>
      <c r="DN24" s="524">
        <f t="shared" si="37"/>
        <v>0</v>
      </c>
      <c r="DO24" s="525">
        <f t="shared" si="148"/>
        <v>0</v>
      </c>
      <c r="DP24" s="523"/>
      <c r="DQ24" s="524">
        <f t="shared" si="38"/>
        <v>0</v>
      </c>
      <c r="DR24" s="525">
        <f t="shared" si="149"/>
        <v>0</v>
      </c>
      <c r="DS24" s="523"/>
      <c r="DT24" s="524">
        <f t="shared" si="39"/>
        <v>0</v>
      </c>
      <c r="DU24" s="525">
        <f t="shared" si="150"/>
        <v>0</v>
      </c>
      <c r="DV24" s="523"/>
      <c r="DW24" s="524">
        <f t="shared" si="40"/>
        <v>0</v>
      </c>
      <c r="DX24" s="525">
        <f t="shared" si="151"/>
        <v>0</v>
      </c>
      <c r="DY24" s="523"/>
      <c r="DZ24" s="524">
        <f t="shared" si="41"/>
        <v>0</v>
      </c>
      <c r="EA24" s="525">
        <f t="shared" si="152"/>
        <v>0</v>
      </c>
      <c r="EB24" s="523"/>
      <c r="EC24" s="524">
        <f t="shared" si="42"/>
        <v>0</v>
      </c>
      <c r="ED24" s="525">
        <f t="shared" si="153"/>
        <v>0</v>
      </c>
      <c r="EE24" s="523">
        <v>14.534883720930225</v>
      </c>
      <c r="EF24" s="524">
        <f t="shared" si="43"/>
        <v>0.31163319227568503</v>
      </c>
      <c r="EG24" s="525">
        <f t="shared" si="154"/>
        <v>0</v>
      </c>
      <c r="EH24" s="523">
        <v>58.70588235294133</v>
      </c>
      <c r="EI24" s="524">
        <f t="shared" si="44"/>
        <v>1.2586754647829448</v>
      </c>
      <c r="EJ24" s="525">
        <f t="shared" si="155"/>
        <v>0</v>
      </c>
      <c r="EK24" s="523">
        <v>3</v>
      </c>
      <c r="EL24" s="524">
        <f t="shared" si="45"/>
        <v>6.4321090885701426E-2</v>
      </c>
      <c r="EM24" s="525">
        <f t="shared" si="156"/>
        <v>0</v>
      </c>
      <c r="EN24" s="523">
        <v>48.780487804877907</v>
      </c>
      <c r="EO24" s="524">
        <f t="shared" si="46"/>
        <v>1.0458713965154673</v>
      </c>
      <c r="EP24" s="525">
        <f t="shared" si="157"/>
        <v>0</v>
      </c>
      <c r="EQ24" s="523">
        <v>34.593023255813932</v>
      </c>
      <c r="ER24" s="524">
        <f t="shared" si="47"/>
        <v>0.74168699761613033</v>
      </c>
      <c r="ES24" s="525">
        <f t="shared" si="158"/>
        <v>0</v>
      </c>
      <c r="ET24" s="523"/>
      <c r="EU24" s="524">
        <f t="shared" si="48"/>
        <v>0</v>
      </c>
      <c r="EV24" s="525">
        <f t="shared" si="159"/>
        <v>0</v>
      </c>
      <c r="EW24" s="523"/>
      <c r="EX24" s="524">
        <f t="shared" si="49"/>
        <v>0</v>
      </c>
      <c r="EY24" s="525">
        <f t="shared" si="160"/>
        <v>0</v>
      </c>
      <c r="EZ24" s="523"/>
      <c r="FA24" s="524">
        <f t="shared" si="50"/>
        <v>0</v>
      </c>
      <c r="FB24" s="525">
        <f t="shared" si="161"/>
        <v>0</v>
      </c>
      <c r="FC24" s="523"/>
      <c r="FD24" s="524">
        <f t="shared" si="51"/>
        <v>0</v>
      </c>
      <c r="FE24" s="525">
        <f t="shared" si="162"/>
        <v>0</v>
      </c>
      <c r="FF24" s="523"/>
      <c r="FG24" s="524">
        <f t="shared" si="52"/>
        <v>0</v>
      </c>
      <c r="FH24" s="525">
        <f t="shared" si="163"/>
        <v>0</v>
      </c>
      <c r="FI24" s="523"/>
      <c r="FJ24" s="524">
        <f t="shared" si="53"/>
        <v>0</v>
      </c>
      <c r="FK24" s="525">
        <f t="shared" si="164"/>
        <v>0</v>
      </c>
      <c r="FL24" s="523"/>
      <c r="FM24" s="524">
        <f t="shared" si="54"/>
        <v>0</v>
      </c>
      <c r="FN24" s="525">
        <f t="shared" si="165"/>
        <v>0</v>
      </c>
      <c r="FO24" s="523"/>
      <c r="FP24" s="524">
        <f t="shared" si="55"/>
        <v>0</v>
      </c>
      <c r="FQ24" s="525">
        <f t="shared" si="166"/>
        <v>0</v>
      </c>
      <c r="FR24" s="523"/>
      <c r="FS24" s="524">
        <f t="shared" si="56"/>
        <v>0</v>
      </c>
      <c r="FT24" s="525">
        <f t="shared" si="167"/>
        <v>0</v>
      </c>
      <c r="FU24" s="523"/>
      <c r="FV24" s="524">
        <f t="shared" si="57"/>
        <v>0</v>
      </c>
      <c r="FW24" s="525">
        <f t="shared" si="168"/>
        <v>0</v>
      </c>
      <c r="FX24" s="523"/>
      <c r="FY24" s="524">
        <f t="shared" si="58"/>
        <v>0</v>
      </c>
      <c r="FZ24" s="525">
        <f t="shared" si="169"/>
        <v>0</v>
      </c>
      <c r="GA24" s="523"/>
      <c r="GB24" s="524">
        <f t="shared" si="59"/>
        <v>0</v>
      </c>
      <c r="GC24" s="525">
        <f t="shared" si="170"/>
        <v>0</v>
      </c>
      <c r="GD24" s="523"/>
      <c r="GE24" s="524">
        <f t="shared" si="60"/>
        <v>0</v>
      </c>
      <c r="GF24" s="525">
        <f t="shared" si="171"/>
        <v>0</v>
      </c>
      <c r="GG24" s="523"/>
      <c r="GH24" s="524">
        <f t="shared" si="61"/>
        <v>0</v>
      </c>
      <c r="GI24" s="525">
        <f t="shared" si="172"/>
        <v>0</v>
      </c>
      <c r="GJ24" s="523"/>
      <c r="GK24" s="524">
        <f t="shared" si="62"/>
        <v>0</v>
      </c>
      <c r="GL24" s="525">
        <f t="shared" si="173"/>
        <v>0</v>
      </c>
      <c r="GM24" s="523"/>
      <c r="GN24" s="524">
        <f t="shared" si="63"/>
        <v>0</v>
      </c>
      <c r="GO24" s="525">
        <f t="shared" si="174"/>
        <v>0</v>
      </c>
      <c r="GP24" s="523"/>
      <c r="GQ24" s="524">
        <f t="shared" si="64"/>
        <v>0</v>
      </c>
      <c r="GR24" s="525">
        <f t="shared" si="175"/>
        <v>0</v>
      </c>
      <c r="GS24" s="523"/>
      <c r="GT24" s="524">
        <f t="shared" si="65"/>
        <v>0</v>
      </c>
      <c r="GU24" s="525">
        <f t="shared" si="176"/>
        <v>0</v>
      </c>
      <c r="GV24" s="523"/>
      <c r="GW24" s="524">
        <f t="shared" si="66"/>
        <v>0</v>
      </c>
      <c r="GX24" s="525">
        <f t="shared" si="177"/>
        <v>0</v>
      </c>
      <c r="GY24" s="523"/>
      <c r="GZ24" s="524">
        <f t="shared" si="67"/>
        <v>0</v>
      </c>
      <c r="HA24" s="525">
        <f t="shared" si="178"/>
        <v>0</v>
      </c>
      <c r="HB24" s="523"/>
      <c r="HC24" s="524">
        <f t="shared" si="68"/>
        <v>0</v>
      </c>
      <c r="HD24" s="525">
        <f t="shared" si="179"/>
        <v>0</v>
      </c>
      <c r="HE24" s="523"/>
      <c r="HF24" s="524">
        <f t="shared" si="69"/>
        <v>0</v>
      </c>
      <c r="HG24" s="525">
        <f t="shared" si="180"/>
        <v>0</v>
      </c>
      <c r="HH24" s="523"/>
      <c r="HI24" s="524">
        <f t="shared" si="70"/>
        <v>0</v>
      </c>
      <c r="HJ24" s="525">
        <f t="shared" si="181"/>
        <v>0</v>
      </c>
      <c r="HK24" s="523"/>
      <c r="HL24" s="524">
        <f t="shared" si="71"/>
        <v>0</v>
      </c>
      <c r="HM24" s="525">
        <f t="shared" si="182"/>
        <v>0</v>
      </c>
      <c r="HN24" s="523"/>
      <c r="HO24" s="524">
        <f t="shared" si="72"/>
        <v>0</v>
      </c>
      <c r="HP24" s="525">
        <f t="shared" si="183"/>
        <v>0</v>
      </c>
      <c r="HQ24" s="523"/>
      <c r="HR24" s="524">
        <f t="shared" si="73"/>
        <v>0</v>
      </c>
      <c r="HS24" s="525">
        <f t="shared" si="184"/>
        <v>0</v>
      </c>
      <c r="HT24" s="523"/>
      <c r="HU24" s="524">
        <f t="shared" si="74"/>
        <v>0</v>
      </c>
      <c r="HV24" s="525">
        <f t="shared" si="185"/>
        <v>0</v>
      </c>
      <c r="HW24" s="523"/>
      <c r="HX24" s="524">
        <f t="shared" si="75"/>
        <v>0</v>
      </c>
      <c r="HY24" s="525">
        <f t="shared" si="186"/>
        <v>0</v>
      </c>
      <c r="HZ24" s="523"/>
      <c r="IA24" s="524">
        <f t="shared" si="76"/>
        <v>0</v>
      </c>
      <c r="IB24" s="525">
        <f t="shared" si="187"/>
        <v>0</v>
      </c>
      <c r="IC24" s="523"/>
      <c r="ID24" s="524">
        <f t="shared" si="77"/>
        <v>0</v>
      </c>
      <c r="IE24" s="525">
        <f t="shared" si="188"/>
        <v>0</v>
      </c>
      <c r="IF24" s="523"/>
      <c r="IG24" s="524">
        <f t="shared" si="78"/>
        <v>0</v>
      </c>
      <c r="IH24" s="525">
        <f t="shared" si="189"/>
        <v>0</v>
      </c>
      <c r="II24" s="523"/>
      <c r="IJ24" s="524">
        <f t="shared" si="79"/>
        <v>0</v>
      </c>
      <c r="IK24" s="525">
        <f t="shared" si="190"/>
        <v>0</v>
      </c>
      <c r="IL24" s="523"/>
      <c r="IM24" s="524">
        <f t="shared" si="80"/>
        <v>0</v>
      </c>
      <c r="IN24" s="525">
        <f t="shared" si="191"/>
        <v>0</v>
      </c>
      <c r="IO24" s="523"/>
      <c r="IP24" s="524">
        <f t="shared" si="81"/>
        <v>0</v>
      </c>
      <c r="IQ24" s="525">
        <f t="shared" si="192"/>
        <v>0</v>
      </c>
      <c r="IR24" s="523"/>
      <c r="IS24" s="524">
        <f t="shared" si="82"/>
        <v>0</v>
      </c>
      <c r="IT24" s="525">
        <f t="shared" si="193"/>
        <v>0</v>
      </c>
      <c r="IU24" s="523"/>
      <c r="IV24" s="524">
        <f t="shared" si="83"/>
        <v>0</v>
      </c>
      <c r="IW24" s="525">
        <f t="shared" si="194"/>
        <v>0</v>
      </c>
      <c r="IX24" s="523"/>
      <c r="IY24" s="524">
        <f t="shared" si="84"/>
        <v>0</v>
      </c>
      <c r="IZ24" s="525">
        <f t="shared" si="195"/>
        <v>0</v>
      </c>
      <c r="JA24" s="523"/>
      <c r="JB24" s="524">
        <f t="shared" si="85"/>
        <v>0</v>
      </c>
      <c r="JC24" s="525">
        <f t="shared" si="196"/>
        <v>0</v>
      </c>
      <c r="JD24" s="523"/>
      <c r="JE24" s="524">
        <f t="shared" si="86"/>
        <v>0</v>
      </c>
      <c r="JF24" s="525">
        <f t="shared" si="197"/>
        <v>0</v>
      </c>
      <c r="JG24" s="523"/>
      <c r="JH24" s="524">
        <f t="shared" si="87"/>
        <v>0</v>
      </c>
      <c r="JI24" s="525">
        <f t="shared" si="198"/>
        <v>0</v>
      </c>
      <c r="JJ24" s="523"/>
      <c r="JK24" s="525" t="str">
        <f t="shared" si="88"/>
        <v>0</v>
      </c>
      <c r="JL24" s="525" t="str">
        <f t="shared" si="89"/>
        <v>0</v>
      </c>
      <c r="JM24" s="523"/>
      <c r="JN24" s="525" t="str">
        <f t="shared" si="90"/>
        <v>0</v>
      </c>
      <c r="JO24" s="525" t="str">
        <f t="shared" si="91"/>
        <v>0</v>
      </c>
      <c r="JP24" s="523"/>
      <c r="JQ24" s="525" t="str">
        <f t="shared" si="92"/>
        <v>0</v>
      </c>
      <c r="JR24" s="525" t="str">
        <f t="shared" si="93"/>
        <v>0</v>
      </c>
      <c r="JS24" s="523"/>
      <c r="JT24" s="525" t="str">
        <f t="shared" si="94"/>
        <v>0</v>
      </c>
      <c r="JU24" s="525" t="str">
        <f t="shared" si="95"/>
        <v>0</v>
      </c>
      <c r="JV24" s="523"/>
      <c r="JW24" s="525" t="str">
        <f t="shared" si="96"/>
        <v>0</v>
      </c>
      <c r="JX24" s="525" t="str">
        <f t="shared" si="97"/>
        <v>0</v>
      </c>
      <c r="JY24" s="523"/>
      <c r="JZ24" s="525" t="str">
        <f t="shared" si="98"/>
        <v>0</v>
      </c>
      <c r="KA24" s="525" t="str">
        <f t="shared" si="99"/>
        <v>0</v>
      </c>
      <c r="KB24" s="523"/>
      <c r="KC24" s="525" t="str">
        <f t="shared" si="100"/>
        <v>0</v>
      </c>
      <c r="KD24" s="525" t="str">
        <f t="shared" si="101"/>
        <v>0</v>
      </c>
      <c r="KE24" s="523"/>
      <c r="KF24" s="525" t="str">
        <f t="shared" si="102"/>
        <v>0</v>
      </c>
      <c r="KG24" s="525" t="str">
        <f t="shared" si="103"/>
        <v>0</v>
      </c>
      <c r="KH24" s="523"/>
      <c r="KI24" s="525" t="str">
        <f t="shared" si="104"/>
        <v>0</v>
      </c>
      <c r="KJ24" s="525" t="str">
        <f t="shared" si="105"/>
        <v>0</v>
      </c>
      <c r="KK24" s="523"/>
      <c r="KL24" s="525" t="str">
        <f t="shared" si="106"/>
        <v>0</v>
      </c>
      <c r="KM24" s="525" t="str">
        <f t="shared" si="107"/>
        <v>0</v>
      </c>
      <c r="KN24" s="523"/>
      <c r="KO24" s="525" t="str">
        <f t="shared" si="108"/>
        <v>0</v>
      </c>
      <c r="KP24" s="525" t="str">
        <f t="shared" si="109"/>
        <v>0</v>
      </c>
      <c r="KQ24" s="523"/>
      <c r="KR24" s="525" t="str">
        <f t="shared" si="110"/>
        <v>0</v>
      </c>
      <c r="KS24" s="525" t="str">
        <f t="shared" si="111"/>
        <v>0</v>
      </c>
      <c r="KT24" s="525">
        <f t="shared" si="201"/>
        <v>0</v>
      </c>
      <c r="KU24" s="525">
        <f t="shared" si="202"/>
        <v>0</v>
      </c>
      <c r="KV24" s="261">
        <f t="shared" si="199"/>
        <v>296.83084690200519</v>
      </c>
    </row>
    <row r="25" spans="1:308">
      <c r="A25" s="262">
        <f t="shared" si="200"/>
        <v>46129</v>
      </c>
      <c r="B25" s="263" t="str">
        <f>+Report1!B25</f>
        <v>Toilet</v>
      </c>
      <c r="C25" s="263" t="str">
        <f>+Report1!C25</f>
        <v>13</v>
      </c>
      <c r="D25" s="264">
        <f>+Report1!P25</f>
        <v>43.152000000000001</v>
      </c>
      <c r="E25" s="556">
        <f>+Report1!R25</f>
        <v>42.759</v>
      </c>
      <c r="F25" s="523"/>
      <c r="G25" s="524">
        <f t="shared" si="0"/>
        <v>0</v>
      </c>
      <c r="H25" s="525">
        <f t="shared" si="112"/>
        <v>0</v>
      </c>
      <c r="I25" s="523"/>
      <c r="J25" s="524">
        <f t="shared" si="1"/>
        <v>0</v>
      </c>
      <c r="K25" s="525">
        <f t="shared" si="113"/>
        <v>0</v>
      </c>
      <c r="L25" s="523"/>
      <c r="M25" s="524">
        <f t="shared" si="2"/>
        <v>0</v>
      </c>
      <c r="N25" s="525">
        <f t="shared" si="114"/>
        <v>0</v>
      </c>
      <c r="O25" s="523">
        <v>6</v>
      </c>
      <c r="P25" s="524">
        <f t="shared" si="3"/>
        <v>0.14032133585911738</v>
      </c>
      <c r="Q25" s="525">
        <f t="shared" si="115"/>
        <v>0</v>
      </c>
      <c r="R25" s="523"/>
      <c r="S25" s="524">
        <f t="shared" si="4"/>
        <v>0</v>
      </c>
      <c r="T25" s="525">
        <f t="shared" si="116"/>
        <v>0</v>
      </c>
      <c r="U25" s="523">
        <v>7.6875</v>
      </c>
      <c r="V25" s="524">
        <f t="shared" si="5"/>
        <v>0.17978671156949413</v>
      </c>
      <c r="W25" s="525">
        <f t="shared" si="117"/>
        <v>0</v>
      </c>
      <c r="X25" s="523"/>
      <c r="Y25" s="524">
        <f t="shared" si="6"/>
        <v>0</v>
      </c>
      <c r="Z25" s="525">
        <f t="shared" si="118"/>
        <v>0</v>
      </c>
      <c r="AA25" s="523">
        <v>7.8125</v>
      </c>
      <c r="AB25" s="524">
        <f t="shared" si="7"/>
        <v>0.18271007273322576</v>
      </c>
      <c r="AC25" s="525">
        <f t="shared" si="119"/>
        <v>0</v>
      </c>
      <c r="AD25" s="523"/>
      <c r="AE25" s="524">
        <f t="shared" si="8"/>
        <v>0</v>
      </c>
      <c r="AF25" s="525">
        <f t="shared" si="120"/>
        <v>0</v>
      </c>
      <c r="AG25" s="523"/>
      <c r="AH25" s="524">
        <f t="shared" si="9"/>
        <v>0</v>
      </c>
      <c r="AI25" s="525">
        <f t="shared" si="121"/>
        <v>0</v>
      </c>
      <c r="AJ25" s="523"/>
      <c r="AK25" s="524">
        <f t="shared" si="10"/>
        <v>0</v>
      </c>
      <c r="AL25" s="525">
        <f t="shared" si="122"/>
        <v>0</v>
      </c>
      <c r="AM25" s="523"/>
      <c r="AN25" s="524">
        <f t="shared" si="11"/>
        <v>0</v>
      </c>
      <c r="AO25" s="525">
        <f t="shared" si="123"/>
        <v>0</v>
      </c>
      <c r="AP25" s="523"/>
      <c r="AQ25" s="524">
        <f t="shared" si="12"/>
        <v>0</v>
      </c>
      <c r="AR25" s="525">
        <f t="shared" si="124"/>
        <v>0</v>
      </c>
      <c r="AS25" s="523"/>
      <c r="AT25" s="524">
        <f t="shared" si="13"/>
        <v>0</v>
      </c>
      <c r="AU25" s="525">
        <f t="shared" si="125"/>
        <v>0</v>
      </c>
      <c r="AV25" s="523"/>
      <c r="AW25" s="524">
        <f t="shared" si="14"/>
        <v>0</v>
      </c>
      <c r="AX25" s="525">
        <f t="shared" si="126"/>
        <v>0</v>
      </c>
      <c r="AY25" s="523"/>
      <c r="AZ25" s="524">
        <f t="shared" si="15"/>
        <v>0</v>
      </c>
      <c r="BA25" s="525">
        <f t="shared" si="127"/>
        <v>0</v>
      </c>
      <c r="BB25" s="523"/>
      <c r="BC25" s="524">
        <f t="shared" si="16"/>
        <v>0</v>
      </c>
      <c r="BD25" s="525">
        <f t="shared" si="128"/>
        <v>0</v>
      </c>
      <c r="BE25" s="523"/>
      <c r="BF25" s="524">
        <f t="shared" si="17"/>
        <v>0</v>
      </c>
      <c r="BG25" s="525">
        <f t="shared" si="129"/>
        <v>0</v>
      </c>
      <c r="BH25" s="523"/>
      <c r="BI25" s="524">
        <f t="shared" si="18"/>
        <v>0</v>
      </c>
      <c r="BJ25" s="525">
        <f t="shared" si="130"/>
        <v>0</v>
      </c>
      <c r="BK25" s="523"/>
      <c r="BL25" s="524">
        <f t="shared" si="19"/>
        <v>0</v>
      </c>
      <c r="BM25" s="525">
        <f t="shared" si="131"/>
        <v>0</v>
      </c>
      <c r="BN25" s="523"/>
      <c r="BO25" s="524">
        <f t="shared" si="20"/>
        <v>0</v>
      </c>
      <c r="BP25" s="525">
        <f t="shared" si="132"/>
        <v>0</v>
      </c>
      <c r="BQ25" s="523"/>
      <c r="BR25" s="524">
        <f t="shared" si="21"/>
        <v>0</v>
      </c>
      <c r="BS25" s="525">
        <f t="shared" si="133"/>
        <v>0</v>
      </c>
      <c r="BT25" s="523"/>
      <c r="BU25" s="524">
        <f t="shared" si="22"/>
        <v>0</v>
      </c>
      <c r="BV25" s="525">
        <f t="shared" si="134"/>
        <v>0</v>
      </c>
      <c r="BW25" s="523"/>
      <c r="BX25" s="524">
        <f t="shared" si="23"/>
        <v>0</v>
      </c>
      <c r="BY25" s="525">
        <f t="shared" si="135"/>
        <v>0</v>
      </c>
      <c r="BZ25" s="523"/>
      <c r="CA25" s="524">
        <f t="shared" si="24"/>
        <v>0</v>
      </c>
      <c r="CB25" s="525">
        <f t="shared" si="136"/>
        <v>0</v>
      </c>
      <c r="CC25" s="523"/>
      <c r="CD25" s="524">
        <f t="shared" si="25"/>
        <v>0</v>
      </c>
      <c r="CE25" s="525">
        <f t="shared" si="137"/>
        <v>0</v>
      </c>
      <c r="CF25" s="523">
        <v>1</v>
      </c>
      <c r="CG25" s="524">
        <f t="shared" si="26"/>
        <v>2.3386889309852898E-2</v>
      </c>
      <c r="CH25" s="525">
        <f t="shared" si="138"/>
        <v>0</v>
      </c>
      <c r="CI25" s="523"/>
      <c r="CJ25" s="524">
        <f t="shared" si="27"/>
        <v>0</v>
      </c>
      <c r="CK25" s="525">
        <f t="shared" si="139"/>
        <v>0</v>
      </c>
      <c r="CL25" s="523"/>
      <c r="CM25" s="524">
        <f t="shared" si="28"/>
        <v>0</v>
      </c>
      <c r="CN25" s="525">
        <f t="shared" si="140"/>
        <v>0</v>
      </c>
      <c r="CO25" s="523"/>
      <c r="CP25" s="524">
        <f t="shared" si="29"/>
        <v>0</v>
      </c>
      <c r="CQ25" s="525">
        <f t="shared" si="141"/>
        <v>0</v>
      </c>
      <c r="CR25" s="523"/>
      <c r="CS25" s="524">
        <f t="shared" si="30"/>
        <v>0</v>
      </c>
      <c r="CT25" s="525">
        <f t="shared" si="142"/>
        <v>0</v>
      </c>
      <c r="CU25" s="523"/>
      <c r="CV25" s="524">
        <f t="shared" si="31"/>
        <v>0</v>
      </c>
      <c r="CW25" s="525">
        <f t="shared" si="143"/>
        <v>0</v>
      </c>
      <c r="CX25" s="523"/>
      <c r="CY25" s="524">
        <f t="shared" si="32"/>
        <v>0</v>
      </c>
      <c r="CZ25" s="525">
        <f t="shared" si="144"/>
        <v>0</v>
      </c>
      <c r="DA25" s="523">
        <v>72.674418604651237</v>
      </c>
      <c r="DB25" s="524">
        <f t="shared" si="33"/>
        <v>1.6996285835648925</v>
      </c>
      <c r="DC25" s="525">
        <f t="shared" si="145"/>
        <v>0</v>
      </c>
      <c r="DD25" s="523"/>
      <c r="DE25" s="524">
        <f t="shared" si="34"/>
        <v>0</v>
      </c>
      <c r="DF25" s="525">
        <f t="shared" si="146"/>
        <v>0</v>
      </c>
      <c r="DG25" s="523"/>
      <c r="DH25" s="524">
        <f t="shared" si="35"/>
        <v>0</v>
      </c>
      <c r="DI25" s="525">
        <f t="shared" si="203"/>
        <v>0</v>
      </c>
      <c r="DJ25" s="523"/>
      <c r="DK25" s="524">
        <f t="shared" si="36"/>
        <v>0</v>
      </c>
      <c r="DL25" s="525">
        <f t="shared" si="147"/>
        <v>0</v>
      </c>
      <c r="DM25" s="523"/>
      <c r="DN25" s="524">
        <f t="shared" si="37"/>
        <v>0</v>
      </c>
      <c r="DO25" s="525">
        <f t="shared" si="148"/>
        <v>0</v>
      </c>
      <c r="DP25" s="523"/>
      <c r="DQ25" s="524">
        <f t="shared" si="38"/>
        <v>0</v>
      </c>
      <c r="DR25" s="525">
        <f t="shared" si="149"/>
        <v>0</v>
      </c>
      <c r="DS25" s="523"/>
      <c r="DT25" s="524">
        <f t="shared" si="39"/>
        <v>0</v>
      </c>
      <c r="DU25" s="525">
        <f t="shared" si="150"/>
        <v>0</v>
      </c>
      <c r="DV25" s="523"/>
      <c r="DW25" s="524">
        <f t="shared" si="40"/>
        <v>0</v>
      </c>
      <c r="DX25" s="525">
        <f t="shared" si="151"/>
        <v>0</v>
      </c>
      <c r="DY25" s="523"/>
      <c r="DZ25" s="524">
        <f t="shared" si="41"/>
        <v>0</v>
      </c>
      <c r="EA25" s="525">
        <f t="shared" si="152"/>
        <v>0</v>
      </c>
      <c r="EB25" s="523"/>
      <c r="EC25" s="524">
        <f t="shared" si="42"/>
        <v>0</v>
      </c>
      <c r="ED25" s="525">
        <f t="shared" si="153"/>
        <v>0</v>
      </c>
      <c r="EE25" s="523">
        <v>14.534883720930239</v>
      </c>
      <c r="EF25" s="524">
        <f t="shared" si="43"/>
        <v>0.33992571671297828</v>
      </c>
      <c r="EG25" s="525">
        <f t="shared" si="154"/>
        <v>0</v>
      </c>
      <c r="EH25" s="523">
        <v>70.447058823529346</v>
      </c>
      <c r="EI25" s="524">
        <f t="shared" si="44"/>
        <v>1.6475375669105765</v>
      </c>
      <c r="EJ25" s="525">
        <f t="shared" si="155"/>
        <v>0</v>
      </c>
      <c r="EK25" s="523">
        <v>3</v>
      </c>
      <c r="EL25" s="524">
        <f t="shared" si="45"/>
        <v>7.016066792955869E-2</v>
      </c>
      <c r="EM25" s="525">
        <f t="shared" si="156"/>
        <v>0</v>
      </c>
      <c r="EN25" s="523">
        <v>36.585365853658573</v>
      </c>
      <c r="EO25" s="524">
        <f t="shared" si="46"/>
        <v>0.85561790157998485</v>
      </c>
      <c r="EP25" s="525">
        <f t="shared" si="157"/>
        <v>0</v>
      </c>
      <c r="EQ25" s="523">
        <v>39.534883720930225</v>
      </c>
      <c r="ER25" s="524">
        <f t="shared" si="47"/>
        <v>0.92459794945930041</v>
      </c>
      <c r="ES25" s="525">
        <f t="shared" si="158"/>
        <v>0</v>
      </c>
      <c r="ET25" s="523"/>
      <c r="EU25" s="524">
        <f t="shared" si="48"/>
        <v>0</v>
      </c>
      <c r="EV25" s="525">
        <f t="shared" si="159"/>
        <v>0</v>
      </c>
      <c r="EW25" s="523"/>
      <c r="EX25" s="524">
        <f t="shared" si="49"/>
        <v>0</v>
      </c>
      <c r="EY25" s="525">
        <f t="shared" si="160"/>
        <v>0</v>
      </c>
      <c r="EZ25" s="523"/>
      <c r="FA25" s="524">
        <f t="shared" si="50"/>
        <v>0</v>
      </c>
      <c r="FB25" s="525">
        <f t="shared" si="161"/>
        <v>0</v>
      </c>
      <c r="FC25" s="523"/>
      <c r="FD25" s="524">
        <f t="shared" si="51"/>
        <v>0</v>
      </c>
      <c r="FE25" s="525">
        <f t="shared" si="162"/>
        <v>0</v>
      </c>
      <c r="FF25" s="523"/>
      <c r="FG25" s="524">
        <f t="shared" si="52"/>
        <v>0</v>
      </c>
      <c r="FH25" s="525">
        <f t="shared" si="163"/>
        <v>0</v>
      </c>
      <c r="FI25" s="523"/>
      <c r="FJ25" s="524">
        <f t="shared" si="53"/>
        <v>0</v>
      </c>
      <c r="FK25" s="525">
        <f t="shared" si="164"/>
        <v>0</v>
      </c>
      <c r="FL25" s="523"/>
      <c r="FM25" s="524">
        <f t="shared" si="54"/>
        <v>0</v>
      </c>
      <c r="FN25" s="525">
        <f t="shared" si="165"/>
        <v>0</v>
      </c>
      <c r="FO25" s="523"/>
      <c r="FP25" s="524">
        <f t="shared" si="55"/>
        <v>0</v>
      </c>
      <c r="FQ25" s="525">
        <f t="shared" si="166"/>
        <v>0</v>
      </c>
      <c r="FR25" s="523"/>
      <c r="FS25" s="524">
        <f t="shared" si="56"/>
        <v>0</v>
      </c>
      <c r="FT25" s="525">
        <f t="shared" si="167"/>
        <v>0</v>
      </c>
      <c r="FU25" s="523"/>
      <c r="FV25" s="524">
        <f t="shared" si="57"/>
        <v>0</v>
      </c>
      <c r="FW25" s="525">
        <f t="shared" si="168"/>
        <v>0</v>
      </c>
      <c r="FX25" s="523"/>
      <c r="FY25" s="524">
        <f t="shared" si="58"/>
        <v>0</v>
      </c>
      <c r="FZ25" s="525">
        <f t="shared" si="169"/>
        <v>0</v>
      </c>
      <c r="GA25" s="523"/>
      <c r="GB25" s="524">
        <f t="shared" si="59"/>
        <v>0</v>
      </c>
      <c r="GC25" s="525">
        <f t="shared" si="170"/>
        <v>0</v>
      </c>
      <c r="GD25" s="523"/>
      <c r="GE25" s="524">
        <f t="shared" si="60"/>
        <v>0</v>
      </c>
      <c r="GF25" s="525">
        <f t="shared" si="171"/>
        <v>0</v>
      </c>
      <c r="GG25" s="523"/>
      <c r="GH25" s="524">
        <f t="shared" si="61"/>
        <v>0</v>
      </c>
      <c r="GI25" s="525">
        <f t="shared" si="172"/>
        <v>0</v>
      </c>
      <c r="GJ25" s="523"/>
      <c r="GK25" s="524">
        <f t="shared" si="62"/>
        <v>0</v>
      </c>
      <c r="GL25" s="525">
        <f t="shared" si="173"/>
        <v>0</v>
      </c>
      <c r="GM25" s="523"/>
      <c r="GN25" s="524">
        <f t="shared" si="63"/>
        <v>0</v>
      </c>
      <c r="GO25" s="525">
        <f t="shared" si="174"/>
        <v>0</v>
      </c>
      <c r="GP25" s="523"/>
      <c r="GQ25" s="524">
        <f t="shared" si="64"/>
        <v>0</v>
      </c>
      <c r="GR25" s="525">
        <f t="shared" si="175"/>
        <v>0</v>
      </c>
      <c r="GS25" s="523"/>
      <c r="GT25" s="524">
        <f t="shared" si="65"/>
        <v>0</v>
      </c>
      <c r="GU25" s="525">
        <f t="shared" si="176"/>
        <v>0</v>
      </c>
      <c r="GV25" s="523"/>
      <c r="GW25" s="524">
        <f t="shared" si="66"/>
        <v>0</v>
      </c>
      <c r="GX25" s="525">
        <f t="shared" si="177"/>
        <v>0</v>
      </c>
      <c r="GY25" s="523"/>
      <c r="GZ25" s="524">
        <f t="shared" si="67"/>
        <v>0</v>
      </c>
      <c r="HA25" s="525">
        <f t="shared" si="178"/>
        <v>0</v>
      </c>
      <c r="HB25" s="523"/>
      <c r="HC25" s="524">
        <f t="shared" si="68"/>
        <v>0</v>
      </c>
      <c r="HD25" s="525">
        <f t="shared" si="179"/>
        <v>0</v>
      </c>
      <c r="HE25" s="523"/>
      <c r="HF25" s="524">
        <f t="shared" si="69"/>
        <v>0</v>
      </c>
      <c r="HG25" s="525">
        <f t="shared" si="180"/>
        <v>0</v>
      </c>
      <c r="HH25" s="523"/>
      <c r="HI25" s="524">
        <f t="shared" si="70"/>
        <v>0</v>
      </c>
      <c r="HJ25" s="525">
        <f t="shared" si="181"/>
        <v>0</v>
      </c>
      <c r="HK25" s="523"/>
      <c r="HL25" s="524">
        <f t="shared" si="71"/>
        <v>0</v>
      </c>
      <c r="HM25" s="525">
        <f t="shared" si="182"/>
        <v>0</v>
      </c>
      <c r="HN25" s="523"/>
      <c r="HO25" s="524">
        <f t="shared" si="72"/>
        <v>0</v>
      </c>
      <c r="HP25" s="525">
        <f t="shared" si="183"/>
        <v>0</v>
      </c>
      <c r="HQ25" s="523"/>
      <c r="HR25" s="524">
        <f t="shared" si="73"/>
        <v>0</v>
      </c>
      <c r="HS25" s="525">
        <f t="shared" si="184"/>
        <v>0</v>
      </c>
      <c r="HT25" s="523"/>
      <c r="HU25" s="524">
        <f t="shared" si="74"/>
        <v>0</v>
      </c>
      <c r="HV25" s="525">
        <f t="shared" si="185"/>
        <v>0</v>
      </c>
      <c r="HW25" s="523"/>
      <c r="HX25" s="524">
        <f t="shared" si="75"/>
        <v>0</v>
      </c>
      <c r="HY25" s="525">
        <f t="shared" si="186"/>
        <v>0</v>
      </c>
      <c r="HZ25" s="523"/>
      <c r="IA25" s="524">
        <f t="shared" si="76"/>
        <v>0</v>
      </c>
      <c r="IB25" s="525">
        <f t="shared" si="187"/>
        <v>0</v>
      </c>
      <c r="IC25" s="523"/>
      <c r="ID25" s="524">
        <f t="shared" si="77"/>
        <v>0</v>
      </c>
      <c r="IE25" s="525">
        <f t="shared" si="188"/>
        <v>0</v>
      </c>
      <c r="IF25" s="523"/>
      <c r="IG25" s="524">
        <f t="shared" si="78"/>
        <v>0</v>
      </c>
      <c r="IH25" s="525">
        <f t="shared" si="189"/>
        <v>0</v>
      </c>
      <c r="II25" s="523"/>
      <c r="IJ25" s="524">
        <f t="shared" si="79"/>
        <v>0</v>
      </c>
      <c r="IK25" s="525">
        <f t="shared" si="190"/>
        <v>0</v>
      </c>
      <c r="IL25" s="523"/>
      <c r="IM25" s="524">
        <f t="shared" si="80"/>
        <v>0</v>
      </c>
      <c r="IN25" s="525">
        <f t="shared" si="191"/>
        <v>0</v>
      </c>
      <c r="IO25" s="523"/>
      <c r="IP25" s="524">
        <f t="shared" si="81"/>
        <v>0</v>
      </c>
      <c r="IQ25" s="525">
        <f t="shared" si="192"/>
        <v>0</v>
      </c>
      <c r="IR25" s="523"/>
      <c r="IS25" s="524">
        <f t="shared" si="82"/>
        <v>0</v>
      </c>
      <c r="IT25" s="525">
        <f t="shared" si="193"/>
        <v>0</v>
      </c>
      <c r="IU25" s="523"/>
      <c r="IV25" s="524">
        <f t="shared" si="83"/>
        <v>0</v>
      </c>
      <c r="IW25" s="525">
        <f t="shared" si="194"/>
        <v>0</v>
      </c>
      <c r="IX25" s="523"/>
      <c r="IY25" s="524">
        <f t="shared" si="84"/>
        <v>0</v>
      </c>
      <c r="IZ25" s="525">
        <f t="shared" si="195"/>
        <v>0</v>
      </c>
      <c r="JA25" s="523"/>
      <c r="JB25" s="524">
        <f t="shared" si="85"/>
        <v>0</v>
      </c>
      <c r="JC25" s="525">
        <f t="shared" si="196"/>
        <v>0</v>
      </c>
      <c r="JD25" s="523"/>
      <c r="JE25" s="524">
        <f t="shared" si="86"/>
        <v>0</v>
      </c>
      <c r="JF25" s="525">
        <f t="shared" si="197"/>
        <v>0</v>
      </c>
      <c r="JG25" s="523"/>
      <c r="JH25" s="524">
        <f t="shared" si="87"/>
        <v>0</v>
      </c>
      <c r="JI25" s="525">
        <f t="shared" si="198"/>
        <v>0</v>
      </c>
      <c r="JJ25" s="523"/>
      <c r="JK25" s="525" t="str">
        <f t="shared" si="88"/>
        <v>0</v>
      </c>
      <c r="JL25" s="525" t="str">
        <f t="shared" si="89"/>
        <v>0</v>
      </c>
      <c r="JM25" s="523"/>
      <c r="JN25" s="525" t="str">
        <f t="shared" si="90"/>
        <v>0</v>
      </c>
      <c r="JO25" s="525" t="str">
        <f t="shared" si="91"/>
        <v>0</v>
      </c>
      <c r="JP25" s="523"/>
      <c r="JQ25" s="525" t="str">
        <f t="shared" si="92"/>
        <v>0</v>
      </c>
      <c r="JR25" s="525" t="str">
        <f t="shared" si="93"/>
        <v>0</v>
      </c>
      <c r="JS25" s="523"/>
      <c r="JT25" s="525" t="str">
        <f t="shared" si="94"/>
        <v>0</v>
      </c>
      <c r="JU25" s="525" t="str">
        <f t="shared" si="95"/>
        <v>0</v>
      </c>
      <c r="JV25" s="523"/>
      <c r="JW25" s="525" t="str">
        <f t="shared" si="96"/>
        <v>0</v>
      </c>
      <c r="JX25" s="525" t="str">
        <f t="shared" si="97"/>
        <v>0</v>
      </c>
      <c r="JY25" s="523"/>
      <c r="JZ25" s="525" t="str">
        <f t="shared" si="98"/>
        <v>0</v>
      </c>
      <c r="KA25" s="525" t="str">
        <f t="shared" si="99"/>
        <v>0</v>
      </c>
      <c r="KB25" s="523"/>
      <c r="KC25" s="525" t="str">
        <f t="shared" si="100"/>
        <v>0</v>
      </c>
      <c r="KD25" s="525" t="str">
        <f t="shared" si="101"/>
        <v>0</v>
      </c>
      <c r="KE25" s="523"/>
      <c r="KF25" s="525" t="str">
        <f t="shared" si="102"/>
        <v>0</v>
      </c>
      <c r="KG25" s="525" t="str">
        <f t="shared" si="103"/>
        <v>0</v>
      </c>
      <c r="KH25" s="523"/>
      <c r="KI25" s="525" t="str">
        <f t="shared" si="104"/>
        <v>0</v>
      </c>
      <c r="KJ25" s="525" t="str">
        <f t="shared" si="105"/>
        <v>0</v>
      </c>
      <c r="KK25" s="523"/>
      <c r="KL25" s="525" t="str">
        <f t="shared" si="106"/>
        <v>0</v>
      </c>
      <c r="KM25" s="525" t="str">
        <f t="shared" si="107"/>
        <v>0</v>
      </c>
      <c r="KN25" s="523"/>
      <c r="KO25" s="525" t="str">
        <f t="shared" si="108"/>
        <v>0</v>
      </c>
      <c r="KP25" s="525" t="str">
        <f t="shared" si="109"/>
        <v>0</v>
      </c>
      <c r="KQ25" s="523"/>
      <c r="KR25" s="525" t="str">
        <f t="shared" si="110"/>
        <v>0</v>
      </c>
      <c r="KS25" s="525" t="str">
        <f t="shared" si="111"/>
        <v>0</v>
      </c>
      <c r="KT25" s="525">
        <f t="shared" si="201"/>
        <v>0</v>
      </c>
      <c r="KU25" s="525">
        <f t="shared" si="202"/>
        <v>0</v>
      </c>
      <c r="KV25" s="261">
        <f t="shared" si="199"/>
        <v>259.2766107236996</v>
      </c>
    </row>
    <row r="26" spans="1:308">
      <c r="A26" s="262">
        <f t="shared" si="200"/>
        <v>46130</v>
      </c>
      <c r="B26" s="263" t="str">
        <f>+Report1!B26</f>
        <v>Toilet</v>
      </c>
      <c r="C26" s="263" t="str">
        <f>+Report1!C26</f>
        <v>13/12/12,5</v>
      </c>
      <c r="D26" s="264">
        <f>+Report1!P26</f>
        <v>40.573999999999998</v>
      </c>
      <c r="E26" s="556">
        <f>+Report1!R26</f>
        <v>36.371000000000002</v>
      </c>
      <c r="F26" s="523"/>
      <c r="G26" s="524">
        <f t="shared" si="0"/>
        <v>0</v>
      </c>
      <c r="H26" s="525">
        <f t="shared" si="112"/>
        <v>0</v>
      </c>
      <c r="I26" s="523"/>
      <c r="J26" s="524">
        <f t="shared" si="1"/>
        <v>0</v>
      </c>
      <c r="K26" s="525">
        <f t="shared" si="113"/>
        <v>0</v>
      </c>
      <c r="L26" s="523"/>
      <c r="M26" s="524">
        <f t="shared" si="2"/>
        <v>0</v>
      </c>
      <c r="N26" s="525">
        <f t="shared" si="114"/>
        <v>0</v>
      </c>
      <c r="O26" s="523">
        <v>5.8532000000000011</v>
      </c>
      <c r="P26" s="524">
        <f t="shared" si="3"/>
        <v>0.16093041159165272</v>
      </c>
      <c r="Q26" s="525">
        <f t="shared" si="115"/>
        <v>0</v>
      </c>
      <c r="R26" s="523"/>
      <c r="S26" s="524">
        <f t="shared" si="4"/>
        <v>0</v>
      </c>
      <c r="T26" s="525">
        <f t="shared" si="116"/>
        <v>0</v>
      </c>
      <c r="U26" s="523">
        <v>7.4914999999999736</v>
      </c>
      <c r="V26" s="524">
        <f t="shared" si="5"/>
        <v>0.20597454015561775</v>
      </c>
      <c r="W26" s="525">
        <f t="shared" si="117"/>
        <v>0</v>
      </c>
      <c r="X26" s="523"/>
      <c r="Y26" s="524">
        <f t="shared" si="6"/>
        <v>0</v>
      </c>
      <c r="Z26" s="525">
        <f t="shared" si="118"/>
        <v>0</v>
      </c>
      <c r="AA26" s="523">
        <v>7.8125</v>
      </c>
      <c r="AB26" s="524">
        <f t="shared" si="7"/>
        <v>0.21480025294877786</v>
      </c>
      <c r="AC26" s="525">
        <f t="shared" si="119"/>
        <v>0</v>
      </c>
      <c r="AD26" s="523"/>
      <c r="AE26" s="524">
        <f t="shared" si="8"/>
        <v>0</v>
      </c>
      <c r="AF26" s="525">
        <f t="shared" si="120"/>
        <v>0</v>
      </c>
      <c r="AG26" s="523"/>
      <c r="AH26" s="524">
        <f t="shared" si="9"/>
        <v>0</v>
      </c>
      <c r="AI26" s="525">
        <f t="shared" si="121"/>
        <v>0</v>
      </c>
      <c r="AJ26" s="523"/>
      <c r="AK26" s="524">
        <f t="shared" si="10"/>
        <v>0</v>
      </c>
      <c r="AL26" s="525">
        <f t="shared" si="122"/>
        <v>0</v>
      </c>
      <c r="AM26" s="523"/>
      <c r="AN26" s="524">
        <f t="shared" si="11"/>
        <v>0</v>
      </c>
      <c r="AO26" s="525">
        <f t="shared" si="123"/>
        <v>0</v>
      </c>
      <c r="AP26" s="523"/>
      <c r="AQ26" s="524">
        <f t="shared" si="12"/>
        <v>0</v>
      </c>
      <c r="AR26" s="525">
        <f t="shared" si="124"/>
        <v>0</v>
      </c>
      <c r="AS26" s="523"/>
      <c r="AT26" s="524">
        <f t="shared" si="13"/>
        <v>0</v>
      </c>
      <c r="AU26" s="525">
        <f t="shared" si="125"/>
        <v>0</v>
      </c>
      <c r="AV26" s="523"/>
      <c r="AW26" s="524">
        <f t="shared" si="14"/>
        <v>0</v>
      </c>
      <c r="AX26" s="525">
        <f t="shared" si="126"/>
        <v>0</v>
      </c>
      <c r="AY26" s="523"/>
      <c r="AZ26" s="524">
        <f t="shared" si="15"/>
        <v>0</v>
      </c>
      <c r="BA26" s="525">
        <f t="shared" si="127"/>
        <v>0</v>
      </c>
      <c r="BB26" s="523"/>
      <c r="BC26" s="524">
        <f t="shared" si="16"/>
        <v>0</v>
      </c>
      <c r="BD26" s="525">
        <f t="shared" si="128"/>
        <v>0</v>
      </c>
      <c r="BE26" s="523"/>
      <c r="BF26" s="524">
        <f t="shared" si="17"/>
        <v>0</v>
      </c>
      <c r="BG26" s="525">
        <f t="shared" si="129"/>
        <v>0</v>
      </c>
      <c r="BH26" s="523"/>
      <c r="BI26" s="524">
        <f t="shared" si="18"/>
        <v>0</v>
      </c>
      <c r="BJ26" s="525">
        <f t="shared" si="130"/>
        <v>0</v>
      </c>
      <c r="BK26" s="523"/>
      <c r="BL26" s="524">
        <f t="shared" si="19"/>
        <v>0</v>
      </c>
      <c r="BM26" s="525">
        <f t="shared" si="131"/>
        <v>0</v>
      </c>
      <c r="BN26" s="523"/>
      <c r="BO26" s="524">
        <f t="shared" si="20"/>
        <v>0</v>
      </c>
      <c r="BP26" s="525">
        <f t="shared" si="132"/>
        <v>0</v>
      </c>
      <c r="BQ26" s="523"/>
      <c r="BR26" s="524">
        <f t="shared" si="21"/>
        <v>0</v>
      </c>
      <c r="BS26" s="525">
        <f t="shared" si="133"/>
        <v>0</v>
      </c>
      <c r="BT26" s="523"/>
      <c r="BU26" s="524">
        <f t="shared" si="22"/>
        <v>0</v>
      </c>
      <c r="BV26" s="525">
        <f t="shared" si="134"/>
        <v>0</v>
      </c>
      <c r="BW26" s="523"/>
      <c r="BX26" s="524">
        <f t="shared" si="23"/>
        <v>0</v>
      </c>
      <c r="BY26" s="525">
        <f t="shared" si="135"/>
        <v>0</v>
      </c>
      <c r="BZ26" s="523"/>
      <c r="CA26" s="524">
        <f t="shared" si="24"/>
        <v>0</v>
      </c>
      <c r="CB26" s="525">
        <f t="shared" si="136"/>
        <v>0</v>
      </c>
      <c r="CC26" s="523"/>
      <c r="CD26" s="524">
        <f t="shared" si="25"/>
        <v>0</v>
      </c>
      <c r="CE26" s="525">
        <f t="shared" si="137"/>
        <v>0</v>
      </c>
      <c r="CF26" s="523">
        <v>1</v>
      </c>
      <c r="CG26" s="524">
        <f t="shared" si="26"/>
        <v>2.7494432377443565E-2</v>
      </c>
      <c r="CH26" s="525">
        <f t="shared" si="138"/>
        <v>0</v>
      </c>
      <c r="CI26" s="523"/>
      <c r="CJ26" s="524">
        <f t="shared" si="27"/>
        <v>0</v>
      </c>
      <c r="CK26" s="525">
        <f t="shared" si="139"/>
        <v>0</v>
      </c>
      <c r="CL26" s="523"/>
      <c r="CM26" s="524">
        <f t="shared" si="28"/>
        <v>0</v>
      </c>
      <c r="CN26" s="525">
        <f t="shared" si="140"/>
        <v>0</v>
      </c>
      <c r="CO26" s="523"/>
      <c r="CP26" s="524">
        <f t="shared" si="29"/>
        <v>0</v>
      </c>
      <c r="CQ26" s="525">
        <f t="shared" si="141"/>
        <v>0</v>
      </c>
      <c r="CR26" s="523">
        <v>1</v>
      </c>
      <c r="CS26" s="524">
        <f t="shared" si="30"/>
        <v>2.7494432377443565E-2</v>
      </c>
      <c r="CT26" s="525">
        <f t="shared" si="142"/>
        <v>0</v>
      </c>
      <c r="CU26" s="523"/>
      <c r="CV26" s="524">
        <f t="shared" si="31"/>
        <v>0</v>
      </c>
      <c r="CW26" s="525">
        <f t="shared" si="143"/>
        <v>0</v>
      </c>
      <c r="CX26" s="523"/>
      <c r="CY26" s="524">
        <f t="shared" si="32"/>
        <v>0</v>
      </c>
      <c r="CZ26" s="525">
        <f t="shared" si="144"/>
        <v>0</v>
      </c>
      <c r="DA26" s="523">
        <v>92.119348837209373</v>
      </c>
      <c r="DB26" s="524">
        <f t="shared" si="33"/>
        <v>2.5327692072587875</v>
      </c>
      <c r="DC26" s="525">
        <f t="shared" si="145"/>
        <v>0</v>
      </c>
      <c r="DD26" s="523"/>
      <c r="DE26" s="524">
        <f t="shared" si="34"/>
        <v>0</v>
      </c>
      <c r="DF26" s="525">
        <f t="shared" si="146"/>
        <v>0</v>
      </c>
      <c r="DG26" s="523"/>
      <c r="DH26" s="524">
        <f t="shared" si="35"/>
        <v>0</v>
      </c>
      <c r="DI26" s="525">
        <f t="shared" si="203"/>
        <v>0</v>
      </c>
      <c r="DJ26" s="523"/>
      <c r="DK26" s="524">
        <f t="shared" si="36"/>
        <v>0</v>
      </c>
      <c r="DL26" s="525">
        <f t="shared" si="147"/>
        <v>0</v>
      </c>
      <c r="DM26" s="523"/>
      <c r="DN26" s="524">
        <f t="shared" si="37"/>
        <v>0</v>
      </c>
      <c r="DO26" s="525">
        <f t="shared" si="148"/>
        <v>0</v>
      </c>
      <c r="DP26" s="523"/>
      <c r="DQ26" s="524">
        <f t="shared" si="38"/>
        <v>0</v>
      </c>
      <c r="DR26" s="525">
        <f t="shared" si="149"/>
        <v>0</v>
      </c>
      <c r="DS26" s="523"/>
      <c r="DT26" s="524">
        <f t="shared" si="39"/>
        <v>0</v>
      </c>
      <c r="DU26" s="525">
        <f t="shared" si="150"/>
        <v>0</v>
      </c>
      <c r="DV26" s="523"/>
      <c r="DW26" s="524">
        <f t="shared" si="40"/>
        <v>0</v>
      </c>
      <c r="DX26" s="525">
        <f t="shared" si="151"/>
        <v>0</v>
      </c>
      <c r="DY26" s="523"/>
      <c r="DZ26" s="524">
        <f t="shared" si="41"/>
        <v>0</v>
      </c>
      <c r="EA26" s="525">
        <f t="shared" si="152"/>
        <v>0</v>
      </c>
      <c r="EB26" s="523"/>
      <c r="EC26" s="524">
        <f t="shared" si="42"/>
        <v>0</v>
      </c>
      <c r="ED26" s="525">
        <f t="shared" si="153"/>
        <v>0</v>
      </c>
      <c r="EE26" s="523">
        <v>14.534883720930232</v>
      </c>
      <c r="EF26" s="524">
        <f t="shared" si="43"/>
        <v>0.39962837757912156</v>
      </c>
      <c r="EG26" s="525">
        <f t="shared" si="154"/>
        <v>0</v>
      </c>
      <c r="EH26" s="523">
        <v>74.402352941176446</v>
      </c>
      <c r="EI26" s="524">
        <f t="shared" si="44"/>
        <v>2.0456504616638651</v>
      </c>
      <c r="EJ26" s="525">
        <f t="shared" si="155"/>
        <v>0</v>
      </c>
      <c r="EK26" s="523">
        <v>4</v>
      </c>
      <c r="EL26" s="524">
        <f t="shared" si="45"/>
        <v>0.10997772950977426</v>
      </c>
      <c r="EM26" s="525">
        <f t="shared" si="156"/>
        <v>0</v>
      </c>
      <c r="EN26" s="523">
        <v>41.61687292682916</v>
      </c>
      <c r="EO26" s="524">
        <f t="shared" si="46"/>
        <v>1.1442322984473663</v>
      </c>
      <c r="EP26" s="525">
        <f t="shared" si="157"/>
        <v>0</v>
      </c>
      <c r="EQ26" s="523">
        <v>38.541767441860486</v>
      </c>
      <c r="ER26" s="524">
        <f t="shared" si="47"/>
        <v>1.0596840186373893</v>
      </c>
      <c r="ES26" s="525">
        <f t="shared" si="158"/>
        <v>0</v>
      </c>
      <c r="ET26" s="523"/>
      <c r="EU26" s="524">
        <f t="shared" si="48"/>
        <v>0</v>
      </c>
      <c r="EV26" s="525">
        <f t="shared" si="159"/>
        <v>0</v>
      </c>
      <c r="EW26" s="523"/>
      <c r="EX26" s="524">
        <f t="shared" si="49"/>
        <v>0</v>
      </c>
      <c r="EY26" s="525">
        <f t="shared" si="160"/>
        <v>0</v>
      </c>
      <c r="EZ26" s="523"/>
      <c r="FA26" s="524">
        <f t="shared" si="50"/>
        <v>0</v>
      </c>
      <c r="FB26" s="525">
        <f t="shared" si="161"/>
        <v>0</v>
      </c>
      <c r="FC26" s="523"/>
      <c r="FD26" s="524">
        <f t="shared" si="51"/>
        <v>0</v>
      </c>
      <c r="FE26" s="525">
        <f t="shared" si="162"/>
        <v>0</v>
      </c>
      <c r="FF26" s="523"/>
      <c r="FG26" s="524">
        <f t="shared" si="52"/>
        <v>0</v>
      </c>
      <c r="FH26" s="525">
        <f t="shared" si="163"/>
        <v>0</v>
      </c>
      <c r="FI26" s="523"/>
      <c r="FJ26" s="524">
        <f t="shared" si="53"/>
        <v>0</v>
      </c>
      <c r="FK26" s="525">
        <f t="shared" si="164"/>
        <v>0</v>
      </c>
      <c r="FL26" s="523"/>
      <c r="FM26" s="524">
        <f t="shared" si="54"/>
        <v>0</v>
      </c>
      <c r="FN26" s="525">
        <f t="shared" si="165"/>
        <v>0</v>
      </c>
      <c r="FO26" s="523"/>
      <c r="FP26" s="524">
        <f t="shared" si="55"/>
        <v>0</v>
      </c>
      <c r="FQ26" s="525">
        <f t="shared" si="166"/>
        <v>0</v>
      </c>
      <c r="FR26" s="523"/>
      <c r="FS26" s="524">
        <f t="shared" si="56"/>
        <v>0</v>
      </c>
      <c r="FT26" s="525">
        <f t="shared" si="167"/>
        <v>0</v>
      </c>
      <c r="FU26" s="523"/>
      <c r="FV26" s="524">
        <f t="shared" si="57"/>
        <v>0</v>
      </c>
      <c r="FW26" s="525">
        <f t="shared" si="168"/>
        <v>0</v>
      </c>
      <c r="FX26" s="523"/>
      <c r="FY26" s="524">
        <f t="shared" si="58"/>
        <v>0</v>
      </c>
      <c r="FZ26" s="525">
        <f t="shared" si="169"/>
        <v>0</v>
      </c>
      <c r="GA26" s="523"/>
      <c r="GB26" s="524">
        <f t="shared" si="59"/>
        <v>0</v>
      </c>
      <c r="GC26" s="525">
        <f t="shared" si="170"/>
        <v>0</v>
      </c>
      <c r="GD26" s="523"/>
      <c r="GE26" s="524">
        <f t="shared" si="60"/>
        <v>0</v>
      </c>
      <c r="GF26" s="525">
        <f t="shared" si="171"/>
        <v>0</v>
      </c>
      <c r="GG26" s="523"/>
      <c r="GH26" s="524">
        <f t="shared" si="61"/>
        <v>0</v>
      </c>
      <c r="GI26" s="525">
        <f t="shared" si="172"/>
        <v>0</v>
      </c>
      <c r="GJ26" s="523"/>
      <c r="GK26" s="524">
        <f t="shared" si="62"/>
        <v>0</v>
      </c>
      <c r="GL26" s="525">
        <f t="shared" si="173"/>
        <v>0</v>
      </c>
      <c r="GM26" s="523"/>
      <c r="GN26" s="524">
        <f t="shared" si="63"/>
        <v>0</v>
      </c>
      <c r="GO26" s="525">
        <f t="shared" si="174"/>
        <v>0</v>
      </c>
      <c r="GP26" s="523"/>
      <c r="GQ26" s="524">
        <f t="shared" si="64"/>
        <v>0</v>
      </c>
      <c r="GR26" s="525">
        <f t="shared" si="175"/>
        <v>0</v>
      </c>
      <c r="GS26" s="523"/>
      <c r="GT26" s="524">
        <f t="shared" si="65"/>
        <v>0</v>
      </c>
      <c r="GU26" s="525">
        <f t="shared" si="176"/>
        <v>0</v>
      </c>
      <c r="GV26" s="523"/>
      <c r="GW26" s="524">
        <f t="shared" si="66"/>
        <v>0</v>
      </c>
      <c r="GX26" s="525">
        <f t="shared" si="177"/>
        <v>0</v>
      </c>
      <c r="GY26" s="523"/>
      <c r="GZ26" s="524">
        <f t="shared" si="67"/>
        <v>0</v>
      </c>
      <c r="HA26" s="525">
        <f t="shared" si="178"/>
        <v>0</v>
      </c>
      <c r="HB26" s="523"/>
      <c r="HC26" s="524">
        <f t="shared" si="68"/>
        <v>0</v>
      </c>
      <c r="HD26" s="525">
        <f t="shared" si="179"/>
        <v>0</v>
      </c>
      <c r="HE26" s="523"/>
      <c r="HF26" s="524">
        <f t="shared" si="69"/>
        <v>0</v>
      </c>
      <c r="HG26" s="525">
        <f t="shared" si="180"/>
        <v>0</v>
      </c>
      <c r="HH26" s="523"/>
      <c r="HI26" s="524">
        <f t="shared" si="70"/>
        <v>0</v>
      </c>
      <c r="HJ26" s="525">
        <f t="shared" si="181"/>
        <v>0</v>
      </c>
      <c r="HK26" s="523"/>
      <c r="HL26" s="524">
        <f t="shared" si="71"/>
        <v>0</v>
      </c>
      <c r="HM26" s="525">
        <f t="shared" si="182"/>
        <v>0</v>
      </c>
      <c r="HN26" s="523"/>
      <c r="HO26" s="524">
        <f t="shared" si="72"/>
        <v>0</v>
      </c>
      <c r="HP26" s="525">
        <f t="shared" si="183"/>
        <v>0</v>
      </c>
      <c r="HQ26" s="523"/>
      <c r="HR26" s="524">
        <f t="shared" si="73"/>
        <v>0</v>
      </c>
      <c r="HS26" s="525">
        <f t="shared" si="184"/>
        <v>0</v>
      </c>
      <c r="HT26" s="523"/>
      <c r="HU26" s="524">
        <f t="shared" si="74"/>
        <v>0</v>
      </c>
      <c r="HV26" s="525">
        <f t="shared" si="185"/>
        <v>0</v>
      </c>
      <c r="HW26" s="523"/>
      <c r="HX26" s="524">
        <f t="shared" si="75"/>
        <v>0</v>
      </c>
      <c r="HY26" s="525">
        <f t="shared" si="186"/>
        <v>0</v>
      </c>
      <c r="HZ26" s="523"/>
      <c r="IA26" s="524">
        <f t="shared" si="76"/>
        <v>0</v>
      </c>
      <c r="IB26" s="525">
        <f t="shared" si="187"/>
        <v>0</v>
      </c>
      <c r="IC26" s="523"/>
      <c r="ID26" s="524">
        <f t="shared" si="77"/>
        <v>0</v>
      </c>
      <c r="IE26" s="525">
        <f t="shared" si="188"/>
        <v>0</v>
      </c>
      <c r="IF26" s="523"/>
      <c r="IG26" s="524">
        <f t="shared" si="78"/>
        <v>0</v>
      </c>
      <c r="IH26" s="525">
        <f t="shared" si="189"/>
        <v>0</v>
      </c>
      <c r="II26" s="523"/>
      <c r="IJ26" s="524">
        <f t="shared" si="79"/>
        <v>0</v>
      </c>
      <c r="IK26" s="525">
        <f t="shared" si="190"/>
        <v>0</v>
      </c>
      <c r="IL26" s="523"/>
      <c r="IM26" s="524">
        <f t="shared" si="80"/>
        <v>0</v>
      </c>
      <c r="IN26" s="525">
        <f t="shared" si="191"/>
        <v>0</v>
      </c>
      <c r="IO26" s="523"/>
      <c r="IP26" s="524">
        <f t="shared" si="81"/>
        <v>0</v>
      </c>
      <c r="IQ26" s="525">
        <f t="shared" si="192"/>
        <v>0</v>
      </c>
      <c r="IR26" s="523"/>
      <c r="IS26" s="524">
        <f t="shared" si="82"/>
        <v>0</v>
      </c>
      <c r="IT26" s="525">
        <f t="shared" si="193"/>
        <v>0</v>
      </c>
      <c r="IU26" s="523"/>
      <c r="IV26" s="524">
        <f t="shared" si="83"/>
        <v>0</v>
      </c>
      <c r="IW26" s="525">
        <f t="shared" si="194"/>
        <v>0</v>
      </c>
      <c r="IX26" s="523"/>
      <c r="IY26" s="524">
        <f t="shared" si="84"/>
        <v>0</v>
      </c>
      <c r="IZ26" s="525">
        <f t="shared" si="195"/>
        <v>0</v>
      </c>
      <c r="JA26" s="523"/>
      <c r="JB26" s="524">
        <f t="shared" si="85"/>
        <v>0</v>
      </c>
      <c r="JC26" s="525">
        <f t="shared" si="196"/>
        <v>0</v>
      </c>
      <c r="JD26" s="523"/>
      <c r="JE26" s="524">
        <f t="shared" si="86"/>
        <v>0</v>
      </c>
      <c r="JF26" s="525">
        <f t="shared" si="197"/>
        <v>0</v>
      </c>
      <c r="JG26" s="523"/>
      <c r="JH26" s="524">
        <f t="shared" si="87"/>
        <v>0</v>
      </c>
      <c r="JI26" s="525">
        <f t="shared" si="198"/>
        <v>0</v>
      </c>
      <c r="JJ26" s="523"/>
      <c r="JK26" s="525" t="str">
        <f t="shared" si="88"/>
        <v>0</v>
      </c>
      <c r="JL26" s="525" t="str">
        <f t="shared" si="89"/>
        <v>0</v>
      </c>
      <c r="JM26" s="523"/>
      <c r="JN26" s="525" t="str">
        <f t="shared" si="90"/>
        <v>0</v>
      </c>
      <c r="JO26" s="525" t="str">
        <f t="shared" si="91"/>
        <v>0</v>
      </c>
      <c r="JP26" s="523"/>
      <c r="JQ26" s="525" t="str">
        <f t="shared" si="92"/>
        <v>0</v>
      </c>
      <c r="JR26" s="525" t="str">
        <f t="shared" si="93"/>
        <v>0</v>
      </c>
      <c r="JS26" s="523"/>
      <c r="JT26" s="525" t="str">
        <f t="shared" si="94"/>
        <v>0</v>
      </c>
      <c r="JU26" s="525" t="str">
        <f t="shared" si="95"/>
        <v>0</v>
      </c>
      <c r="JV26" s="523"/>
      <c r="JW26" s="525" t="str">
        <f t="shared" si="96"/>
        <v>0</v>
      </c>
      <c r="JX26" s="525" t="str">
        <f t="shared" si="97"/>
        <v>0</v>
      </c>
      <c r="JY26" s="523"/>
      <c r="JZ26" s="525" t="str">
        <f t="shared" si="98"/>
        <v>0</v>
      </c>
      <c r="KA26" s="525" t="str">
        <f t="shared" si="99"/>
        <v>0</v>
      </c>
      <c r="KB26" s="523"/>
      <c r="KC26" s="525" t="str">
        <f t="shared" si="100"/>
        <v>0</v>
      </c>
      <c r="KD26" s="525" t="str">
        <f t="shared" si="101"/>
        <v>0</v>
      </c>
      <c r="KE26" s="523"/>
      <c r="KF26" s="525" t="str">
        <f t="shared" si="102"/>
        <v>0</v>
      </c>
      <c r="KG26" s="525" t="str">
        <f t="shared" si="103"/>
        <v>0</v>
      </c>
      <c r="KH26" s="523"/>
      <c r="KI26" s="525" t="str">
        <f t="shared" si="104"/>
        <v>0</v>
      </c>
      <c r="KJ26" s="525" t="str">
        <f t="shared" si="105"/>
        <v>0</v>
      </c>
      <c r="KK26" s="523"/>
      <c r="KL26" s="525" t="str">
        <f t="shared" si="106"/>
        <v>0</v>
      </c>
      <c r="KM26" s="525" t="str">
        <f t="shared" si="107"/>
        <v>0</v>
      </c>
      <c r="KN26" s="523"/>
      <c r="KO26" s="525" t="str">
        <f t="shared" si="108"/>
        <v>0</v>
      </c>
      <c r="KP26" s="525" t="str">
        <f t="shared" si="109"/>
        <v>0</v>
      </c>
      <c r="KQ26" s="523"/>
      <c r="KR26" s="525" t="str">
        <f t="shared" si="110"/>
        <v>0</v>
      </c>
      <c r="KS26" s="525" t="str">
        <f t="shared" si="111"/>
        <v>0</v>
      </c>
      <c r="KT26" s="525">
        <f t="shared" si="201"/>
        <v>0</v>
      </c>
      <c r="KU26" s="525">
        <f t="shared" si="202"/>
        <v>0</v>
      </c>
      <c r="KV26" s="261">
        <f t="shared" si="199"/>
        <v>288.37242586800568</v>
      </c>
    </row>
    <row r="27" spans="1:308">
      <c r="A27" s="262">
        <f t="shared" si="200"/>
        <v>46131</v>
      </c>
      <c r="B27" s="263" t="str">
        <f>+Report1!B27</f>
        <v>Toilet</v>
      </c>
      <c r="C27" s="263" t="str">
        <f>+Report1!C27</f>
        <v>12,5/13,5</v>
      </c>
      <c r="D27" s="264">
        <f>+Report1!P27</f>
        <v>42.658000000000001</v>
      </c>
      <c r="E27" s="556">
        <f>+Report1!R27</f>
        <v>40.729999999999997</v>
      </c>
      <c r="F27" s="523"/>
      <c r="G27" s="524">
        <f t="shared" si="0"/>
        <v>0</v>
      </c>
      <c r="H27" s="525">
        <f t="shared" si="112"/>
        <v>0</v>
      </c>
      <c r="I27" s="523"/>
      <c r="J27" s="524">
        <f t="shared" si="1"/>
        <v>0</v>
      </c>
      <c r="K27" s="525">
        <f t="shared" si="113"/>
        <v>0</v>
      </c>
      <c r="L27" s="523"/>
      <c r="M27" s="524">
        <f t="shared" si="2"/>
        <v>0</v>
      </c>
      <c r="N27" s="525">
        <f t="shared" si="114"/>
        <v>0</v>
      </c>
      <c r="O27" s="523">
        <v>6.1479999999999961</v>
      </c>
      <c r="P27" s="524">
        <f t="shared" si="3"/>
        <v>0.15094524920206229</v>
      </c>
      <c r="Q27" s="525">
        <f t="shared" si="115"/>
        <v>0</v>
      </c>
      <c r="R27" s="523"/>
      <c r="S27" s="524">
        <f t="shared" si="4"/>
        <v>0</v>
      </c>
      <c r="T27" s="525">
        <f t="shared" si="116"/>
        <v>0</v>
      </c>
      <c r="U27" s="523">
        <v>7.8795000000000073</v>
      </c>
      <c r="V27" s="524">
        <f t="shared" si="5"/>
        <v>0.19345691136754253</v>
      </c>
      <c r="W27" s="525">
        <f t="shared" si="117"/>
        <v>0</v>
      </c>
      <c r="X27" s="523"/>
      <c r="Y27" s="524">
        <f t="shared" si="6"/>
        <v>0</v>
      </c>
      <c r="Z27" s="525">
        <f t="shared" si="118"/>
        <v>0</v>
      </c>
      <c r="AA27" s="523">
        <v>7.8125</v>
      </c>
      <c r="AB27" s="524">
        <f t="shared" si="7"/>
        <v>0.19181193223668058</v>
      </c>
      <c r="AC27" s="525">
        <f t="shared" si="119"/>
        <v>0</v>
      </c>
      <c r="AD27" s="523"/>
      <c r="AE27" s="524">
        <f t="shared" si="8"/>
        <v>0</v>
      </c>
      <c r="AF27" s="525">
        <f t="shared" si="120"/>
        <v>0</v>
      </c>
      <c r="AG27" s="523"/>
      <c r="AH27" s="524">
        <f t="shared" si="9"/>
        <v>0</v>
      </c>
      <c r="AI27" s="525">
        <f t="shared" si="121"/>
        <v>0</v>
      </c>
      <c r="AJ27" s="523"/>
      <c r="AK27" s="524">
        <f t="shared" si="10"/>
        <v>0</v>
      </c>
      <c r="AL27" s="525">
        <f t="shared" si="122"/>
        <v>0</v>
      </c>
      <c r="AM27" s="523"/>
      <c r="AN27" s="524">
        <f t="shared" si="11"/>
        <v>0</v>
      </c>
      <c r="AO27" s="525">
        <f t="shared" si="123"/>
        <v>0</v>
      </c>
      <c r="AP27" s="523"/>
      <c r="AQ27" s="524">
        <f t="shared" si="12"/>
        <v>0</v>
      </c>
      <c r="AR27" s="525">
        <f t="shared" si="124"/>
        <v>0</v>
      </c>
      <c r="AS27" s="523"/>
      <c r="AT27" s="524">
        <f t="shared" si="13"/>
        <v>0</v>
      </c>
      <c r="AU27" s="525">
        <f t="shared" si="125"/>
        <v>0</v>
      </c>
      <c r="AV27" s="523"/>
      <c r="AW27" s="524">
        <f t="shared" si="14"/>
        <v>0</v>
      </c>
      <c r="AX27" s="525">
        <f t="shared" si="126"/>
        <v>0</v>
      </c>
      <c r="AY27" s="523"/>
      <c r="AZ27" s="524">
        <f t="shared" si="15"/>
        <v>0</v>
      </c>
      <c r="BA27" s="525">
        <f t="shared" si="127"/>
        <v>0</v>
      </c>
      <c r="BB27" s="523"/>
      <c r="BC27" s="524">
        <f t="shared" si="16"/>
        <v>0</v>
      </c>
      <c r="BD27" s="525">
        <f t="shared" si="128"/>
        <v>0</v>
      </c>
      <c r="BE27" s="523"/>
      <c r="BF27" s="524">
        <f t="shared" si="17"/>
        <v>0</v>
      </c>
      <c r="BG27" s="525">
        <f t="shared" si="129"/>
        <v>0</v>
      </c>
      <c r="BH27" s="523"/>
      <c r="BI27" s="524">
        <f t="shared" si="18"/>
        <v>0</v>
      </c>
      <c r="BJ27" s="525">
        <f t="shared" si="130"/>
        <v>0</v>
      </c>
      <c r="BK27" s="523"/>
      <c r="BL27" s="524">
        <f t="shared" si="19"/>
        <v>0</v>
      </c>
      <c r="BM27" s="525">
        <f t="shared" si="131"/>
        <v>0</v>
      </c>
      <c r="BN27" s="523"/>
      <c r="BO27" s="524">
        <f t="shared" si="20"/>
        <v>0</v>
      </c>
      <c r="BP27" s="525">
        <f t="shared" si="132"/>
        <v>0</v>
      </c>
      <c r="BQ27" s="523"/>
      <c r="BR27" s="524">
        <f t="shared" si="21"/>
        <v>0</v>
      </c>
      <c r="BS27" s="525">
        <f t="shared" si="133"/>
        <v>0</v>
      </c>
      <c r="BT27" s="523"/>
      <c r="BU27" s="524">
        <f t="shared" si="22"/>
        <v>0</v>
      </c>
      <c r="BV27" s="525">
        <f t="shared" si="134"/>
        <v>0</v>
      </c>
      <c r="BW27" s="523"/>
      <c r="BX27" s="524">
        <f t="shared" si="23"/>
        <v>0</v>
      </c>
      <c r="BY27" s="525">
        <f t="shared" si="135"/>
        <v>0</v>
      </c>
      <c r="BZ27" s="523"/>
      <c r="CA27" s="524">
        <f t="shared" si="24"/>
        <v>0</v>
      </c>
      <c r="CB27" s="525">
        <f t="shared" si="136"/>
        <v>0</v>
      </c>
      <c r="CC27" s="523"/>
      <c r="CD27" s="524">
        <f t="shared" si="25"/>
        <v>0</v>
      </c>
      <c r="CE27" s="525">
        <f t="shared" si="137"/>
        <v>0</v>
      </c>
      <c r="CF27" s="523">
        <v>1</v>
      </c>
      <c r="CG27" s="524">
        <f t="shared" si="26"/>
        <v>2.4551927326295117E-2</v>
      </c>
      <c r="CH27" s="525">
        <f t="shared" si="138"/>
        <v>0</v>
      </c>
      <c r="CI27" s="523"/>
      <c r="CJ27" s="524">
        <f t="shared" si="27"/>
        <v>0</v>
      </c>
      <c r="CK27" s="525">
        <f t="shared" si="139"/>
        <v>0</v>
      </c>
      <c r="CL27" s="523"/>
      <c r="CM27" s="524">
        <f t="shared" si="28"/>
        <v>0</v>
      </c>
      <c r="CN27" s="525">
        <f t="shared" si="140"/>
        <v>0</v>
      </c>
      <c r="CO27" s="523"/>
      <c r="CP27" s="524">
        <f t="shared" si="29"/>
        <v>0</v>
      </c>
      <c r="CQ27" s="525">
        <f t="shared" si="141"/>
        <v>0</v>
      </c>
      <c r="CR27" s="523">
        <v>1</v>
      </c>
      <c r="CS27" s="524">
        <f t="shared" si="30"/>
        <v>2.4551927326295117E-2</v>
      </c>
      <c r="CT27" s="525">
        <f t="shared" si="142"/>
        <v>0</v>
      </c>
      <c r="CU27" s="523"/>
      <c r="CV27" s="524">
        <f t="shared" si="31"/>
        <v>0</v>
      </c>
      <c r="CW27" s="525">
        <f t="shared" si="143"/>
        <v>0</v>
      </c>
      <c r="CX27" s="523"/>
      <c r="CY27" s="524">
        <f t="shared" si="32"/>
        <v>0</v>
      </c>
      <c r="CZ27" s="525">
        <f t="shared" si="144"/>
        <v>0</v>
      </c>
      <c r="DA27" s="523">
        <v>96.839999999999975</v>
      </c>
      <c r="DB27" s="524">
        <f t="shared" si="33"/>
        <v>2.3776086422784184</v>
      </c>
      <c r="DC27" s="525">
        <f t="shared" si="145"/>
        <v>0</v>
      </c>
      <c r="DD27" s="523"/>
      <c r="DE27" s="524">
        <f t="shared" si="34"/>
        <v>0</v>
      </c>
      <c r="DF27" s="525">
        <f t="shared" si="146"/>
        <v>0</v>
      </c>
      <c r="DG27" s="523"/>
      <c r="DH27" s="524">
        <f t="shared" si="35"/>
        <v>0</v>
      </c>
      <c r="DI27" s="525">
        <f t="shared" si="203"/>
        <v>0</v>
      </c>
      <c r="DJ27" s="523"/>
      <c r="DK27" s="524">
        <f t="shared" si="36"/>
        <v>0</v>
      </c>
      <c r="DL27" s="525">
        <f t="shared" si="147"/>
        <v>0</v>
      </c>
      <c r="DM27" s="523"/>
      <c r="DN27" s="524">
        <f t="shared" si="37"/>
        <v>0</v>
      </c>
      <c r="DO27" s="525">
        <f t="shared" si="148"/>
        <v>0</v>
      </c>
      <c r="DP27" s="523"/>
      <c r="DQ27" s="524">
        <f t="shared" si="38"/>
        <v>0</v>
      </c>
      <c r="DR27" s="525">
        <f t="shared" si="149"/>
        <v>0</v>
      </c>
      <c r="DS27" s="523"/>
      <c r="DT27" s="524">
        <f t="shared" si="39"/>
        <v>0</v>
      </c>
      <c r="DU27" s="525">
        <f t="shared" si="150"/>
        <v>0</v>
      </c>
      <c r="DV27" s="523"/>
      <c r="DW27" s="524">
        <f t="shared" si="40"/>
        <v>0</v>
      </c>
      <c r="DX27" s="525">
        <f t="shared" si="151"/>
        <v>0</v>
      </c>
      <c r="DY27" s="523"/>
      <c r="DZ27" s="524">
        <f t="shared" si="41"/>
        <v>0</v>
      </c>
      <c r="EA27" s="525">
        <f t="shared" si="152"/>
        <v>0</v>
      </c>
      <c r="EB27" s="523"/>
      <c r="EC27" s="524">
        <f t="shared" si="42"/>
        <v>0</v>
      </c>
      <c r="ED27" s="525">
        <f t="shared" si="153"/>
        <v>0</v>
      </c>
      <c r="EE27" s="523">
        <v>14.534883720930232</v>
      </c>
      <c r="EF27" s="524">
        <f t="shared" si="43"/>
        <v>0.356859408812429</v>
      </c>
      <c r="EG27" s="525">
        <f t="shared" si="154"/>
        <v>0</v>
      </c>
      <c r="EH27" s="523">
        <v>78.230000000000018</v>
      </c>
      <c r="EI27" s="524">
        <f t="shared" si="44"/>
        <v>1.9206972747360673</v>
      </c>
      <c r="EJ27" s="525">
        <f t="shared" si="155"/>
        <v>0</v>
      </c>
      <c r="EK27" s="523">
        <v>4</v>
      </c>
      <c r="EL27" s="524">
        <f t="shared" si="45"/>
        <v>9.8207709305180468E-2</v>
      </c>
      <c r="EM27" s="525">
        <f t="shared" si="156"/>
        <v>0</v>
      </c>
      <c r="EN27" s="523">
        <v>43.745625000000018</v>
      </c>
      <c r="EO27" s="524">
        <f t="shared" si="46"/>
        <v>1.0740394058433593</v>
      </c>
      <c r="EP27" s="525">
        <f t="shared" si="157"/>
        <v>0</v>
      </c>
      <c r="EQ27" s="523">
        <v>40.527999999999963</v>
      </c>
      <c r="ER27" s="524">
        <f t="shared" si="47"/>
        <v>0.99504051068008759</v>
      </c>
      <c r="ES27" s="525">
        <f t="shared" si="158"/>
        <v>0</v>
      </c>
      <c r="ET27" s="523"/>
      <c r="EU27" s="524">
        <f t="shared" si="48"/>
        <v>0</v>
      </c>
      <c r="EV27" s="525">
        <f t="shared" si="159"/>
        <v>0</v>
      </c>
      <c r="EW27" s="523"/>
      <c r="EX27" s="524">
        <f t="shared" si="49"/>
        <v>0</v>
      </c>
      <c r="EY27" s="525">
        <f t="shared" si="160"/>
        <v>0</v>
      </c>
      <c r="EZ27" s="523"/>
      <c r="FA27" s="524">
        <f t="shared" si="50"/>
        <v>0</v>
      </c>
      <c r="FB27" s="525">
        <f t="shared" si="161"/>
        <v>0</v>
      </c>
      <c r="FC27" s="523"/>
      <c r="FD27" s="524">
        <f t="shared" si="51"/>
        <v>0</v>
      </c>
      <c r="FE27" s="525">
        <f t="shared" si="162"/>
        <v>0</v>
      </c>
      <c r="FF27" s="523"/>
      <c r="FG27" s="524">
        <f t="shared" si="52"/>
        <v>0</v>
      </c>
      <c r="FH27" s="525">
        <f t="shared" si="163"/>
        <v>0</v>
      </c>
      <c r="FI27" s="523"/>
      <c r="FJ27" s="524">
        <f t="shared" si="53"/>
        <v>0</v>
      </c>
      <c r="FK27" s="525">
        <f t="shared" si="164"/>
        <v>0</v>
      </c>
      <c r="FL27" s="523"/>
      <c r="FM27" s="524">
        <f t="shared" si="54"/>
        <v>0</v>
      </c>
      <c r="FN27" s="525">
        <f t="shared" si="165"/>
        <v>0</v>
      </c>
      <c r="FO27" s="523"/>
      <c r="FP27" s="524">
        <f t="shared" si="55"/>
        <v>0</v>
      </c>
      <c r="FQ27" s="525">
        <f t="shared" si="166"/>
        <v>0</v>
      </c>
      <c r="FR27" s="523"/>
      <c r="FS27" s="524">
        <f t="shared" si="56"/>
        <v>0</v>
      </c>
      <c r="FT27" s="525">
        <f t="shared" si="167"/>
        <v>0</v>
      </c>
      <c r="FU27" s="523"/>
      <c r="FV27" s="524">
        <f t="shared" si="57"/>
        <v>0</v>
      </c>
      <c r="FW27" s="525">
        <f t="shared" si="168"/>
        <v>0</v>
      </c>
      <c r="FX27" s="523"/>
      <c r="FY27" s="524">
        <f t="shared" si="58"/>
        <v>0</v>
      </c>
      <c r="FZ27" s="525">
        <f t="shared" si="169"/>
        <v>0</v>
      </c>
      <c r="GA27" s="523"/>
      <c r="GB27" s="524">
        <f t="shared" si="59"/>
        <v>0</v>
      </c>
      <c r="GC27" s="525">
        <f t="shared" si="170"/>
        <v>0</v>
      </c>
      <c r="GD27" s="523"/>
      <c r="GE27" s="524">
        <f t="shared" si="60"/>
        <v>0</v>
      </c>
      <c r="GF27" s="525">
        <f t="shared" si="171"/>
        <v>0</v>
      </c>
      <c r="GG27" s="523"/>
      <c r="GH27" s="524">
        <f t="shared" si="61"/>
        <v>0</v>
      </c>
      <c r="GI27" s="525">
        <f t="shared" si="172"/>
        <v>0</v>
      </c>
      <c r="GJ27" s="523"/>
      <c r="GK27" s="524">
        <f t="shared" si="62"/>
        <v>0</v>
      </c>
      <c r="GL27" s="525">
        <f t="shared" si="173"/>
        <v>0</v>
      </c>
      <c r="GM27" s="523"/>
      <c r="GN27" s="524">
        <f t="shared" si="63"/>
        <v>0</v>
      </c>
      <c r="GO27" s="525">
        <f t="shared" si="174"/>
        <v>0</v>
      </c>
      <c r="GP27" s="523"/>
      <c r="GQ27" s="524">
        <f t="shared" si="64"/>
        <v>0</v>
      </c>
      <c r="GR27" s="525">
        <f t="shared" si="175"/>
        <v>0</v>
      </c>
      <c r="GS27" s="523"/>
      <c r="GT27" s="524">
        <f t="shared" si="65"/>
        <v>0</v>
      </c>
      <c r="GU27" s="525">
        <f t="shared" si="176"/>
        <v>0</v>
      </c>
      <c r="GV27" s="523"/>
      <c r="GW27" s="524">
        <f t="shared" si="66"/>
        <v>0</v>
      </c>
      <c r="GX27" s="525">
        <f t="shared" si="177"/>
        <v>0</v>
      </c>
      <c r="GY27" s="523"/>
      <c r="GZ27" s="524">
        <f t="shared" si="67"/>
        <v>0</v>
      </c>
      <c r="HA27" s="525">
        <f t="shared" si="178"/>
        <v>0</v>
      </c>
      <c r="HB27" s="523"/>
      <c r="HC27" s="524">
        <f t="shared" si="68"/>
        <v>0</v>
      </c>
      <c r="HD27" s="525">
        <f t="shared" si="179"/>
        <v>0</v>
      </c>
      <c r="HE27" s="523"/>
      <c r="HF27" s="524">
        <f t="shared" si="69"/>
        <v>0</v>
      </c>
      <c r="HG27" s="525">
        <f t="shared" si="180"/>
        <v>0</v>
      </c>
      <c r="HH27" s="523"/>
      <c r="HI27" s="524">
        <f t="shared" si="70"/>
        <v>0</v>
      </c>
      <c r="HJ27" s="525">
        <f t="shared" si="181"/>
        <v>0</v>
      </c>
      <c r="HK27" s="523"/>
      <c r="HL27" s="524">
        <f t="shared" si="71"/>
        <v>0</v>
      </c>
      <c r="HM27" s="525">
        <f t="shared" si="182"/>
        <v>0</v>
      </c>
      <c r="HN27" s="523"/>
      <c r="HO27" s="524">
        <f t="shared" si="72"/>
        <v>0</v>
      </c>
      <c r="HP27" s="525">
        <f t="shared" si="183"/>
        <v>0</v>
      </c>
      <c r="HQ27" s="523"/>
      <c r="HR27" s="524">
        <f t="shared" si="73"/>
        <v>0</v>
      </c>
      <c r="HS27" s="525">
        <f t="shared" si="184"/>
        <v>0</v>
      </c>
      <c r="HT27" s="523"/>
      <c r="HU27" s="524">
        <f t="shared" si="74"/>
        <v>0</v>
      </c>
      <c r="HV27" s="525">
        <f t="shared" si="185"/>
        <v>0</v>
      </c>
      <c r="HW27" s="523"/>
      <c r="HX27" s="524">
        <f t="shared" si="75"/>
        <v>0</v>
      </c>
      <c r="HY27" s="525">
        <f t="shared" si="186"/>
        <v>0</v>
      </c>
      <c r="HZ27" s="523"/>
      <c r="IA27" s="524">
        <f t="shared" si="76"/>
        <v>0</v>
      </c>
      <c r="IB27" s="525">
        <f t="shared" si="187"/>
        <v>0</v>
      </c>
      <c r="IC27" s="523"/>
      <c r="ID27" s="524">
        <f t="shared" si="77"/>
        <v>0</v>
      </c>
      <c r="IE27" s="525">
        <f t="shared" si="188"/>
        <v>0</v>
      </c>
      <c r="IF27" s="523"/>
      <c r="IG27" s="524">
        <f t="shared" si="78"/>
        <v>0</v>
      </c>
      <c r="IH27" s="525">
        <f t="shared" si="189"/>
        <v>0</v>
      </c>
      <c r="II27" s="523"/>
      <c r="IJ27" s="524">
        <f t="shared" si="79"/>
        <v>0</v>
      </c>
      <c r="IK27" s="525">
        <f t="shared" si="190"/>
        <v>0</v>
      </c>
      <c r="IL27" s="523"/>
      <c r="IM27" s="524">
        <f t="shared" si="80"/>
        <v>0</v>
      </c>
      <c r="IN27" s="525">
        <f t="shared" si="191"/>
        <v>0</v>
      </c>
      <c r="IO27" s="523"/>
      <c r="IP27" s="524">
        <f t="shared" si="81"/>
        <v>0</v>
      </c>
      <c r="IQ27" s="525">
        <f t="shared" si="192"/>
        <v>0</v>
      </c>
      <c r="IR27" s="523"/>
      <c r="IS27" s="524">
        <f t="shared" si="82"/>
        <v>0</v>
      </c>
      <c r="IT27" s="525">
        <f t="shared" si="193"/>
        <v>0</v>
      </c>
      <c r="IU27" s="523"/>
      <c r="IV27" s="524">
        <f t="shared" si="83"/>
        <v>0</v>
      </c>
      <c r="IW27" s="525">
        <f t="shared" si="194"/>
        <v>0</v>
      </c>
      <c r="IX27" s="523"/>
      <c r="IY27" s="524">
        <f t="shared" si="84"/>
        <v>0</v>
      </c>
      <c r="IZ27" s="525">
        <f t="shared" si="195"/>
        <v>0</v>
      </c>
      <c r="JA27" s="523"/>
      <c r="JB27" s="524">
        <f t="shared" si="85"/>
        <v>0</v>
      </c>
      <c r="JC27" s="525">
        <f t="shared" si="196"/>
        <v>0</v>
      </c>
      <c r="JD27" s="523"/>
      <c r="JE27" s="524">
        <f t="shared" si="86"/>
        <v>0</v>
      </c>
      <c r="JF27" s="525">
        <f t="shared" si="197"/>
        <v>0</v>
      </c>
      <c r="JG27" s="523"/>
      <c r="JH27" s="524">
        <f t="shared" si="87"/>
        <v>0</v>
      </c>
      <c r="JI27" s="525">
        <f t="shared" si="198"/>
        <v>0</v>
      </c>
      <c r="JJ27" s="523"/>
      <c r="JK27" s="525" t="str">
        <f t="shared" si="88"/>
        <v>0</v>
      </c>
      <c r="JL27" s="525" t="str">
        <f t="shared" si="89"/>
        <v>0</v>
      </c>
      <c r="JM27" s="523"/>
      <c r="JN27" s="525" t="str">
        <f t="shared" si="90"/>
        <v>0</v>
      </c>
      <c r="JO27" s="525" t="str">
        <f t="shared" si="91"/>
        <v>0</v>
      </c>
      <c r="JP27" s="523"/>
      <c r="JQ27" s="525" t="str">
        <f t="shared" si="92"/>
        <v>0</v>
      </c>
      <c r="JR27" s="525" t="str">
        <f t="shared" si="93"/>
        <v>0</v>
      </c>
      <c r="JS27" s="523"/>
      <c r="JT27" s="525" t="str">
        <f t="shared" si="94"/>
        <v>0</v>
      </c>
      <c r="JU27" s="525" t="str">
        <f t="shared" si="95"/>
        <v>0</v>
      </c>
      <c r="JV27" s="523"/>
      <c r="JW27" s="525" t="str">
        <f t="shared" si="96"/>
        <v>0</v>
      </c>
      <c r="JX27" s="525" t="str">
        <f t="shared" si="97"/>
        <v>0</v>
      </c>
      <c r="JY27" s="523"/>
      <c r="JZ27" s="525" t="str">
        <f t="shared" si="98"/>
        <v>0</v>
      </c>
      <c r="KA27" s="525" t="str">
        <f t="shared" si="99"/>
        <v>0</v>
      </c>
      <c r="KB27" s="523"/>
      <c r="KC27" s="525" t="str">
        <f t="shared" si="100"/>
        <v>0</v>
      </c>
      <c r="KD27" s="525" t="str">
        <f t="shared" si="101"/>
        <v>0</v>
      </c>
      <c r="KE27" s="523"/>
      <c r="KF27" s="525" t="str">
        <f t="shared" si="102"/>
        <v>0</v>
      </c>
      <c r="KG27" s="525" t="str">
        <f t="shared" si="103"/>
        <v>0</v>
      </c>
      <c r="KH27" s="523"/>
      <c r="KI27" s="525" t="str">
        <f t="shared" si="104"/>
        <v>0</v>
      </c>
      <c r="KJ27" s="525" t="str">
        <f t="shared" si="105"/>
        <v>0</v>
      </c>
      <c r="KK27" s="523"/>
      <c r="KL27" s="525" t="str">
        <f t="shared" si="106"/>
        <v>0</v>
      </c>
      <c r="KM27" s="525" t="str">
        <f t="shared" si="107"/>
        <v>0</v>
      </c>
      <c r="KN27" s="523"/>
      <c r="KO27" s="525" t="str">
        <f t="shared" si="108"/>
        <v>0</v>
      </c>
      <c r="KP27" s="525" t="str">
        <f t="shared" si="109"/>
        <v>0</v>
      </c>
      <c r="KQ27" s="523"/>
      <c r="KR27" s="525" t="str">
        <f t="shared" si="110"/>
        <v>0</v>
      </c>
      <c r="KS27" s="525" t="str">
        <f t="shared" si="111"/>
        <v>0</v>
      </c>
      <c r="KT27" s="525">
        <f t="shared" si="201"/>
        <v>0</v>
      </c>
      <c r="KU27" s="525">
        <f t="shared" si="202"/>
        <v>0</v>
      </c>
      <c r="KV27" s="261">
        <f t="shared" si="199"/>
        <v>301.71850872093017</v>
      </c>
    </row>
    <row r="28" spans="1:308">
      <c r="A28" s="262">
        <f t="shared" si="200"/>
        <v>46132</v>
      </c>
      <c r="B28" s="263" t="str">
        <f>+Report1!B28</f>
        <v>Toilet/Facial</v>
      </c>
      <c r="C28" s="263" t="str">
        <f>+Report1!C28</f>
        <v>13,5/12/14,5</v>
      </c>
      <c r="D28" s="264">
        <f>+Report1!P28</f>
        <v>42.622</v>
      </c>
      <c r="E28" s="556">
        <f>+Report1!R28</f>
        <v>41.040999999999997</v>
      </c>
      <c r="F28" s="523"/>
      <c r="G28" s="524">
        <f t="shared" si="0"/>
        <v>0</v>
      </c>
      <c r="H28" s="525">
        <f t="shared" si="112"/>
        <v>0</v>
      </c>
      <c r="I28" s="523">
        <v>267.44186046511629</v>
      </c>
      <c r="J28" s="524">
        <f t="shared" si="1"/>
        <v>6.5164557507155356</v>
      </c>
      <c r="K28" s="525">
        <f t="shared" si="113"/>
        <v>0</v>
      </c>
      <c r="L28" s="523"/>
      <c r="M28" s="524">
        <f t="shared" si="2"/>
        <v>0</v>
      </c>
      <c r="N28" s="525">
        <f t="shared" si="114"/>
        <v>0</v>
      </c>
      <c r="O28" s="523">
        <v>5.9988000000000028</v>
      </c>
      <c r="P28" s="524">
        <f t="shared" si="3"/>
        <v>0.14616602909285845</v>
      </c>
      <c r="Q28" s="525">
        <f t="shared" si="115"/>
        <v>0</v>
      </c>
      <c r="R28" s="523"/>
      <c r="S28" s="524">
        <f t="shared" si="4"/>
        <v>0</v>
      </c>
      <c r="T28" s="525">
        <f t="shared" si="116"/>
        <v>0</v>
      </c>
      <c r="U28" s="523">
        <v>7.6914999999999907</v>
      </c>
      <c r="V28" s="524">
        <f t="shared" si="5"/>
        <v>0.18741015082478477</v>
      </c>
      <c r="W28" s="525">
        <f t="shared" si="117"/>
        <v>0</v>
      </c>
      <c r="X28" s="523"/>
      <c r="Y28" s="524">
        <f t="shared" si="6"/>
        <v>0</v>
      </c>
      <c r="Z28" s="525">
        <f t="shared" si="118"/>
        <v>0</v>
      </c>
      <c r="AA28" s="523">
        <v>10.9375</v>
      </c>
      <c r="AB28" s="524">
        <f t="shared" si="7"/>
        <v>0.2665017908920348</v>
      </c>
      <c r="AC28" s="525">
        <f t="shared" si="119"/>
        <v>0</v>
      </c>
      <c r="AD28" s="523"/>
      <c r="AE28" s="524">
        <f t="shared" si="8"/>
        <v>0</v>
      </c>
      <c r="AF28" s="525">
        <f t="shared" si="120"/>
        <v>0</v>
      </c>
      <c r="AG28" s="523"/>
      <c r="AH28" s="524">
        <f t="shared" si="9"/>
        <v>0</v>
      </c>
      <c r="AI28" s="525">
        <f t="shared" si="121"/>
        <v>0</v>
      </c>
      <c r="AJ28" s="523"/>
      <c r="AK28" s="524">
        <f t="shared" si="10"/>
        <v>0</v>
      </c>
      <c r="AL28" s="525">
        <f t="shared" si="122"/>
        <v>0</v>
      </c>
      <c r="AM28" s="523"/>
      <c r="AN28" s="524">
        <f t="shared" si="11"/>
        <v>0</v>
      </c>
      <c r="AO28" s="525">
        <f t="shared" si="123"/>
        <v>0</v>
      </c>
      <c r="AP28" s="523"/>
      <c r="AQ28" s="524">
        <f t="shared" si="12"/>
        <v>0</v>
      </c>
      <c r="AR28" s="525">
        <f t="shared" si="124"/>
        <v>0</v>
      </c>
      <c r="AS28" s="523"/>
      <c r="AT28" s="524">
        <f t="shared" si="13"/>
        <v>0</v>
      </c>
      <c r="AU28" s="525">
        <f t="shared" si="125"/>
        <v>0</v>
      </c>
      <c r="AV28" s="523"/>
      <c r="AW28" s="524">
        <f t="shared" si="14"/>
        <v>0</v>
      </c>
      <c r="AX28" s="525">
        <f t="shared" si="126"/>
        <v>0</v>
      </c>
      <c r="AY28" s="523"/>
      <c r="AZ28" s="524">
        <f t="shared" si="15"/>
        <v>0</v>
      </c>
      <c r="BA28" s="525">
        <f t="shared" si="127"/>
        <v>0</v>
      </c>
      <c r="BB28" s="523"/>
      <c r="BC28" s="524">
        <f t="shared" si="16"/>
        <v>0</v>
      </c>
      <c r="BD28" s="525">
        <f t="shared" si="128"/>
        <v>0</v>
      </c>
      <c r="BE28" s="523"/>
      <c r="BF28" s="524">
        <f t="shared" si="17"/>
        <v>0</v>
      </c>
      <c r="BG28" s="525">
        <f t="shared" si="129"/>
        <v>0</v>
      </c>
      <c r="BH28" s="523"/>
      <c r="BI28" s="524">
        <f t="shared" si="18"/>
        <v>0</v>
      </c>
      <c r="BJ28" s="525">
        <f t="shared" si="130"/>
        <v>0</v>
      </c>
      <c r="BK28" s="523"/>
      <c r="BL28" s="524">
        <f t="shared" si="19"/>
        <v>0</v>
      </c>
      <c r="BM28" s="525">
        <f t="shared" si="131"/>
        <v>0</v>
      </c>
      <c r="BN28" s="523"/>
      <c r="BO28" s="524">
        <f t="shared" si="20"/>
        <v>0</v>
      </c>
      <c r="BP28" s="525">
        <f t="shared" si="132"/>
        <v>0</v>
      </c>
      <c r="BQ28" s="523">
        <v>412.65822784810098</v>
      </c>
      <c r="BR28" s="524">
        <f t="shared" si="21"/>
        <v>10.054780045517921</v>
      </c>
      <c r="BS28" s="525">
        <f t="shared" si="133"/>
        <v>0</v>
      </c>
      <c r="BT28" s="523"/>
      <c r="BU28" s="524">
        <f t="shared" si="22"/>
        <v>0</v>
      </c>
      <c r="BV28" s="525">
        <f t="shared" si="134"/>
        <v>0</v>
      </c>
      <c r="BW28" s="523"/>
      <c r="BX28" s="524">
        <f t="shared" si="23"/>
        <v>0</v>
      </c>
      <c r="BY28" s="525">
        <f t="shared" si="135"/>
        <v>0</v>
      </c>
      <c r="BZ28" s="523"/>
      <c r="CA28" s="524">
        <f t="shared" si="24"/>
        <v>0</v>
      </c>
      <c r="CB28" s="525">
        <f t="shared" si="136"/>
        <v>0</v>
      </c>
      <c r="CC28" s="523"/>
      <c r="CD28" s="524">
        <f t="shared" si="25"/>
        <v>0</v>
      </c>
      <c r="CE28" s="525">
        <f t="shared" si="137"/>
        <v>0</v>
      </c>
      <c r="CF28" s="523">
        <v>0.5</v>
      </c>
      <c r="CG28" s="524">
        <f t="shared" si="26"/>
        <v>1.2182939012207307E-2</v>
      </c>
      <c r="CH28" s="525">
        <f t="shared" si="138"/>
        <v>0</v>
      </c>
      <c r="CI28" s="523"/>
      <c r="CJ28" s="524">
        <f t="shared" si="27"/>
        <v>0</v>
      </c>
      <c r="CK28" s="525">
        <f t="shared" si="139"/>
        <v>0</v>
      </c>
      <c r="CL28" s="523"/>
      <c r="CM28" s="524">
        <f t="shared" si="28"/>
        <v>0</v>
      </c>
      <c r="CN28" s="525">
        <f t="shared" si="140"/>
        <v>0</v>
      </c>
      <c r="CO28" s="523"/>
      <c r="CP28" s="524">
        <f t="shared" si="29"/>
        <v>0</v>
      </c>
      <c r="CQ28" s="525">
        <f t="shared" si="141"/>
        <v>0</v>
      </c>
      <c r="CR28" s="523"/>
      <c r="CS28" s="524">
        <f t="shared" si="30"/>
        <v>0</v>
      </c>
      <c r="CT28" s="525">
        <f t="shared" si="142"/>
        <v>0</v>
      </c>
      <c r="CU28" s="523"/>
      <c r="CV28" s="524">
        <f t="shared" si="31"/>
        <v>0</v>
      </c>
      <c r="CW28" s="525">
        <f t="shared" si="143"/>
        <v>0</v>
      </c>
      <c r="CX28" s="523"/>
      <c r="CY28" s="524">
        <f t="shared" si="32"/>
        <v>0</v>
      </c>
      <c r="CZ28" s="525">
        <f t="shared" si="144"/>
        <v>0</v>
      </c>
      <c r="DA28" s="523">
        <v>14.529023255813911</v>
      </c>
      <c r="DB28" s="524">
        <f t="shared" si="33"/>
        <v>0.354012408465045</v>
      </c>
      <c r="DC28" s="525">
        <f t="shared" si="145"/>
        <v>0</v>
      </c>
      <c r="DD28" s="523"/>
      <c r="DE28" s="524">
        <f t="shared" si="34"/>
        <v>0</v>
      </c>
      <c r="DF28" s="525">
        <f t="shared" si="146"/>
        <v>0</v>
      </c>
      <c r="DG28" s="523"/>
      <c r="DH28" s="524">
        <f t="shared" si="35"/>
        <v>0</v>
      </c>
      <c r="DI28" s="525">
        <f t="shared" si="203"/>
        <v>0</v>
      </c>
      <c r="DJ28" s="523"/>
      <c r="DK28" s="524">
        <f t="shared" si="36"/>
        <v>0</v>
      </c>
      <c r="DL28" s="525">
        <f t="shared" si="147"/>
        <v>0</v>
      </c>
      <c r="DM28" s="523"/>
      <c r="DN28" s="524">
        <f t="shared" si="37"/>
        <v>0</v>
      </c>
      <c r="DO28" s="525">
        <f t="shared" si="148"/>
        <v>0</v>
      </c>
      <c r="DP28" s="523"/>
      <c r="DQ28" s="524">
        <f t="shared" si="38"/>
        <v>0</v>
      </c>
      <c r="DR28" s="525">
        <f t="shared" si="149"/>
        <v>0</v>
      </c>
      <c r="DS28" s="523"/>
      <c r="DT28" s="524">
        <f t="shared" si="39"/>
        <v>0</v>
      </c>
      <c r="DU28" s="525">
        <f t="shared" si="150"/>
        <v>0</v>
      </c>
      <c r="DV28" s="523"/>
      <c r="DW28" s="524">
        <f t="shared" si="40"/>
        <v>0</v>
      </c>
      <c r="DX28" s="525">
        <f t="shared" si="151"/>
        <v>0</v>
      </c>
      <c r="DY28" s="523"/>
      <c r="DZ28" s="524">
        <f t="shared" si="41"/>
        <v>0</v>
      </c>
      <c r="EA28" s="525">
        <f t="shared" si="152"/>
        <v>0</v>
      </c>
      <c r="EB28" s="523"/>
      <c r="EC28" s="524">
        <f t="shared" si="42"/>
        <v>0</v>
      </c>
      <c r="ED28" s="525">
        <f t="shared" si="153"/>
        <v>0</v>
      </c>
      <c r="EE28" s="523">
        <v>14.534883720930239</v>
      </c>
      <c r="EF28" s="524">
        <f t="shared" si="43"/>
        <v>0.35415520384323579</v>
      </c>
      <c r="EG28" s="525">
        <f t="shared" si="154"/>
        <v>0</v>
      </c>
      <c r="EH28" s="523">
        <v>46.967647058823559</v>
      </c>
      <c r="EI28" s="524">
        <f t="shared" si="44"/>
        <v>1.1444079593290506</v>
      </c>
      <c r="EJ28" s="525">
        <f t="shared" si="155"/>
        <v>0</v>
      </c>
      <c r="EK28" s="523">
        <v>4</v>
      </c>
      <c r="EL28" s="524">
        <f t="shared" si="45"/>
        <v>9.7463512097658453E-2</v>
      </c>
      <c r="EM28" s="525">
        <f t="shared" si="156"/>
        <v>0</v>
      </c>
      <c r="EN28" s="523">
        <v>48.783843536585437</v>
      </c>
      <c r="EO28" s="524">
        <f t="shared" si="46"/>
        <v>1.188661181174568</v>
      </c>
      <c r="EP28" s="525">
        <f t="shared" si="157"/>
        <v>0</v>
      </c>
      <c r="EQ28" s="523">
        <v>39.534883720930225</v>
      </c>
      <c r="ER28" s="524">
        <f t="shared" si="47"/>
        <v>0.96330215445360068</v>
      </c>
      <c r="ES28" s="525">
        <f t="shared" si="158"/>
        <v>0</v>
      </c>
      <c r="ET28" s="523"/>
      <c r="EU28" s="524">
        <f t="shared" si="48"/>
        <v>0</v>
      </c>
      <c r="EV28" s="525">
        <f t="shared" si="159"/>
        <v>0</v>
      </c>
      <c r="EW28" s="523"/>
      <c r="EX28" s="524">
        <f t="shared" si="49"/>
        <v>0</v>
      </c>
      <c r="EY28" s="525">
        <f t="shared" si="160"/>
        <v>0</v>
      </c>
      <c r="EZ28" s="523"/>
      <c r="FA28" s="524">
        <f t="shared" si="50"/>
        <v>0</v>
      </c>
      <c r="FB28" s="525">
        <f t="shared" si="161"/>
        <v>0</v>
      </c>
      <c r="FC28" s="523"/>
      <c r="FD28" s="524">
        <f t="shared" si="51"/>
        <v>0</v>
      </c>
      <c r="FE28" s="525">
        <f t="shared" si="162"/>
        <v>0</v>
      </c>
      <c r="FF28" s="523"/>
      <c r="FG28" s="524">
        <f t="shared" si="52"/>
        <v>0</v>
      </c>
      <c r="FH28" s="525">
        <f t="shared" si="163"/>
        <v>0</v>
      </c>
      <c r="FI28" s="523"/>
      <c r="FJ28" s="524">
        <f t="shared" si="53"/>
        <v>0</v>
      </c>
      <c r="FK28" s="525">
        <f t="shared" si="164"/>
        <v>0</v>
      </c>
      <c r="FL28" s="523"/>
      <c r="FM28" s="524">
        <f t="shared" si="54"/>
        <v>0</v>
      </c>
      <c r="FN28" s="525">
        <f t="shared" si="165"/>
        <v>0</v>
      </c>
      <c r="FO28" s="523"/>
      <c r="FP28" s="524">
        <f t="shared" si="55"/>
        <v>0</v>
      </c>
      <c r="FQ28" s="525">
        <f t="shared" si="166"/>
        <v>0</v>
      </c>
      <c r="FR28" s="523"/>
      <c r="FS28" s="524">
        <f t="shared" si="56"/>
        <v>0</v>
      </c>
      <c r="FT28" s="525">
        <f t="shared" si="167"/>
        <v>0</v>
      </c>
      <c r="FU28" s="523"/>
      <c r="FV28" s="524">
        <f t="shared" si="57"/>
        <v>0</v>
      </c>
      <c r="FW28" s="525">
        <f t="shared" si="168"/>
        <v>0</v>
      </c>
      <c r="FX28" s="523"/>
      <c r="FY28" s="524">
        <f t="shared" si="58"/>
        <v>0</v>
      </c>
      <c r="FZ28" s="525">
        <f t="shared" si="169"/>
        <v>0</v>
      </c>
      <c r="GA28" s="523"/>
      <c r="GB28" s="524">
        <f t="shared" si="59"/>
        <v>0</v>
      </c>
      <c r="GC28" s="525">
        <f t="shared" si="170"/>
        <v>0</v>
      </c>
      <c r="GD28" s="523"/>
      <c r="GE28" s="524">
        <f t="shared" si="60"/>
        <v>0</v>
      </c>
      <c r="GF28" s="525">
        <f t="shared" si="171"/>
        <v>0</v>
      </c>
      <c r="GG28" s="523"/>
      <c r="GH28" s="524">
        <f t="shared" si="61"/>
        <v>0</v>
      </c>
      <c r="GI28" s="525">
        <f t="shared" si="172"/>
        <v>0</v>
      </c>
      <c r="GJ28" s="523"/>
      <c r="GK28" s="524">
        <f t="shared" si="62"/>
        <v>0</v>
      </c>
      <c r="GL28" s="525">
        <f t="shared" si="173"/>
        <v>0</v>
      </c>
      <c r="GM28" s="523"/>
      <c r="GN28" s="524">
        <f t="shared" si="63"/>
        <v>0</v>
      </c>
      <c r="GO28" s="525">
        <f t="shared" si="174"/>
        <v>0</v>
      </c>
      <c r="GP28" s="523"/>
      <c r="GQ28" s="524">
        <f t="shared" si="64"/>
        <v>0</v>
      </c>
      <c r="GR28" s="525">
        <f t="shared" si="175"/>
        <v>0</v>
      </c>
      <c r="GS28" s="523"/>
      <c r="GT28" s="524">
        <f t="shared" si="65"/>
        <v>0</v>
      </c>
      <c r="GU28" s="525">
        <f t="shared" si="176"/>
        <v>0</v>
      </c>
      <c r="GV28" s="523"/>
      <c r="GW28" s="524">
        <f t="shared" si="66"/>
        <v>0</v>
      </c>
      <c r="GX28" s="525">
        <f t="shared" si="177"/>
        <v>0</v>
      </c>
      <c r="GY28" s="523"/>
      <c r="GZ28" s="524">
        <f t="shared" si="67"/>
        <v>0</v>
      </c>
      <c r="HA28" s="525">
        <f t="shared" si="178"/>
        <v>0</v>
      </c>
      <c r="HB28" s="523"/>
      <c r="HC28" s="524">
        <f t="shared" si="68"/>
        <v>0</v>
      </c>
      <c r="HD28" s="525">
        <f t="shared" si="179"/>
        <v>0</v>
      </c>
      <c r="HE28" s="523"/>
      <c r="HF28" s="524">
        <f t="shared" si="69"/>
        <v>0</v>
      </c>
      <c r="HG28" s="525">
        <f t="shared" si="180"/>
        <v>0</v>
      </c>
      <c r="HH28" s="523"/>
      <c r="HI28" s="524">
        <f t="shared" si="70"/>
        <v>0</v>
      </c>
      <c r="HJ28" s="525">
        <f t="shared" si="181"/>
        <v>0</v>
      </c>
      <c r="HK28" s="523"/>
      <c r="HL28" s="524">
        <f t="shared" si="71"/>
        <v>0</v>
      </c>
      <c r="HM28" s="525">
        <f t="shared" si="182"/>
        <v>0</v>
      </c>
      <c r="HN28" s="523"/>
      <c r="HO28" s="524">
        <f t="shared" si="72"/>
        <v>0</v>
      </c>
      <c r="HP28" s="525">
        <f t="shared" si="183"/>
        <v>0</v>
      </c>
      <c r="HQ28" s="523"/>
      <c r="HR28" s="524">
        <f t="shared" si="73"/>
        <v>0</v>
      </c>
      <c r="HS28" s="525">
        <f t="shared" si="184"/>
        <v>0</v>
      </c>
      <c r="HT28" s="523"/>
      <c r="HU28" s="524">
        <f t="shared" si="74"/>
        <v>0</v>
      </c>
      <c r="HV28" s="525">
        <f t="shared" si="185"/>
        <v>0</v>
      </c>
      <c r="HW28" s="523"/>
      <c r="HX28" s="524">
        <f t="shared" si="75"/>
        <v>0</v>
      </c>
      <c r="HY28" s="525">
        <f t="shared" si="186"/>
        <v>0</v>
      </c>
      <c r="HZ28" s="523"/>
      <c r="IA28" s="524">
        <f t="shared" si="76"/>
        <v>0</v>
      </c>
      <c r="IB28" s="525">
        <f t="shared" si="187"/>
        <v>0</v>
      </c>
      <c r="IC28" s="523"/>
      <c r="ID28" s="524">
        <f t="shared" si="77"/>
        <v>0</v>
      </c>
      <c r="IE28" s="525">
        <f t="shared" si="188"/>
        <v>0</v>
      </c>
      <c r="IF28" s="523"/>
      <c r="IG28" s="524">
        <f t="shared" si="78"/>
        <v>0</v>
      </c>
      <c r="IH28" s="525">
        <f t="shared" si="189"/>
        <v>0</v>
      </c>
      <c r="II28" s="523"/>
      <c r="IJ28" s="524">
        <f t="shared" si="79"/>
        <v>0</v>
      </c>
      <c r="IK28" s="525">
        <f t="shared" si="190"/>
        <v>0</v>
      </c>
      <c r="IL28" s="523"/>
      <c r="IM28" s="524">
        <f t="shared" si="80"/>
        <v>0</v>
      </c>
      <c r="IN28" s="525">
        <f t="shared" si="191"/>
        <v>0</v>
      </c>
      <c r="IO28" s="523"/>
      <c r="IP28" s="524">
        <f t="shared" si="81"/>
        <v>0</v>
      </c>
      <c r="IQ28" s="525">
        <f t="shared" si="192"/>
        <v>0</v>
      </c>
      <c r="IR28" s="523"/>
      <c r="IS28" s="524">
        <f t="shared" si="82"/>
        <v>0</v>
      </c>
      <c r="IT28" s="525">
        <f t="shared" si="193"/>
        <v>0</v>
      </c>
      <c r="IU28" s="523"/>
      <c r="IV28" s="524">
        <f t="shared" si="83"/>
        <v>0</v>
      </c>
      <c r="IW28" s="525">
        <f t="shared" si="194"/>
        <v>0</v>
      </c>
      <c r="IX28" s="523"/>
      <c r="IY28" s="524">
        <f t="shared" si="84"/>
        <v>0</v>
      </c>
      <c r="IZ28" s="525">
        <f t="shared" si="195"/>
        <v>0</v>
      </c>
      <c r="JA28" s="523"/>
      <c r="JB28" s="524">
        <f t="shared" si="85"/>
        <v>0</v>
      </c>
      <c r="JC28" s="525">
        <f t="shared" si="196"/>
        <v>0</v>
      </c>
      <c r="JD28" s="523"/>
      <c r="JE28" s="524">
        <f t="shared" si="86"/>
        <v>0</v>
      </c>
      <c r="JF28" s="525">
        <f t="shared" si="197"/>
        <v>0</v>
      </c>
      <c r="JG28" s="523"/>
      <c r="JH28" s="524">
        <f t="shared" si="87"/>
        <v>0</v>
      </c>
      <c r="JI28" s="525">
        <f t="shared" si="198"/>
        <v>0</v>
      </c>
      <c r="JJ28" s="523"/>
      <c r="JK28" s="525" t="str">
        <f t="shared" si="88"/>
        <v>0</v>
      </c>
      <c r="JL28" s="525" t="str">
        <f t="shared" si="89"/>
        <v>0</v>
      </c>
      <c r="JM28" s="523"/>
      <c r="JN28" s="525" t="str">
        <f t="shared" si="90"/>
        <v>0</v>
      </c>
      <c r="JO28" s="525" t="str">
        <f t="shared" si="91"/>
        <v>0</v>
      </c>
      <c r="JP28" s="523"/>
      <c r="JQ28" s="525" t="str">
        <f t="shared" si="92"/>
        <v>0</v>
      </c>
      <c r="JR28" s="525" t="str">
        <f t="shared" si="93"/>
        <v>0</v>
      </c>
      <c r="JS28" s="523"/>
      <c r="JT28" s="525" t="str">
        <f t="shared" si="94"/>
        <v>0</v>
      </c>
      <c r="JU28" s="525" t="str">
        <f t="shared" si="95"/>
        <v>0</v>
      </c>
      <c r="JV28" s="523"/>
      <c r="JW28" s="525" t="str">
        <f t="shared" si="96"/>
        <v>0</v>
      </c>
      <c r="JX28" s="525" t="str">
        <f t="shared" si="97"/>
        <v>0</v>
      </c>
      <c r="JY28" s="523"/>
      <c r="JZ28" s="525" t="str">
        <f t="shared" si="98"/>
        <v>0</v>
      </c>
      <c r="KA28" s="525" t="str">
        <f t="shared" si="99"/>
        <v>0</v>
      </c>
      <c r="KB28" s="523"/>
      <c r="KC28" s="525" t="str">
        <f t="shared" si="100"/>
        <v>0</v>
      </c>
      <c r="KD28" s="525" t="str">
        <f t="shared" si="101"/>
        <v>0</v>
      </c>
      <c r="KE28" s="523"/>
      <c r="KF28" s="525" t="str">
        <f t="shared" si="102"/>
        <v>0</v>
      </c>
      <c r="KG28" s="525" t="str">
        <f t="shared" si="103"/>
        <v>0</v>
      </c>
      <c r="KH28" s="523"/>
      <c r="KI28" s="525" t="str">
        <f t="shared" si="104"/>
        <v>0</v>
      </c>
      <c r="KJ28" s="525" t="str">
        <f t="shared" si="105"/>
        <v>0</v>
      </c>
      <c r="KK28" s="523"/>
      <c r="KL28" s="525" t="str">
        <f t="shared" si="106"/>
        <v>0</v>
      </c>
      <c r="KM28" s="525" t="str">
        <f t="shared" si="107"/>
        <v>0</v>
      </c>
      <c r="KN28" s="523"/>
      <c r="KO28" s="525" t="str">
        <f t="shared" si="108"/>
        <v>0</v>
      </c>
      <c r="KP28" s="525" t="str">
        <f t="shared" si="109"/>
        <v>0</v>
      </c>
      <c r="KQ28" s="523"/>
      <c r="KR28" s="525" t="str">
        <f t="shared" si="110"/>
        <v>0</v>
      </c>
      <c r="KS28" s="525" t="str">
        <f t="shared" si="111"/>
        <v>0</v>
      </c>
      <c r="KT28" s="525">
        <f t="shared" si="201"/>
        <v>0</v>
      </c>
      <c r="KU28" s="525">
        <f t="shared" si="202"/>
        <v>0</v>
      </c>
      <c r="KV28" s="261">
        <f t="shared" si="199"/>
        <v>873.57816960630066</v>
      </c>
    </row>
    <row r="29" spans="1:308">
      <c r="A29" s="262">
        <f t="shared" si="200"/>
        <v>46133</v>
      </c>
      <c r="B29" s="263" t="str">
        <f>+Report1!B29</f>
        <v>Facial</v>
      </c>
      <c r="C29" s="263" t="str">
        <f>+Report1!C29</f>
        <v>14,5</v>
      </c>
      <c r="D29" s="264">
        <f>+Report1!P29</f>
        <v>44.065999999999995</v>
      </c>
      <c r="E29" s="556">
        <f>+Report1!R29</f>
        <v>43.082999999999998</v>
      </c>
      <c r="F29" s="523"/>
      <c r="G29" s="524">
        <f t="shared" si="0"/>
        <v>0</v>
      </c>
      <c r="H29" s="525">
        <f t="shared" si="112"/>
        <v>0</v>
      </c>
      <c r="I29" s="523">
        <v>232.55813953488382</v>
      </c>
      <c r="J29" s="524">
        <f t="shared" si="1"/>
        <v>5.3979096055261664</v>
      </c>
      <c r="K29" s="525">
        <f t="shared" si="113"/>
        <v>0</v>
      </c>
      <c r="L29" s="523"/>
      <c r="M29" s="524">
        <f t="shared" si="2"/>
        <v>0</v>
      </c>
      <c r="N29" s="525">
        <f t="shared" si="114"/>
        <v>0</v>
      </c>
      <c r="O29" s="523">
        <v>6</v>
      </c>
      <c r="P29" s="524">
        <f t="shared" si="3"/>
        <v>0.13926606782257503</v>
      </c>
      <c r="Q29" s="525">
        <f t="shared" si="115"/>
        <v>0</v>
      </c>
      <c r="R29" s="523"/>
      <c r="S29" s="524">
        <f t="shared" si="4"/>
        <v>0</v>
      </c>
      <c r="T29" s="525">
        <f t="shared" si="116"/>
        <v>0</v>
      </c>
      <c r="U29" s="523">
        <v>7.6875</v>
      </c>
      <c r="V29" s="524">
        <f t="shared" si="5"/>
        <v>0.17843464939767426</v>
      </c>
      <c r="W29" s="525">
        <f t="shared" si="117"/>
        <v>0</v>
      </c>
      <c r="X29" s="523"/>
      <c r="Y29" s="524">
        <f t="shared" si="6"/>
        <v>0</v>
      </c>
      <c r="Z29" s="525">
        <f t="shared" si="118"/>
        <v>0</v>
      </c>
      <c r="AA29" s="523">
        <v>10.9375</v>
      </c>
      <c r="AB29" s="524">
        <f t="shared" si="7"/>
        <v>0.2538704361349024</v>
      </c>
      <c r="AC29" s="525">
        <f t="shared" si="119"/>
        <v>0</v>
      </c>
      <c r="AD29" s="523"/>
      <c r="AE29" s="524">
        <f t="shared" si="8"/>
        <v>0</v>
      </c>
      <c r="AF29" s="525">
        <f t="shared" si="120"/>
        <v>0</v>
      </c>
      <c r="AG29" s="523"/>
      <c r="AH29" s="524">
        <f t="shared" si="9"/>
        <v>0</v>
      </c>
      <c r="AI29" s="525">
        <f t="shared" si="121"/>
        <v>0</v>
      </c>
      <c r="AJ29" s="523"/>
      <c r="AK29" s="524">
        <f t="shared" si="10"/>
        <v>0</v>
      </c>
      <c r="AL29" s="525">
        <f t="shared" si="122"/>
        <v>0</v>
      </c>
      <c r="AM29" s="523"/>
      <c r="AN29" s="524">
        <f t="shared" si="11"/>
        <v>0</v>
      </c>
      <c r="AO29" s="525">
        <f t="shared" si="123"/>
        <v>0</v>
      </c>
      <c r="AP29" s="523"/>
      <c r="AQ29" s="524">
        <f t="shared" si="12"/>
        <v>0</v>
      </c>
      <c r="AR29" s="525">
        <f t="shared" si="124"/>
        <v>0</v>
      </c>
      <c r="AS29" s="523"/>
      <c r="AT29" s="524">
        <f t="shared" si="13"/>
        <v>0</v>
      </c>
      <c r="AU29" s="525">
        <f t="shared" si="125"/>
        <v>0</v>
      </c>
      <c r="AV29" s="523"/>
      <c r="AW29" s="524">
        <f t="shared" si="14"/>
        <v>0</v>
      </c>
      <c r="AX29" s="525">
        <f t="shared" si="126"/>
        <v>0</v>
      </c>
      <c r="AY29" s="523"/>
      <c r="AZ29" s="524">
        <f t="shared" si="15"/>
        <v>0</v>
      </c>
      <c r="BA29" s="525">
        <f t="shared" si="127"/>
        <v>0</v>
      </c>
      <c r="BB29" s="523"/>
      <c r="BC29" s="524">
        <f t="shared" si="16"/>
        <v>0</v>
      </c>
      <c r="BD29" s="525">
        <f t="shared" si="128"/>
        <v>0</v>
      </c>
      <c r="BE29" s="523"/>
      <c r="BF29" s="524">
        <f t="shared" si="17"/>
        <v>0</v>
      </c>
      <c r="BG29" s="525">
        <f t="shared" si="129"/>
        <v>0</v>
      </c>
      <c r="BH29" s="523"/>
      <c r="BI29" s="524">
        <f t="shared" si="18"/>
        <v>0</v>
      </c>
      <c r="BJ29" s="525">
        <f t="shared" si="130"/>
        <v>0</v>
      </c>
      <c r="BK29" s="523"/>
      <c r="BL29" s="524">
        <f t="shared" si="19"/>
        <v>0</v>
      </c>
      <c r="BM29" s="525">
        <f t="shared" si="131"/>
        <v>0</v>
      </c>
      <c r="BN29" s="523"/>
      <c r="BO29" s="524">
        <f t="shared" si="20"/>
        <v>0</v>
      </c>
      <c r="BP29" s="525">
        <f t="shared" si="132"/>
        <v>0</v>
      </c>
      <c r="BQ29" s="523">
        <v>382.2784810126584</v>
      </c>
      <c r="BR29" s="524">
        <f t="shared" si="21"/>
        <v>8.873070143969974</v>
      </c>
      <c r="BS29" s="525">
        <f t="shared" si="133"/>
        <v>0</v>
      </c>
      <c r="BT29" s="523"/>
      <c r="BU29" s="524">
        <f t="shared" si="22"/>
        <v>0</v>
      </c>
      <c r="BV29" s="525">
        <f t="shared" si="134"/>
        <v>0</v>
      </c>
      <c r="BW29" s="523"/>
      <c r="BX29" s="524">
        <f t="shared" si="23"/>
        <v>0</v>
      </c>
      <c r="BY29" s="525">
        <f t="shared" si="135"/>
        <v>0</v>
      </c>
      <c r="BZ29" s="523"/>
      <c r="CA29" s="524">
        <f t="shared" si="24"/>
        <v>0</v>
      </c>
      <c r="CB29" s="525">
        <f t="shared" si="136"/>
        <v>0</v>
      </c>
      <c r="CC29" s="523"/>
      <c r="CD29" s="524">
        <f t="shared" si="25"/>
        <v>0</v>
      </c>
      <c r="CE29" s="525">
        <f t="shared" si="137"/>
        <v>0</v>
      </c>
      <c r="CF29" s="523">
        <v>0.5</v>
      </c>
      <c r="CG29" s="524">
        <f t="shared" si="26"/>
        <v>1.1605505651881252E-2</v>
      </c>
      <c r="CH29" s="525">
        <f t="shared" si="138"/>
        <v>0</v>
      </c>
      <c r="CI29" s="523"/>
      <c r="CJ29" s="524">
        <f t="shared" si="27"/>
        <v>0</v>
      </c>
      <c r="CK29" s="525">
        <f t="shared" si="139"/>
        <v>0</v>
      </c>
      <c r="CL29" s="523"/>
      <c r="CM29" s="524">
        <f t="shared" si="28"/>
        <v>0</v>
      </c>
      <c r="CN29" s="525">
        <f t="shared" si="140"/>
        <v>0</v>
      </c>
      <c r="CO29" s="523"/>
      <c r="CP29" s="524">
        <f t="shared" si="29"/>
        <v>0</v>
      </c>
      <c r="CQ29" s="525">
        <f t="shared" si="141"/>
        <v>0</v>
      </c>
      <c r="CR29" s="523"/>
      <c r="CS29" s="524">
        <f t="shared" si="30"/>
        <v>0</v>
      </c>
      <c r="CT29" s="525">
        <f t="shared" si="142"/>
        <v>0</v>
      </c>
      <c r="CU29" s="523"/>
      <c r="CV29" s="524">
        <f t="shared" si="31"/>
        <v>0</v>
      </c>
      <c r="CW29" s="525">
        <f t="shared" si="143"/>
        <v>0</v>
      </c>
      <c r="CX29" s="523"/>
      <c r="CY29" s="524">
        <f t="shared" si="32"/>
        <v>0</v>
      </c>
      <c r="CZ29" s="525">
        <f t="shared" si="144"/>
        <v>0</v>
      </c>
      <c r="DA29" s="523"/>
      <c r="DB29" s="524">
        <f t="shared" si="33"/>
        <v>0</v>
      </c>
      <c r="DC29" s="525">
        <f t="shared" si="145"/>
        <v>0</v>
      </c>
      <c r="DD29" s="523"/>
      <c r="DE29" s="524">
        <f t="shared" si="34"/>
        <v>0</v>
      </c>
      <c r="DF29" s="525">
        <f t="shared" si="146"/>
        <v>0</v>
      </c>
      <c r="DG29" s="523"/>
      <c r="DH29" s="524">
        <f t="shared" si="35"/>
        <v>0</v>
      </c>
      <c r="DI29" s="525">
        <f t="shared" si="203"/>
        <v>0</v>
      </c>
      <c r="DJ29" s="523"/>
      <c r="DK29" s="524">
        <f t="shared" si="36"/>
        <v>0</v>
      </c>
      <c r="DL29" s="525">
        <f t="shared" si="147"/>
        <v>0</v>
      </c>
      <c r="DM29" s="523"/>
      <c r="DN29" s="524">
        <f t="shared" si="37"/>
        <v>0</v>
      </c>
      <c r="DO29" s="525">
        <f t="shared" si="148"/>
        <v>0</v>
      </c>
      <c r="DP29" s="523"/>
      <c r="DQ29" s="524">
        <f t="shared" si="38"/>
        <v>0</v>
      </c>
      <c r="DR29" s="525">
        <f t="shared" si="149"/>
        <v>0</v>
      </c>
      <c r="DS29" s="523"/>
      <c r="DT29" s="524">
        <f t="shared" si="39"/>
        <v>0</v>
      </c>
      <c r="DU29" s="525">
        <f t="shared" si="150"/>
        <v>0</v>
      </c>
      <c r="DV29" s="523"/>
      <c r="DW29" s="524">
        <f t="shared" si="40"/>
        <v>0</v>
      </c>
      <c r="DX29" s="525">
        <f t="shared" si="151"/>
        <v>0</v>
      </c>
      <c r="DY29" s="523"/>
      <c r="DZ29" s="524">
        <f t="shared" si="41"/>
        <v>0</v>
      </c>
      <c r="EA29" s="525">
        <f t="shared" si="152"/>
        <v>0</v>
      </c>
      <c r="EB29" s="523"/>
      <c r="EC29" s="524">
        <f t="shared" si="42"/>
        <v>0</v>
      </c>
      <c r="ED29" s="525">
        <f t="shared" si="153"/>
        <v>0</v>
      </c>
      <c r="EE29" s="523">
        <v>14.534883720930239</v>
      </c>
      <c r="EF29" s="524">
        <f t="shared" si="43"/>
        <v>0.3373693503453854</v>
      </c>
      <c r="EG29" s="525">
        <f t="shared" si="154"/>
        <v>0</v>
      </c>
      <c r="EH29" s="523">
        <v>70.447058823529403</v>
      </c>
      <c r="EI29" s="524">
        <f t="shared" si="44"/>
        <v>1.6351474786697631</v>
      </c>
      <c r="EJ29" s="525">
        <f t="shared" si="155"/>
        <v>0</v>
      </c>
      <c r="EK29" s="523">
        <v>3</v>
      </c>
      <c r="EL29" s="524">
        <f t="shared" si="45"/>
        <v>6.9633033911287515E-2</v>
      </c>
      <c r="EM29" s="525">
        <f t="shared" si="156"/>
        <v>0</v>
      </c>
      <c r="EN29" s="523">
        <v>48.780487804878021</v>
      </c>
      <c r="EO29" s="524">
        <f t="shared" si="46"/>
        <v>1.1322444538420728</v>
      </c>
      <c r="EP29" s="525">
        <f t="shared" si="157"/>
        <v>0</v>
      </c>
      <c r="EQ29" s="523">
        <v>29.651162790697668</v>
      </c>
      <c r="ER29" s="524">
        <f t="shared" si="47"/>
        <v>0.68823347470458573</v>
      </c>
      <c r="ES29" s="525">
        <f t="shared" si="158"/>
        <v>0</v>
      </c>
      <c r="ET29" s="523"/>
      <c r="EU29" s="524">
        <f t="shared" si="48"/>
        <v>0</v>
      </c>
      <c r="EV29" s="525">
        <f t="shared" si="159"/>
        <v>0</v>
      </c>
      <c r="EW29" s="523"/>
      <c r="EX29" s="524">
        <f t="shared" si="49"/>
        <v>0</v>
      </c>
      <c r="EY29" s="525">
        <f t="shared" si="160"/>
        <v>0</v>
      </c>
      <c r="EZ29" s="523"/>
      <c r="FA29" s="524">
        <f t="shared" si="50"/>
        <v>0</v>
      </c>
      <c r="FB29" s="525">
        <f t="shared" si="161"/>
        <v>0</v>
      </c>
      <c r="FC29" s="523"/>
      <c r="FD29" s="524">
        <f t="shared" si="51"/>
        <v>0</v>
      </c>
      <c r="FE29" s="525">
        <f t="shared" si="162"/>
        <v>0</v>
      </c>
      <c r="FF29" s="523"/>
      <c r="FG29" s="524">
        <f t="shared" si="52"/>
        <v>0</v>
      </c>
      <c r="FH29" s="525">
        <f t="shared" si="163"/>
        <v>0</v>
      </c>
      <c r="FI29" s="523"/>
      <c r="FJ29" s="524">
        <f t="shared" si="53"/>
        <v>0</v>
      </c>
      <c r="FK29" s="525">
        <f t="shared" si="164"/>
        <v>0</v>
      </c>
      <c r="FL29" s="523"/>
      <c r="FM29" s="524">
        <f t="shared" si="54"/>
        <v>0</v>
      </c>
      <c r="FN29" s="525">
        <f t="shared" si="165"/>
        <v>0</v>
      </c>
      <c r="FO29" s="523"/>
      <c r="FP29" s="524">
        <f t="shared" si="55"/>
        <v>0</v>
      </c>
      <c r="FQ29" s="525">
        <f t="shared" si="166"/>
        <v>0</v>
      </c>
      <c r="FR29" s="523"/>
      <c r="FS29" s="524">
        <f t="shared" si="56"/>
        <v>0</v>
      </c>
      <c r="FT29" s="525">
        <f t="shared" si="167"/>
        <v>0</v>
      </c>
      <c r="FU29" s="523"/>
      <c r="FV29" s="524">
        <f t="shared" si="57"/>
        <v>0</v>
      </c>
      <c r="FW29" s="525">
        <f t="shared" si="168"/>
        <v>0</v>
      </c>
      <c r="FX29" s="523"/>
      <c r="FY29" s="524">
        <f t="shared" si="58"/>
        <v>0</v>
      </c>
      <c r="FZ29" s="525">
        <f t="shared" si="169"/>
        <v>0</v>
      </c>
      <c r="GA29" s="523"/>
      <c r="GB29" s="524">
        <f t="shared" si="59"/>
        <v>0</v>
      </c>
      <c r="GC29" s="525">
        <f t="shared" si="170"/>
        <v>0</v>
      </c>
      <c r="GD29" s="523"/>
      <c r="GE29" s="524">
        <f t="shared" si="60"/>
        <v>0</v>
      </c>
      <c r="GF29" s="525">
        <f t="shared" si="171"/>
        <v>0</v>
      </c>
      <c r="GG29" s="523"/>
      <c r="GH29" s="524">
        <f t="shared" si="61"/>
        <v>0</v>
      </c>
      <c r="GI29" s="525">
        <f t="shared" si="172"/>
        <v>0</v>
      </c>
      <c r="GJ29" s="523"/>
      <c r="GK29" s="524">
        <f t="shared" si="62"/>
        <v>0</v>
      </c>
      <c r="GL29" s="525">
        <f t="shared" si="173"/>
        <v>0</v>
      </c>
      <c r="GM29" s="523"/>
      <c r="GN29" s="524">
        <f t="shared" si="63"/>
        <v>0</v>
      </c>
      <c r="GO29" s="525">
        <f t="shared" si="174"/>
        <v>0</v>
      </c>
      <c r="GP29" s="523"/>
      <c r="GQ29" s="524">
        <f t="shared" si="64"/>
        <v>0</v>
      </c>
      <c r="GR29" s="525">
        <f t="shared" si="175"/>
        <v>0</v>
      </c>
      <c r="GS29" s="523"/>
      <c r="GT29" s="524">
        <f t="shared" si="65"/>
        <v>0</v>
      </c>
      <c r="GU29" s="525">
        <f t="shared" si="176"/>
        <v>0</v>
      </c>
      <c r="GV29" s="523"/>
      <c r="GW29" s="524">
        <f t="shared" si="66"/>
        <v>0</v>
      </c>
      <c r="GX29" s="525">
        <f t="shared" si="177"/>
        <v>0</v>
      </c>
      <c r="GY29" s="523"/>
      <c r="GZ29" s="524">
        <f t="shared" si="67"/>
        <v>0</v>
      </c>
      <c r="HA29" s="525">
        <f t="shared" si="178"/>
        <v>0</v>
      </c>
      <c r="HB29" s="523"/>
      <c r="HC29" s="524">
        <f t="shared" si="68"/>
        <v>0</v>
      </c>
      <c r="HD29" s="525">
        <f t="shared" si="179"/>
        <v>0</v>
      </c>
      <c r="HE29" s="523"/>
      <c r="HF29" s="524">
        <f t="shared" si="69"/>
        <v>0</v>
      </c>
      <c r="HG29" s="525">
        <f t="shared" si="180"/>
        <v>0</v>
      </c>
      <c r="HH29" s="523"/>
      <c r="HI29" s="524">
        <f t="shared" si="70"/>
        <v>0</v>
      </c>
      <c r="HJ29" s="525">
        <f t="shared" si="181"/>
        <v>0</v>
      </c>
      <c r="HK29" s="523"/>
      <c r="HL29" s="524">
        <f t="shared" si="71"/>
        <v>0</v>
      </c>
      <c r="HM29" s="525">
        <f t="shared" si="182"/>
        <v>0</v>
      </c>
      <c r="HN29" s="523"/>
      <c r="HO29" s="524">
        <f t="shared" si="72"/>
        <v>0</v>
      </c>
      <c r="HP29" s="525">
        <f t="shared" si="183"/>
        <v>0</v>
      </c>
      <c r="HQ29" s="523"/>
      <c r="HR29" s="524">
        <f t="shared" si="73"/>
        <v>0</v>
      </c>
      <c r="HS29" s="525">
        <f t="shared" si="184"/>
        <v>0</v>
      </c>
      <c r="HT29" s="523"/>
      <c r="HU29" s="524">
        <f t="shared" si="74"/>
        <v>0</v>
      </c>
      <c r="HV29" s="525">
        <f t="shared" si="185"/>
        <v>0</v>
      </c>
      <c r="HW29" s="523"/>
      <c r="HX29" s="524">
        <f t="shared" si="75"/>
        <v>0</v>
      </c>
      <c r="HY29" s="525">
        <f t="shared" si="186"/>
        <v>0</v>
      </c>
      <c r="HZ29" s="523"/>
      <c r="IA29" s="524">
        <f t="shared" si="76"/>
        <v>0</v>
      </c>
      <c r="IB29" s="525">
        <f t="shared" si="187"/>
        <v>0</v>
      </c>
      <c r="IC29" s="523"/>
      <c r="ID29" s="524">
        <f t="shared" si="77"/>
        <v>0</v>
      </c>
      <c r="IE29" s="525">
        <f t="shared" si="188"/>
        <v>0</v>
      </c>
      <c r="IF29" s="523"/>
      <c r="IG29" s="524">
        <f t="shared" si="78"/>
        <v>0</v>
      </c>
      <c r="IH29" s="525">
        <f t="shared" si="189"/>
        <v>0</v>
      </c>
      <c r="II29" s="523"/>
      <c r="IJ29" s="524">
        <f t="shared" si="79"/>
        <v>0</v>
      </c>
      <c r="IK29" s="525">
        <f t="shared" si="190"/>
        <v>0</v>
      </c>
      <c r="IL29" s="523"/>
      <c r="IM29" s="524">
        <f t="shared" si="80"/>
        <v>0</v>
      </c>
      <c r="IN29" s="525">
        <f t="shared" si="191"/>
        <v>0</v>
      </c>
      <c r="IO29" s="523"/>
      <c r="IP29" s="524">
        <f t="shared" si="81"/>
        <v>0</v>
      </c>
      <c r="IQ29" s="525">
        <f t="shared" si="192"/>
        <v>0</v>
      </c>
      <c r="IR29" s="523"/>
      <c r="IS29" s="524">
        <f t="shared" si="82"/>
        <v>0</v>
      </c>
      <c r="IT29" s="525">
        <f t="shared" si="193"/>
        <v>0</v>
      </c>
      <c r="IU29" s="523"/>
      <c r="IV29" s="524">
        <f t="shared" si="83"/>
        <v>0</v>
      </c>
      <c r="IW29" s="525">
        <f t="shared" si="194"/>
        <v>0</v>
      </c>
      <c r="IX29" s="523"/>
      <c r="IY29" s="524">
        <f t="shared" si="84"/>
        <v>0</v>
      </c>
      <c r="IZ29" s="525">
        <f t="shared" si="195"/>
        <v>0</v>
      </c>
      <c r="JA29" s="523"/>
      <c r="JB29" s="524">
        <f t="shared" si="85"/>
        <v>0</v>
      </c>
      <c r="JC29" s="525">
        <f t="shared" si="196"/>
        <v>0</v>
      </c>
      <c r="JD29" s="523"/>
      <c r="JE29" s="524">
        <f t="shared" si="86"/>
        <v>0</v>
      </c>
      <c r="JF29" s="525">
        <f t="shared" si="197"/>
        <v>0</v>
      </c>
      <c r="JG29" s="523"/>
      <c r="JH29" s="524">
        <f t="shared" si="87"/>
        <v>0</v>
      </c>
      <c r="JI29" s="525">
        <f t="shared" si="198"/>
        <v>0</v>
      </c>
      <c r="JJ29" s="523"/>
      <c r="JK29" s="525" t="str">
        <f t="shared" si="88"/>
        <v>0</v>
      </c>
      <c r="JL29" s="525" t="str">
        <f t="shared" si="89"/>
        <v>0</v>
      </c>
      <c r="JM29" s="523"/>
      <c r="JN29" s="525" t="str">
        <f t="shared" si="90"/>
        <v>0</v>
      </c>
      <c r="JO29" s="525" t="str">
        <f t="shared" si="91"/>
        <v>0</v>
      </c>
      <c r="JP29" s="523"/>
      <c r="JQ29" s="525" t="str">
        <f t="shared" si="92"/>
        <v>0</v>
      </c>
      <c r="JR29" s="525" t="str">
        <f t="shared" si="93"/>
        <v>0</v>
      </c>
      <c r="JS29" s="523"/>
      <c r="JT29" s="525" t="str">
        <f t="shared" si="94"/>
        <v>0</v>
      </c>
      <c r="JU29" s="525" t="str">
        <f t="shared" si="95"/>
        <v>0</v>
      </c>
      <c r="JV29" s="523"/>
      <c r="JW29" s="525" t="str">
        <f t="shared" si="96"/>
        <v>0</v>
      </c>
      <c r="JX29" s="525" t="str">
        <f t="shared" si="97"/>
        <v>0</v>
      </c>
      <c r="JY29" s="523"/>
      <c r="JZ29" s="525" t="str">
        <f t="shared" si="98"/>
        <v>0</v>
      </c>
      <c r="KA29" s="525" t="str">
        <f t="shared" si="99"/>
        <v>0</v>
      </c>
      <c r="KB29" s="523"/>
      <c r="KC29" s="525" t="str">
        <f t="shared" si="100"/>
        <v>0</v>
      </c>
      <c r="KD29" s="525" t="str">
        <f t="shared" si="101"/>
        <v>0</v>
      </c>
      <c r="KE29" s="523"/>
      <c r="KF29" s="525" t="str">
        <f t="shared" si="102"/>
        <v>0</v>
      </c>
      <c r="KG29" s="525" t="str">
        <f t="shared" si="103"/>
        <v>0</v>
      </c>
      <c r="KH29" s="523"/>
      <c r="KI29" s="525" t="str">
        <f t="shared" si="104"/>
        <v>0</v>
      </c>
      <c r="KJ29" s="525" t="str">
        <f t="shared" si="105"/>
        <v>0</v>
      </c>
      <c r="KK29" s="523"/>
      <c r="KL29" s="525" t="str">
        <f t="shared" si="106"/>
        <v>0</v>
      </c>
      <c r="KM29" s="525" t="str">
        <f t="shared" si="107"/>
        <v>0</v>
      </c>
      <c r="KN29" s="523"/>
      <c r="KO29" s="525" t="str">
        <f t="shared" si="108"/>
        <v>0</v>
      </c>
      <c r="KP29" s="525" t="str">
        <f t="shared" si="109"/>
        <v>0</v>
      </c>
      <c r="KQ29" s="523"/>
      <c r="KR29" s="525" t="str">
        <f t="shared" si="110"/>
        <v>0</v>
      </c>
      <c r="KS29" s="525" t="str">
        <f t="shared" si="111"/>
        <v>0</v>
      </c>
      <c r="KT29" s="525">
        <f t="shared" si="201"/>
        <v>0</v>
      </c>
      <c r="KU29" s="525">
        <f t="shared" si="202"/>
        <v>0</v>
      </c>
      <c r="KV29" s="261">
        <f t="shared" si="199"/>
        <v>806.37521368757746</v>
      </c>
    </row>
    <row r="30" spans="1:308">
      <c r="A30" s="262">
        <f t="shared" si="200"/>
        <v>46134</v>
      </c>
      <c r="B30" s="263" t="str">
        <f>+Report1!B30</f>
        <v>Facial</v>
      </c>
      <c r="C30" s="263" t="str">
        <f>+Report1!C30</f>
        <v>14,5</v>
      </c>
      <c r="D30" s="264">
        <f>+Report1!P30</f>
        <v>42.384</v>
      </c>
      <c r="E30" s="556">
        <f>+Report1!R30</f>
        <v>41.222000000000001</v>
      </c>
      <c r="F30" s="523"/>
      <c r="G30" s="524">
        <f t="shared" si="0"/>
        <v>0</v>
      </c>
      <c r="H30" s="525">
        <f t="shared" si="112"/>
        <v>0</v>
      </c>
      <c r="I30" s="523">
        <v>220.93023255813932</v>
      </c>
      <c r="J30" s="524">
        <f t="shared" si="1"/>
        <v>5.3595224044961265</v>
      </c>
      <c r="K30" s="525">
        <f t="shared" si="113"/>
        <v>0</v>
      </c>
      <c r="L30" s="523"/>
      <c r="M30" s="524">
        <f t="shared" si="2"/>
        <v>0</v>
      </c>
      <c r="N30" s="525">
        <f t="shared" si="114"/>
        <v>0</v>
      </c>
      <c r="O30" s="523">
        <v>6</v>
      </c>
      <c r="P30" s="524">
        <f t="shared" si="3"/>
        <v>0.14555334530105282</v>
      </c>
      <c r="Q30" s="525">
        <f t="shared" si="115"/>
        <v>0</v>
      </c>
      <c r="R30" s="523"/>
      <c r="S30" s="524">
        <f t="shared" si="4"/>
        <v>0</v>
      </c>
      <c r="T30" s="525">
        <f t="shared" si="116"/>
        <v>0</v>
      </c>
      <c r="U30" s="523">
        <v>5.1250000000000284</v>
      </c>
      <c r="V30" s="524">
        <f t="shared" si="5"/>
        <v>0.12432681577798331</v>
      </c>
      <c r="W30" s="525">
        <f t="shared" si="117"/>
        <v>0</v>
      </c>
      <c r="X30" s="523"/>
      <c r="Y30" s="524">
        <f t="shared" si="6"/>
        <v>0</v>
      </c>
      <c r="Z30" s="525">
        <f t="shared" si="118"/>
        <v>0</v>
      </c>
      <c r="AA30" s="523">
        <v>12.5</v>
      </c>
      <c r="AB30" s="524">
        <f t="shared" si="7"/>
        <v>0.30323613604386007</v>
      </c>
      <c r="AC30" s="525">
        <f t="shared" si="119"/>
        <v>0</v>
      </c>
      <c r="AD30" s="523"/>
      <c r="AE30" s="524">
        <f t="shared" si="8"/>
        <v>0</v>
      </c>
      <c r="AF30" s="525">
        <f t="shared" si="120"/>
        <v>0</v>
      </c>
      <c r="AG30" s="523"/>
      <c r="AH30" s="524">
        <f t="shared" si="9"/>
        <v>0</v>
      </c>
      <c r="AI30" s="525">
        <f t="shared" si="121"/>
        <v>0</v>
      </c>
      <c r="AJ30" s="523"/>
      <c r="AK30" s="524">
        <f t="shared" si="10"/>
        <v>0</v>
      </c>
      <c r="AL30" s="525">
        <f t="shared" si="122"/>
        <v>0</v>
      </c>
      <c r="AM30" s="523"/>
      <c r="AN30" s="524">
        <f t="shared" si="11"/>
        <v>0</v>
      </c>
      <c r="AO30" s="525">
        <f t="shared" si="123"/>
        <v>0</v>
      </c>
      <c r="AP30" s="523"/>
      <c r="AQ30" s="524">
        <f t="shared" si="12"/>
        <v>0</v>
      </c>
      <c r="AR30" s="525">
        <f t="shared" si="124"/>
        <v>0</v>
      </c>
      <c r="AS30" s="523"/>
      <c r="AT30" s="524">
        <f t="shared" si="13"/>
        <v>0</v>
      </c>
      <c r="AU30" s="525">
        <f t="shared" si="125"/>
        <v>0</v>
      </c>
      <c r="AV30" s="523"/>
      <c r="AW30" s="524">
        <f t="shared" si="14"/>
        <v>0</v>
      </c>
      <c r="AX30" s="525">
        <f t="shared" si="126"/>
        <v>0</v>
      </c>
      <c r="AY30" s="523"/>
      <c r="AZ30" s="524">
        <f t="shared" si="15"/>
        <v>0</v>
      </c>
      <c r="BA30" s="525">
        <f t="shared" si="127"/>
        <v>0</v>
      </c>
      <c r="BB30" s="523"/>
      <c r="BC30" s="524">
        <f t="shared" si="16"/>
        <v>0</v>
      </c>
      <c r="BD30" s="525">
        <f t="shared" si="128"/>
        <v>0</v>
      </c>
      <c r="BE30" s="523"/>
      <c r="BF30" s="524">
        <f t="shared" si="17"/>
        <v>0</v>
      </c>
      <c r="BG30" s="525">
        <f t="shared" si="129"/>
        <v>0</v>
      </c>
      <c r="BH30" s="523"/>
      <c r="BI30" s="524">
        <f t="shared" si="18"/>
        <v>0</v>
      </c>
      <c r="BJ30" s="525">
        <f t="shared" si="130"/>
        <v>0</v>
      </c>
      <c r="BK30" s="523"/>
      <c r="BL30" s="524">
        <f t="shared" si="19"/>
        <v>0</v>
      </c>
      <c r="BM30" s="525">
        <f t="shared" si="131"/>
        <v>0</v>
      </c>
      <c r="BN30" s="523"/>
      <c r="BO30" s="524">
        <f t="shared" si="20"/>
        <v>0</v>
      </c>
      <c r="BP30" s="525">
        <f t="shared" si="132"/>
        <v>0</v>
      </c>
      <c r="BQ30" s="523">
        <v>339.240506329114</v>
      </c>
      <c r="BR30" s="524">
        <f t="shared" si="21"/>
        <v>8.2295984263042552</v>
      </c>
      <c r="BS30" s="525">
        <f t="shared" si="133"/>
        <v>0</v>
      </c>
      <c r="BT30" s="523"/>
      <c r="BU30" s="524">
        <f t="shared" si="22"/>
        <v>0</v>
      </c>
      <c r="BV30" s="525">
        <f t="shared" si="134"/>
        <v>0</v>
      </c>
      <c r="BW30" s="523"/>
      <c r="BX30" s="524">
        <f t="shared" si="23"/>
        <v>0</v>
      </c>
      <c r="BY30" s="525">
        <f t="shared" si="135"/>
        <v>0</v>
      </c>
      <c r="BZ30" s="523"/>
      <c r="CA30" s="524">
        <f t="shared" si="24"/>
        <v>0</v>
      </c>
      <c r="CB30" s="525">
        <f t="shared" si="136"/>
        <v>0</v>
      </c>
      <c r="CC30" s="523"/>
      <c r="CD30" s="524">
        <f t="shared" si="25"/>
        <v>0</v>
      </c>
      <c r="CE30" s="525">
        <f t="shared" si="137"/>
        <v>0</v>
      </c>
      <c r="CF30" s="523">
        <v>0.5</v>
      </c>
      <c r="CG30" s="524">
        <f t="shared" si="26"/>
        <v>1.2129445441754403E-2</v>
      </c>
      <c r="CH30" s="525">
        <f t="shared" si="138"/>
        <v>0</v>
      </c>
      <c r="CI30" s="523"/>
      <c r="CJ30" s="524">
        <f t="shared" si="27"/>
        <v>0</v>
      </c>
      <c r="CK30" s="525">
        <f t="shared" si="139"/>
        <v>0</v>
      </c>
      <c r="CL30" s="523"/>
      <c r="CM30" s="524">
        <f t="shared" si="28"/>
        <v>0</v>
      </c>
      <c r="CN30" s="525">
        <f t="shared" si="140"/>
        <v>0</v>
      </c>
      <c r="CO30" s="523"/>
      <c r="CP30" s="524">
        <f t="shared" si="29"/>
        <v>0</v>
      </c>
      <c r="CQ30" s="525">
        <f t="shared" si="141"/>
        <v>0</v>
      </c>
      <c r="CR30" s="523"/>
      <c r="CS30" s="524">
        <f t="shared" si="30"/>
        <v>0</v>
      </c>
      <c r="CT30" s="525">
        <f t="shared" si="142"/>
        <v>0</v>
      </c>
      <c r="CU30" s="523"/>
      <c r="CV30" s="524">
        <f t="shared" si="31"/>
        <v>0</v>
      </c>
      <c r="CW30" s="525">
        <f t="shared" si="143"/>
        <v>0</v>
      </c>
      <c r="CX30" s="523"/>
      <c r="CY30" s="524">
        <f t="shared" si="32"/>
        <v>0</v>
      </c>
      <c r="CZ30" s="525">
        <f t="shared" si="144"/>
        <v>0</v>
      </c>
      <c r="DA30" s="523"/>
      <c r="DB30" s="524">
        <f t="shared" si="33"/>
        <v>0</v>
      </c>
      <c r="DC30" s="525">
        <f t="shared" si="145"/>
        <v>0</v>
      </c>
      <c r="DD30" s="523"/>
      <c r="DE30" s="524">
        <f t="shared" si="34"/>
        <v>0</v>
      </c>
      <c r="DF30" s="525">
        <f t="shared" si="146"/>
        <v>0</v>
      </c>
      <c r="DG30" s="523"/>
      <c r="DH30" s="524">
        <f t="shared" si="35"/>
        <v>0</v>
      </c>
      <c r="DI30" s="525">
        <f t="shared" si="203"/>
        <v>0</v>
      </c>
      <c r="DJ30" s="523"/>
      <c r="DK30" s="524">
        <f t="shared" si="36"/>
        <v>0</v>
      </c>
      <c r="DL30" s="525">
        <f t="shared" si="147"/>
        <v>0</v>
      </c>
      <c r="DM30" s="523"/>
      <c r="DN30" s="524">
        <f t="shared" si="37"/>
        <v>0</v>
      </c>
      <c r="DO30" s="525">
        <f t="shared" si="148"/>
        <v>0</v>
      </c>
      <c r="DP30" s="523"/>
      <c r="DQ30" s="524">
        <f t="shared" si="38"/>
        <v>0</v>
      </c>
      <c r="DR30" s="525">
        <f t="shared" si="149"/>
        <v>0</v>
      </c>
      <c r="DS30" s="523"/>
      <c r="DT30" s="524">
        <f t="shared" si="39"/>
        <v>0</v>
      </c>
      <c r="DU30" s="525">
        <f t="shared" si="150"/>
        <v>0</v>
      </c>
      <c r="DV30" s="523"/>
      <c r="DW30" s="524">
        <f t="shared" si="40"/>
        <v>0</v>
      </c>
      <c r="DX30" s="525">
        <f t="shared" si="151"/>
        <v>0</v>
      </c>
      <c r="DY30" s="523"/>
      <c r="DZ30" s="524">
        <f t="shared" si="41"/>
        <v>0</v>
      </c>
      <c r="EA30" s="525">
        <f t="shared" si="152"/>
        <v>0</v>
      </c>
      <c r="EB30" s="523"/>
      <c r="EC30" s="524">
        <f t="shared" si="42"/>
        <v>0</v>
      </c>
      <c r="ED30" s="525">
        <f t="shared" si="153"/>
        <v>0</v>
      </c>
      <c r="EE30" s="523">
        <v>14.534883720930225</v>
      </c>
      <c r="EF30" s="524">
        <f t="shared" si="43"/>
        <v>0.35260015819053475</v>
      </c>
      <c r="EG30" s="525">
        <f t="shared" si="154"/>
        <v>0</v>
      </c>
      <c r="EH30" s="523">
        <v>58.70588235294116</v>
      </c>
      <c r="EI30" s="524">
        <f t="shared" si="44"/>
        <v>1.4241395942201047</v>
      </c>
      <c r="EJ30" s="525">
        <f t="shared" si="155"/>
        <v>0</v>
      </c>
      <c r="EK30" s="523">
        <v>4</v>
      </c>
      <c r="EL30" s="524">
        <f t="shared" si="45"/>
        <v>9.7035563534035224E-2</v>
      </c>
      <c r="EM30" s="525">
        <f t="shared" si="156"/>
        <v>0</v>
      </c>
      <c r="EN30" s="523">
        <v>48.780487804878021</v>
      </c>
      <c r="EO30" s="524">
        <f t="shared" si="46"/>
        <v>1.1833605309028679</v>
      </c>
      <c r="EP30" s="525">
        <f t="shared" si="157"/>
        <v>0</v>
      </c>
      <c r="EQ30" s="523">
        <v>39.534883720930239</v>
      </c>
      <c r="ER30" s="524">
        <f t="shared" si="47"/>
        <v>0.95907243027825528</v>
      </c>
      <c r="ES30" s="525">
        <f t="shared" si="158"/>
        <v>0</v>
      </c>
      <c r="ET30" s="523"/>
      <c r="EU30" s="524">
        <f t="shared" si="48"/>
        <v>0</v>
      </c>
      <c r="EV30" s="525">
        <f t="shared" si="159"/>
        <v>0</v>
      </c>
      <c r="EW30" s="523"/>
      <c r="EX30" s="524">
        <f t="shared" si="49"/>
        <v>0</v>
      </c>
      <c r="EY30" s="525">
        <f t="shared" si="160"/>
        <v>0</v>
      </c>
      <c r="EZ30" s="523"/>
      <c r="FA30" s="524">
        <f t="shared" si="50"/>
        <v>0</v>
      </c>
      <c r="FB30" s="525">
        <f t="shared" si="161"/>
        <v>0</v>
      </c>
      <c r="FC30" s="523"/>
      <c r="FD30" s="524">
        <f t="shared" si="51"/>
        <v>0</v>
      </c>
      <c r="FE30" s="525">
        <f t="shared" si="162"/>
        <v>0</v>
      </c>
      <c r="FF30" s="523"/>
      <c r="FG30" s="524">
        <f t="shared" si="52"/>
        <v>0</v>
      </c>
      <c r="FH30" s="525">
        <f t="shared" si="163"/>
        <v>0</v>
      </c>
      <c r="FI30" s="523"/>
      <c r="FJ30" s="524">
        <f t="shared" si="53"/>
        <v>0</v>
      </c>
      <c r="FK30" s="525">
        <f t="shared" si="164"/>
        <v>0</v>
      </c>
      <c r="FL30" s="523"/>
      <c r="FM30" s="524">
        <f t="shared" si="54"/>
        <v>0</v>
      </c>
      <c r="FN30" s="525">
        <f t="shared" si="165"/>
        <v>0</v>
      </c>
      <c r="FO30" s="523"/>
      <c r="FP30" s="524">
        <f t="shared" si="55"/>
        <v>0</v>
      </c>
      <c r="FQ30" s="525">
        <f t="shared" si="166"/>
        <v>0</v>
      </c>
      <c r="FR30" s="523"/>
      <c r="FS30" s="524">
        <f t="shared" si="56"/>
        <v>0</v>
      </c>
      <c r="FT30" s="525">
        <f t="shared" si="167"/>
        <v>0</v>
      </c>
      <c r="FU30" s="523"/>
      <c r="FV30" s="524">
        <f t="shared" si="57"/>
        <v>0</v>
      </c>
      <c r="FW30" s="525">
        <f t="shared" si="168"/>
        <v>0</v>
      </c>
      <c r="FX30" s="523"/>
      <c r="FY30" s="524">
        <f t="shared" si="58"/>
        <v>0</v>
      </c>
      <c r="FZ30" s="525">
        <f t="shared" si="169"/>
        <v>0</v>
      </c>
      <c r="GA30" s="523"/>
      <c r="GB30" s="524">
        <f t="shared" si="59"/>
        <v>0</v>
      </c>
      <c r="GC30" s="525">
        <f t="shared" si="170"/>
        <v>0</v>
      </c>
      <c r="GD30" s="523"/>
      <c r="GE30" s="524">
        <f t="shared" si="60"/>
        <v>0</v>
      </c>
      <c r="GF30" s="525">
        <f t="shared" si="171"/>
        <v>0</v>
      </c>
      <c r="GG30" s="523"/>
      <c r="GH30" s="524">
        <f t="shared" si="61"/>
        <v>0</v>
      </c>
      <c r="GI30" s="525">
        <f t="shared" si="172"/>
        <v>0</v>
      </c>
      <c r="GJ30" s="523"/>
      <c r="GK30" s="524">
        <f t="shared" si="62"/>
        <v>0</v>
      </c>
      <c r="GL30" s="525">
        <f t="shared" si="173"/>
        <v>0</v>
      </c>
      <c r="GM30" s="523"/>
      <c r="GN30" s="524">
        <f t="shared" si="63"/>
        <v>0</v>
      </c>
      <c r="GO30" s="525">
        <f t="shared" si="174"/>
        <v>0</v>
      </c>
      <c r="GP30" s="523"/>
      <c r="GQ30" s="524">
        <f t="shared" si="64"/>
        <v>0</v>
      </c>
      <c r="GR30" s="525">
        <f t="shared" si="175"/>
        <v>0</v>
      </c>
      <c r="GS30" s="523"/>
      <c r="GT30" s="524">
        <f t="shared" si="65"/>
        <v>0</v>
      </c>
      <c r="GU30" s="525">
        <f t="shared" si="176"/>
        <v>0</v>
      </c>
      <c r="GV30" s="523"/>
      <c r="GW30" s="524">
        <f t="shared" si="66"/>
        <v>0</v>
      </c>
      <c r="GX30" s="525">
        <f t="shared" si="177"/>
        <v>0</v>
      </c>
      <c r="GY30" s="523"/>
      <c r="GZ30" s="524">
        <f t="shared" si="67"/>
        <v>0</v>
      </c>
      <c r="HA30" s="525">
        <f t="shared" si="178"/>
        <v>0</v>
      </c>
      <c r="HB30" s="523"/>
      <c r="HC30" s="524">
        <f t="shared" si="68"/>
        <v>0</v>
      </c>
      <c r="HD30" s="525">
        <f t="shared" si="179"/>
        <v>0</v>
      </c>
      <c r="HE30" s="523"/>
      <c r="HF30" s="524">
        <f t="shared" si="69"/>
        <v>0</v>
      </c>
      <c r="HG30" s="525">
        <f t="shared" si="180"/>
        <v>0</v>
      </c>
      <c r="HH30" s="523"/>
      <c r="HI30" s="524">
        <f t="shared" si="70"/>
        <v>0</v>
      </c>
      <c r="HJ30" s="525">
        <f t="shared" si="181"/>
        <v>0</v>
      </c>
      <c r="HK30" s="523"/>
      <c r="HL30" s="524">
        <f t="shared" si="71"/>
        <v>0</v>
      </c>
      <c r="HM30" s="525">
        <f t="shared" si="182"/>
        <v>0</v>
      </c>
      <c r="HN30" s="523"/>
      <c r="HO30" s="524">
        <f t="shared" si="72"/>
        <v>0</v>
      </c>
      <c r="HP30" s="525">
        <f t="shared" si="183"/>
        <v>0</v>
      </c>
      <c r="HQ30" s="523"/>
      <c r="HR30" s="524">
        <f t="shared" si="73"/>
        <v>0</v>
      </c>
      <c r="HS30" s="525">
        <f t="shared" si="184"/>
        <v>0</v>
      </c>
      <c r="HT30" s="523"/>
      <c r="HU30" s="524">
        <f t="shared" si="74"/>
        <v>0</v>
      </c>
      <c r="HV30" s="525">
        <f t="shared" si="185"/>
        <v>0</v>
      </c>
      <c r="HW30" s="523"/>
      <c r="HX30" s="524">
        <f t="shared" si="75"/>
        <v>0</v>
      </c>
      <c r="HY30" s="525">
        <f t="shared" si="186"/>
        <v>0</v>
      </c>
      <c r="HZ30" s="523"/>
      <c r="IA30" s="524">
        <f t="shared" si="76"/>
        <v>0</v>
      </c>
      <c r="IB30" s="525">
        <f t="shared" si="187"/>
        <v>0</v>
      </c>
      <c r="IC30" s="523"/>
      <c r="ID30" s="524">
        <f t="shared" si="77"/>
        <v>0</v>
      </c>
      <c r="IE30" s="525">
        <f t="shared" si="188"/>
        <v>0</v>
      </c>
      <c r="IF30" s="523"/>
      <c r="IG30" s="524">
        <f t="shared" si="78"/>
        <v>0</v>
      </c>
      <c r="IH30" s="525">
        <f t="shared" si="189"/>
        <v>0</v>
      </c>
      <c r="II30" s="523"/>
      <c r="IJ30" s="524">
        <f t="shared" si="79"/>
        <v>0</v>
      </c>
      <c r="IK30" s="525">
        <f t="shared" si="190"/>
        <v>0</v>
      </c>
      <c r="IL30" s="523"/>
      <c r="IM30" s="524">
        <f t="shared" si="80"/>
        <v>0</v>
      </c>
      <c r="IN30" s="525">
        <f t="shared" si="191"/>
        <v>0</v>
      </c>
      <c r="IO30" s="523"/>
      <c r="IP30" s="524">
        <f t="shared" si="81"/>
        <v>0</v>
      </c>
      <c r="IQ30" s="525">
        <f t="shared" si="192"/>
        <v>0</v>
      </c>
      <c r="IR30" s="523"/>
      <c r="IS30" s="524">
        <f t="shared" si="82"/>
        <v>0</v>
      </c>
      <c r="IT30" s="525">
        <f t="shared" si="193"/>
        <v>0</v>
      </c>
      <c r="IU30" s="523"/>
      <c r="IV30" s="524">
        <f t="shared" si="83"/>
        <v>0</v>
      </c>
      <c r="IW30" s="525">
        <f t="shared" si="194"/>
        <v>0</v>
      </c>
      <c r="IX30" s="523"/>
      <c r="IY30" s="524">
        <f t="shared" si="84"/>
        <v>0</v>
      </c>
      <c r="IZ30" s="525">
        <f t="shared" si="195"/>
        <v>0</v>
      </c>
      <c r="JA30" s="523"/>
      <c r="JB30" s="524">
        <f t="shared" si="85"/>
        <v>0</v>
      </c>
      <c r="JC30" s="525">
        <f t="shared" si="196"/>
        <v>0</v>
      </c>
      <c r="JD30" s="523"/>
      <c r="JE30" s="524">
        <f t="shared" si="86"/>
        <v>0</v>
      </c>
      <c r="JF30" s="525">
        <f t="shared" si="197"/>
        <v>0</v>
      </c>
      <c r="JG30" s="523"/>
      <c r="JH30" s="524">
        <f t="shared" si="87"/>
        <v>0</v>
      </c>
      <c r="JI30" s="525">
        <f t="shared" si="198"/>
        <v>0</v>
      </c>
      <c r="JJ30" s="523"/>
      <c r="JK30" s="525" t="str">
        <f t="shared" si="88"/>
        <v>0</v>
      </c>
      <c r="JL30" s="525" t="str">
        <f t="shared" si="89"/>
        <v>0</v>
      </c>
      <c r="JM30" s="523"/>
      <c r="JN30" s="525" t="str">
        <f t="shared" si="90"/>
        <v>0</v>
      </c>
      <c r="JO30" s="525" t="str">
        <f t="shared" si="91"/>
        <v>0</v>
      </c>
      <c r="JP30" s="523"/>
      <c r="JQ30" s="525" t="str">
        <f t="shared" si="92"/>
        <v>0</v>
      </c>
      <c r="JR30" s="525" t="str">
        <f t="shared" si="93"/>
        <v>0</v>
      </c>
      <c r="JS30" s="523"/>
      <c r="JT30" s="525" t="str">
        <f t="shared" si="94"/>
        <v>0</v>
      </c>
      <c r="JU30" s="525" t="str">
        <f t="shared" si="95"/>
        <v>0</v>
      </c>
      <c r="JV30" s="523"/>
      <c r="JW30" s="525" t="str">
        <f t="shared" si="96"/>
        <v>0</v>
      </c>
      <c r="JX30" s="525" t="str">
        <f t="shared" si="97"/>
        <v>0</v>
      </c>
      <c r="JY30" s="523"/>
      <c r="JZ30" s="525" t="str">
        <f t="shared" si="98"/>
        <v>0</v>
      </c>
      <c r="KA30" s="525" t="str">
        <f t="shared" si="99"/>
        <v>0</v>
      </c>
      <c r="KB30" s="523"/>
      <c r="KC30" s="525" t="str">
        <f t="shared" si="100"/>
        <v>0</v>
      </c>
      <c r="KD30" s="525" t="str">
        <f t="shared" si="101"/>
        <v>0</v>
      </c>
      <c r="KE30" s="523"/>
      <c r="KF30" s="525" t="str">
        <f t="shared" si="102"/>
        <v>0</v>
      </c>
      <c r="KG30" s="525" t="str">
        <f t="shared" si="103"/>
        <v>0</v>
      </c>
      <c r="KH30" s="523"/>
      <c r="KI30" s="525" t="str">
        <f t="shared" si="104"/>
        <v>0</v>
      </c>
      <c r="KJ30" s="525" t="str">
        <f t="shared" si="105"/>
        <v>0</v>
      </c>
      <c r="KK30" s="523"/>
      <c r="KL30" s="525" t="str">
        <f t="shared" si="106"/>
        <v>0</v>
      </c>
      <c r="KM30" s="525" t="str">
        <f t="shared" si="107"/>
        <v>0</v>
      </c>
      <c r="KN30" s="523"/>
      <c r="KO30" s="525" t="str">
        <f t="shared" si="108"/>
        <v>0</v>
      </c>
      <c r="KP30" s="525" t="str">
        <f t="shared" si="109"/>
        <v>0</v>
      </c>
      <c r="KQ30" s="523"/>
      <c r="KR30" s="525" t="str">
        <f t="shared" si="110"/>
        <v>0</v>
      </c>
      <c r="KS30" s="525" t="str">
        <f t="shared" si="111"/>
        <v>0</v>
      </c>
      <c r="KT30" s="525">
        <f t="shared" si="201"/>
        <v>0</v>
      </c>
      <c r="KU30" s="525">
        <f t="shared" si="202"/>
        <v>0</v>
      </c>
      <c r="KV30" s="261">
        <f t="shared" si="199"/>
        <v>749.85187648693307</v>
      </c>
    </row>
    <row r="31" spans="1:308">
      <c r="A31" s="262">
        <f t="shared" si="200"/>
        <v>46135</v>
      </c>
      <c r="B31" s="263" t="str">
        <f>+Report1!B31</f>
        <v>Facial</v>
      </c>
      <c r="C31" s="263" t="str">
        <f>+Report1!C31</f>
        <v>14,5/14</v>
      </c>
      <c r="D31" s="264">
        <f>+Report1!P31</f>
        <v>44.05</v>
      </c>
      <c r="E31" s="556">
        <f>+Report1!R31</f>
        <v>41.984000000000002</v>
      </c>
      <c r="F31" s="523"/>
      <c r="G31" s="524">
        <f t="shared" si="0"/>
        <v>0</v>
      </c>
      <c r="H31" s="525">
        <f t="shared" si="112"/>
        <v>0</v>
      </c>
      <c r="I31" s="523">
        <v>220.93023255813955</v>
      </c>
      <c r="J31" s="524">
        <f t="shared" si="1"/>
        <v>5.2622482983550771</v>
      </c>
      <c r="K31" s="525">
        <f t="shared" si="113"/>
        <v>0</v>
      </c>
      <c r="L31" s="523"/>
      <c r="M31" s="524">
        <f t="shared" si="2"/>
        <v>0</v>
      </c>
      <c r="N31" s="525">
        <f t="shared" si="114"/>
        <v>0</v>
      </c>
      <c r="O31" s="523">
        <v>6.0000000000000142</v>
      </c>
      <c r="P31" s="524">
        <f t="shared" si="3"/>
        <v>0.14291158536585399</v>
      </c>
      <c r="Q31" s="525">
        <f t="shared" si="115"/>
        <v>0</v>
      </c>
      <c r="R31" s="523"/>
      <c r="S31" s="524">
        <f t="shared" si="4"/>
        <v>0</v>
      </c>
      <c r="T31" s="525">
        <f t="shared" si="116"/>
        <v>0</v>
      </c>
      <c r="U31" s="523">
        <v>5.1249999999999858</v>
      </c>
      <c r="V31" s="524">
        <f t="shared" si="5"/>
        <v>0.12207031249999965</v>
      </c>
      <c r="W31" s="525">
        <f t="shared" si="117"/>
        <v>0</v>
      </c>
      <c r="X31" s="523"/>
      <c r="Y31" s="524">
        <f t="shared" si="6"/>
        <v>0</v>
      </c>
      <c r="Z31" s="525">
        <f t="shared" si="118"/>
        <v>0</v>
      </c>
      <c r="AA31" s="523">
        <v>12.5</v>
      </c>
      <c r="AB31" s="524">
        <f t="shared" si="7"/>
        <v>0.29773246951219512</v>
      </c>
      <c r="AC31" s="525">
        <f t="shared" si="119"/>
        <v>0</v>
      </c>
      <c r="AD31" s="523"/>
      <c r="AE31" s="524">
        <f t="shared" si="8"/>
        <v>0</v>
      </c>
      <c r="AF31" s="525">
        <f t="shared" si="120"/>
        <v>0</v>
      </c>
      <c r="AG31" s="523"/>
      <c r="AH31" s="524">
        <f t="shared" si="9"/>
        <v>0</v>
      </c>
      <c r="AI31" s="525">
        <f t="shared" si="121"/>
        <v>0</v>
      </c>
      <c r="AJ31" s="523"/>
      <c r="AK31" s="524">
        <f t="shared" si="10"/>
        <v>0</v>
      </c>
      <c r="AL31" s="525">
        <f t="shared" si="122"/>
        <v>0</v>
      </c>
      <c r="AM31" s="523"/>
      <c r="AN31" s="524">
        <f t="shared" si="11"/>
        <v>0</v>
      </c>
      <c r="AO31" s="525">
        <f t="shared" si="123"/>
        <v>0</v>
      </c>
      <c r="AP31" s="523"/>
      <c r="AQ31" s="524">
        <f t="shared" si="12"/>
        <v>0</v>
      </c>
      <c r="AR31" s="525">
        <f t="shared" si="124"/>
        <v>0</v>
      </c>
      <c r="AS31" s="523"/>
      <c r="AT31" s="524">
        <f t="shared" si="13"/>
        <v>0</v>
      </c>
      <c r="AU31" s="525">
        <f t="shared" si="125"/>
        <v>0</v>
      </c>
      <c r="AV31" s="523"/>
      <c r="AW31" s="524">
        <f t="shared" si="14"/>
        <v>0</v>
      </c>
      <c r="AX31" s="525">
        <f t="shared" si="126"/>
        <v>0</v>
      </c>
      <c r="AY31" s="523"/>
      <c r="AZ31" s="524">
        <f t="shared" si="15"/>
        <v>0</v>
      </c>
      <c r="BA31" s="525">
        <f t="shared" si="127"/>
        <v>0</v>
      </c>
      <c r="BB31" s="523"/>
      <c r="BC31" s="524">
        <f t="shared" si="16"/>
        <v>0</v>
      </c>
      <c r="BD31" s="525">
        <f t="shared" si="128"/>
        <v>0</v>
      </c>
      <c r="BE31" s="523"/>
      <c r="BF31" s="524">
        <f t="shared" si="17"/>
        <v>0</v>
      </c>
      <c r="BG31" s="525">
        <f t="shared" si="129"/>
        <v>0</v>
      </c>
      <c r="BH31" s="523"/>
      <c r="BI31" s="524">
        <f t="shared" si="18"/>
        <v>0</v>
      </c>
      <c r="BJ31" s="525">
        <f t="shared" si="130"/>
        <v>0</v>
      </c>
      <c r="BK31" s="523"/>
      <c r="BL31" s="524">
        <f t="shared" si="19"/>
        <v>0</v>
      </c>
      <c r="BM31" s="525">
        <f t="shared" si="131"/>
        <v>0</v>
      </c>
      <c r="BN31" s="523"/>
      <c r="BO31" s="524">
        <f t="shared" si="20"/>
        <v>0</v>
      </c>
      <c r="BP31" s="525">
        <f t="shared" si="132"/>
        <v>0</v>
      </c>
      <c r="BQ31" s="523">
        <v>392.4050632911393</v>
      </c>
      <c r="BR31" s="524">
        <f t="shared" si="21"/>
        <v>9.3465382834208093</v>
      </c>
      <c r="BS31" s="525">
        <f t="shared" si="133"/>
        <v>0</v>
      </c>
      <c r="BT31" s="523"/>
      <c r="BU31" s="524">
        <f t="shared" si="22"/>
        <v>0</v>
      </c>
      <c r="BV31" s="525">
        <f t="shared" si="134"/>
        <v>0</v>
      </c>
      <c r="BW31" s="523"/>
      <c r="BX31" s="524">
        <f t="shared" si="23"/>
        <v>0</v>
      </c>
      <c r="BY31" s="525">
        <f t="shared" si="135"/>
        <v>0</v>
      </c>
      <c r="BZ31" s="523"/>
      <c r="CA31" s="524">
        <f t="shared" si="24"/>
        <v>0</v>
      </c>
      <c r="CB31" s="525">
        <f t="shared" si="136"/>
        <v>0</v>
      </c>
      <c r="CC31" s="523"/>
      <c r="CD31" s="524">
        <f t="shared" si="25"/>
        <v>0</v>
      </c>
      <c r="CE31" s="525">
        <f t="shared" si="137"/>
        <v>0</v>
      </c>
      <c r="CF31" s="523">
        <v>0.5</v>
      </c>
      <c r="CG31" s="524">
        <f t="shared" si="26"/>
        <v>1.1909298780487805E-2</v>
      </c>
      <c r="CH31" s="525">
        <f t="shared" si="138"/>
        <v>0</v>
      </c>
      <c r="CI31" s="523"/>
      <c r="CJ31" s="524">
        <f t="shared" si="27"/>
        <v>0</v>
      </c>
      <c r="CK31" s="525">
        <f t="shared" si="139"/>
        <v>0</v>
      </c>
      <c r="CL31" s="523"/>
      <c r="CM31" s="524">
        <f t="shared" si="28"/>
        <v>0</v>
      </c>
      <c r="CN31" s="525">
        <f t="shared" si="140"/>
        <v>0</v>
      </c>
      <c r="CO31" s="523"/>
      <c r="CP31" s="524">
        <f t="shared" si="29"/>
        <v>0</v>
      </c>
      <c r="CQ31" s="525">
        <f t="shared" si="141"/>
        <v>0</v>
      </c>
      <c r="CR31" s="523"/>
      <c r="CS31" s="524">
        <f t="shared" si="30"/>
        <v>0</v>
      </c>
      <c r="CT31" s="525">
        <f t="shared" si="142"/>
        <v>0</v>
      </c>
      <c r="CU31" s="523"/>
      <c r="CV31" s="524">
        <f t="shared" si="31"/>
        <v>0</v>
      </c>
      <c r="CW31" s="525">
        <f t="shared" si="143"/>
        <v>0</v>
      </c>
      <c r="CX31" s="523"/>
      <c r="CY31" s="524">
        <f t="shared" si="32"/>
        <v>0</v>
      </c>
      <c r="CZ31" s="525">
        <f t="shared" si="144"/>
        <v>0</v>
      </c>
      <c r="DA31" s="523"/>
      <c r="DB31" s="524">
        <f t="shared" si="33"/>
        <v>0</v>
      </c>
      <c r="DC31" s="525">
        <f t="shared" si="145"/>
        <v>0</v>
      </c>
      <c r="DD31" s="523"/>
      <c r="DE31" s="524">
        <f t="shared" si="34"/>
        <v>0</v>
      </c>
      <c r="DF31" s="525">
        <f t="shared" si="146"/>
        <v>0</v>
      </c>
      <c r="DG31" s="523"/>
      <c r="DH31" s="524">
        <f t="shared" si="35"/>
        <v>0</v>
      </c>
      <c r="DI31" s="525">
        <f t="shared" si="203"/>
        <v>0</v>
      </c>
      <c r="DJ31" s="523"/>
      <c r="DK31" s="524">
        <f t="shared" si="36"/>
        <v>0</v>
      </c>
      <c r="DL31" s="525">
        <f t="shared" si="147"/>
        <v>0</v>
      </c>
      <c r="DM31" s="523"/>
      <c r="DN31" s="524">
        <f t="shared" si="37"/>
        <v>0</v>
      </c>
      <c r="DO31" s="525">
        <f t="shared" si="148"/>
        <v>0</v>
      </c>
      <c r="DP31" s="523"/>
      <c r="DQ31" s="524">
        <f t="shared" si="38"/>
        <v>0</v>
      </c>
      <c r="DR31" s="525">
        <f t="shared" si="149"/>
        <v>0</v>
      </c>
      <c r="DS31" s="523"/>
      <c r="DT31" s="524">
        <f t="shared" si="39"/>
        <v>0</v>
      </c>
      <c r="DU31" s="525">
        <f t="shared" si="150"/>
        <v>0</v>
      </c>
      <c r="DV31" s="523"/>
      <c r="DW31" s="524">
        <f t="shared" si="40"/>
        <v>0</v>
      </c>
      <c r="DX31" s="525">
        <f t="shared" si="151"/>
        <v>0</v>
      </c>
      <c r="DY31" s="523"/>
      <c r="DZ31" s="524">
        <f t="shared" si="41"/>
        <v>0</v>
      </c>
      <c r="EA31" s="525">
        <f t="shared" si="152"/>
        <v>0</v>
      </c>
      <c r="EB31" s="523"/>
      <c r="EC31" s="524">
        <f t="shared" si="42"/>
        <v>0</v>
      </c>
      <c r="ED31" s="525">
        <f t="shared" si="153"/>
        <v>0</v>
      </c>
      <c r="EE31" s="523">
        <v>14.534883720930111</v>
      </c>
      <c r="EF31" s="524">
        <f t="shared" si="43"/>
        <v>0.34620054594441002</v>
      </c>
      <c r="EG31" s="525">
        <f t="shared" si="154"/>
        <v>0</v>
      </c>
      <c r="EH31" s="523">
        <v>70.447058823529403</v>
      </c>
      <c r="EI31" s="524">
        <f t="shared" si="44"/>
        <v>1.6779501434720228</v>
      </c>
      <c r="EJ31" s="525">
        <f t="shared" si="155"/>
        <v>0</v>
      </c>
      <c r="EK31" s="523">
        <v>4</v>
      </c>
      <c r="EL31" s="524">
        <f t="shared" si="45"/>
        <v>9.527439024390244E-2</v>
      </c>
      <c r="EM31" s="525">
        <f t="shared" si="156"/>
        <v>0</v>
      </c>
      <c r="EN31" s="523">
        <v>48.780487804878078</v>
      </c>
      <c r="EO31" s="524">
        <f t="shared" si="46"/>
        <v>1.1618828078524694</v>
      </c>
      <c r="EP31" s="525">
        <f t="shared" si="157"/>
        <v>0</v>
      </c>
      <c r="EQ31" s="523">
        <v>39.534883720930338</v>
      </c>
      <c r="ER31" s="524">
        <f t="shared" si="47"/>
        <v>0.94166548496880564</v>
      </c>
      <c r="ES31" s="525">
        <f t="shared" si="158"/>
        <v>0</v>
      </c>
      <c r="ET31" s="523"/>
      <c r="EU31" s="524">
        <f t="shared" si="48"/>
        <v>0</v>
      </c>
      <c r="EV31" s="525">
        <f t="shared" si="159"/>
        <v>0</v>
      </c>
      <c r="EW31" s="523"/>
      <c r="EX31" s="524">
        <f t="shared" si="49"/>
        <v>0</v>
      </c>
      <c r="EY31" s="525">
        <f t="shared" si="160"/>
        <v>0</v>
      </c>
      <c r="EZ31" s="523"/>
      <c r="FA31" s="524">
        <f t="shared" si="50"/>
        <v>0</v>
      </c>
      <c r="FB31" s="525">
        <f t="shared" si="161"/>
        <v>0</v>
      </c>
      <c r="FC31" s="523"/>
      <c r="FD31" s="524">
        <f t="shared" si="51"/>
        <v>0</v>
      </c>
      <c r="FE31" s="525">
        <f t="shared" si="162"/>
        <v>0</v>
      </c>
      <c r="FF31" s="523"/>
      <c r="FG31" s="524">
        <f t="shared" si="52"/>
        <v>0</v>
      </c>
      <c r="FH31" s="525">
        <f t="shared" si="163"/>
        <v>0</v>
      </c>
      <c r="FI31" s="523"/>
      <c r="FJ31" s="524">
        <f t="shared" si="53"/>
        <v>0</v>
      </c>
      <c r="FK31" s="525">
        <f t="shared" si="164"/>
        <v>0</v>
      </c>
      <c r="FL31" s="523"/>
      <c r="FM31" s="524">
        <f t="shared" si="54"/>
        <v>0</v>
      </c>
      <c r="FN31" s="525">
        <f t="shared" si="165"/>
        <v>0</v>
      </c>
      <c r="FO31" s="523"/>
      <c r="FP31" s="524">
        <f t="shared" si="55"/>
        <v>0</v>
      </c>
      <c r="FQ31" s="525">
        <f t="shared" si="166"/>
        <v>0</v>
      </c>
      <c r="FR31" s="523"/>
      <c r="FS31" s="524">
        <f t="shared" si="56"/>
        <v>0</v>
      </c>
      <c r="FT31" s="525">
        <f t="shared" si="167"/>
        <v>0</v>
      </c>
      <c r="FU31" s="523"/>
      <c r="FV31" s="524">
        <f t="shared" si="57"/>
        <v>0</v>
      </c>
      <c r="FW31" s="525">
        <f t="shared" si="168"/>
        <v>0</v>
      </c>
      <c r="FX31" s="523"/>
      <c r="FY31" s="524">
        <f t="shared" si="58"/>
        <v>0</v>
      </c>
      <c r="FZ31" s="525">
        <f t="shared" si="169"/>
        <v>0</v>
      </c>
      <c r="GA31" s="523"/>
      <c r="GB31" s="524">
        <f t="shared" si="59"/>
        <v>0</v>
      </c>
      <c r="GC31" s="525">
        <f t="shared" si="170"/>
        <v>0</v>
      </c>
      <c r="GD31" s="523"/>
      <c r="GE31" s="524">
        <f t="shared" si="60"/>
        <v>0</v>
      </c>
      <c r="GF31" s="525">
        <f t="shared" si="171"/>
        <v>0</v>
      </c>
      <c r="GG31" s="523"/>
      <c r="GH31" s="524">
        <f t="shared" si="61"/>
        <v>0</v>
      </c>
      <c r="GI31" s="525">
        <f t="shared" si="172"/>
        <v>0</v>
      </c>
      <c r="GJ31" s="523"/>
      <c r="GK31" s="524">
        <f t="shared" si="62"/>
        <v>0</v>
      </c>
      <c r="GL31" s="525">
        <f t="shared" si="173"/>
        <v>0</v>
      </c>
      <c r="GM31" s="523"/>
      <c r="GN31" s="524">
        <f t="shared" si="63"/>
        <v>0</v>
      </c>
      <c r="GO31" s="525">
        <f t="shared" si="174"/>
        <v>0</v>
      </c>
      <c r="GP31" s="523"/>
      <c r="GQ31" s="524">
        <f t="shared" si="64"/>
        <v>0</v>
      </c>
      <c r="GR31" s="525">
        <f t="shared" si="175"/>
        <v>0</v>
      </c>
      <c r="GS31" s="523"/>
      <c r="GT31" s="524">
        <f t="shared" si="65"/>
        <v>0</v>
      </c>
      <c r="GU31" s="525">
        <f t="shared" si="176"/>
        <v>0</v>
      </c>
      <c r="GV31" s="523"/>
      <c r="GW31" s="524">
        <f t="shared" si="66"/>
        <v>0</v>
      </c>
      <c r="GX31" s="525">
        <f t="shared" si="177"/>
        <v>0</v>
      </c>
      <c r="GY31" s="523"/>
      <c r="GZ31" s="524">
        <f t="shared" si="67"/>
        <v>0</v>
      </c>
      <c r="HA31" s="525">
        <f t="shared" si="178"/>
        <v>0</v>
      </c>
      <c r="HB31" s="523"/>
      <c r="HC31" s="524">
        <f t="shared" si="68"/>
        <v>0</v>
      </c>
      <c r="HD31" s="525">
        <f t="shared" si="179"/>
        <v>0</v>
      </c>
      <c r="HE31" s="523"/>
      <c r="HF31" s="524">
        <f t="shared" si="69"/>
        <v>0</v>
      </c>
      <c r="HG31" s="525">
        <f t="shared" si="180"/>
        <v>0</v>
      </c>
      <c r="HH31" s="523"/>
      <c r="HI31" s="524">
        <f t="shared" si="70"/>
        <v>0</v>
      </c>
      <c r="HJ31" s="525">
        <f t="shared" si="181"/>
        <v>0</v>
      </c>
      <c r="HK31" s="523"/>
      <c r="HL31" s="524">
        <f t="shared" si="71"/>
        <v>0</v>
      </c>
      <c r="HM31" s="525">
        <f t="shared" si="182"/>
        <v>0</v>
      </c>
      <c r="HN31" s="523"/>
      <c r="HO31" s="524">
        <f t="shared" si="72"/>
        <v>0</v>
      </c>
      <c r="HP31" s="525">
        <f t="shared" si="183"/>
        <v>0</v>
      </c>
      <c r="HQ31" s="523"/>
      <c r="HR31" s="524">
        <f t="shared" si="73"/>
        <v>0</v>
      </c>
      <c r="HS31" s="525">
        <f t="shared" si="184"/>
        <v>0</v>
      </c>
      <c r="HT31" s="523"/>
      <c r="HU31" s="524">
        <f t="shared" si="74"/>
        <v>0</v>
      </c>
      <c r="HV31" s="525">
        <f t="shared" si="185"/>
        <v>0</v>
      </c>
      <c r="HW31" s="523"/>
      <c r="HX31" s="524">
        <f t="shared" si="75"/>
        <v>0</v>
      </c>
      <c r="HY31" s="525">
        <f t="shared" si="186"/>
        <v>0</v>
      </c>
      <c r="HZ31" s="523"/>
      <c r="IA31" s="524">
        <f t="shared" si="76"/>
        <v>0</v>
      </c>
      <c r="IB31" s="525">
        <f t="shared" si="187"/>
        <v>0</v>
      </c>
      <c r="IC31" s="523"/>
      <c r="ID31" s="524">
        <f t="shared" si="77"/>
        <v>0</v>
      </c>
      <c r="IE31" s="525">
        <f t="shared" si="188"/>
        <v>0</v>
      </c>
      <c r="IF31" s="523"/>
      <c r="IG31" s="524">
        <f t="shared" si="78"/>
        <v>0</v>
      </c>
      <c r="IH31" s="525">
        <f t="shared" si="189"/>
        <v>0</v>
      </c>
      <c r="II31" s="523"/>
      <c r="IJ31" s="524">
        <f t="shared" si="79"/>
        <v>0</v>
      </c>
      <c r="IK31" s="525">
        <f t="shared" si="190"/>
        <v>0</v>
      </c>
      <c r="IL31" s="523"/>
      <c r="IM31" s="524">
        <f t="shared" si="80"/>
        <v>0</v>
      </c>
      <c r="IN31" s="525">
        <f t="shared" si="191"/>
        <v>0</v>
      </c>
      <c r="IO31" s="523"/>
      <c r="IP31" s="524">
        <f t="shared" si="81"/>
        <v>0</v>
      </c>
      <c r="IQ31" s="525">
        <f t="shared" si="192"/>
        <v>0</v>
      </c>
      <c r="IR31" s="523"/>
      <c r="IS31" s="524">
        <f t="shared" si="82"/>
        <v>0</v>
      </c>
      <c r="IT31" s="525">
        <f t="shared" si="193"/>
        <v>0</v>
      </c>
      <c r="IU31" s="523"/>
      <c r="IV31" s="524">
        <f t="shared" si="83"/>
        <v>0</v>
      </c>
      <c r="IW31" s="525">
        <f t="shared" si="194"/>
        <v>0</v>
      </c>
      <c r="IX31" s="523"/>
      <c r="IY31" s="524">
        <f t="shared" si="84"/>
        <v>0</v>
      </c>
      <c r="IZ31" s="525">
        <f t="shared" si="195"/>
        <v>0</v>
      </c>
      <c r="JA31" s="523"/>
      <c r="JB31" s="524">
        <f t="shared" si="85"/>
        <v>0</v>
      </c>
      <c r="JC31" s="525">
        <f t="shared" si="196"/>
        <v>0</v>
      </c>
      <c r="JD31" s="523"/>
      <c r="JE31" s="524">
        <f t="shared" si="86"/>
        <v>0</v>
      </c>
      <c r="JF31" s="525">
        <f t="shared" si="197"/>
        <v>0</v>
      </c>
      <c r="JG31" s="523"/>
      <c r="JH31" s="524">
        <f t="shared" si="87"/>
        <v>0</v>
      </c>
      <c r="JI31" s="525">
        <f t="shared" si="198"/>
        <v>0</v>
      </c>
      <c r="JJ31" s="523"/>
      <c r="JK31" s="525" t="str">
        <f t="shared" si="88"/>
        <v>0</v>
      </c>
      <c r="JL31" s="525" t="str">
        <f t="shared" si="89"/>
        <v>0</v>
      </c>
      <c r="JM31" s="523"/>
      <c r="JN31" s="525" t="str">
        <f t="shared" si="90"/>
        <v>0</v>
      </c>
      <c r="JO31" s="525" t="str">
        <f t="shared" si="91"/>
        <v>0</v>
      </c>
      <c r="JP31" s="523"/>
      <c r="JQ31" s="525" t="str">
        <f t="shared" si="92"/>
        <v>0</v>
      </c>
      <c r="JR31" s="525" t="str">
        <f t="shared" si="93"/>
        <v>0</v>
      </c>
      <c r="JS31" s="523"/>
      <c r="JT31" s="525" t="str">
        <f t="shared" si="94"/>
        <v>0</v>
      </c>
      <c r="JU31" s="525" t="str">
        <f t="shared" si="95"/>
        <v>0</v>
      </c>
      <c r="JV31" s="523"/>
      <c r="JW31" s="525" t="str">
        <f t="shared" si="96"/>
        <v>0</v>
      </c>
      <c r="JX31" s="525" t="str">
        <f t="shared" si="97"/>
        <v>0</v>
      </c>
      <c r="JY31" s="523"/>
      <c r="JZ31" s="525" t="str">
        <f t="shared" si="98"/>
        <v>0</v>
      </c>
      <c r="KA31" s="525" t="str">
        <f t="shared" si="99"/>
        <v>0</v>
      </c>
      <c r="KB31" s="523"/>
      <c r="KC31" s="525" t="str">
        <f t="shared" si="100"/>
        <v>0</v>
      </c>
      <c r="KD31" s="525" t="str">
        <f t="shared" si="101"/>
        <v>0</v>
      </c>
      <c r="KE31" s="523"/>
      <c r="KF31" s="525" t="str">
        <f t="shared" si="102"/>
        <v>0</v>
      </c>
      <c r="KG31" s="525" t="str">
        <f t="shared" si="103"/>
        <v>0</v>
      </c>
      <c r="KH31" s="523"/>
      <c r="KI31" s="525" t="str">
        <f t="shared" si="104"/>
        <v>0</v>
      </c>
      <c r="KJ31" s="525" t="str">
        <f t="shared" si="105"/>
        <v>0</v>
      </c>
      <c r="KK31" s="523"/>
      <c r="KL31" s="525" t="str">
        <f t="shared" si="106"/>
        <v>0</v>
      </c>
      <c r="KM31" s="525" t="str">
        <f t="shared" si="107"/>
        <v>0</v>
      </c>
      <c r="KN31" s="523"/>
      <c r="KO31" s="525" t="str">
        <f t="shared" si="108"/>
        <v>0</v>
      </c>
      <c r="KP31" s="525" t="str">
        <f t="shared" si="109"/>
        <v>0</v>
      </c>
      <c r="KQ31" s="523"/>
      <c r="KR31" s="525" t="str">
        <f t="shared" si="110"/>
        <v>0</v>
      </c>
      <c r="KS31" s="525" t="str">
        <f t="shared" si="111"/>
        <v>0</v>
      </c>
      <c r="KT31" s="525">
        <f t="shared" si="201"/>
        <v>0</v>
      </c>
      <c r="KU31" s="525">
        <f t="shared" si="202"/>
        <v>0</v>
      </c>
      <c r="KV31" s="261">
        <f t="shared" si="199"/>
        <v>814.75760991954667</v>
      </c>
    </row>
    <row r="32" spans="1:308">
      <c r="A32" s="262">
        <f t="shared" si="200"/>
        <v>46136</v>
      </c>
      <c r="B32" s="263" t="str">
        <f>+Report1!B32</f>
        <v>Facial</v>
      </c>
      <c r="C32" s="263" t="str">
        <f>+Report1!C32</f>
        <v>14/13</v>
      </c>
      <c r="D32" s="264">
        <f>+Report1!P32</f>
        <v>38.176000000000002</v>
      </c>
      <c r="E32" s="556">
        <f>+Report1!R32</f>
        <v>38.561999999999998</v>
      </c>
      <c r="F32" s="523"/>
      <c r="G32" s="524">
        <f t="shared" si="0"/>
        <v>0</v>
      </c>
      <c r="H32" s="525">
        <f t="shared" si="112"/>
        <v>0</v>
      </c>
      <c r="I32" s="523">
        <v>197.67441860465112</v>
      </c>
      <c r="J32" s="524">
        <f t="shared" si="1"/>
        <v>5.1261453919571371</v>
      </c>
      <c r="K32" s="525">
        <f t="shared" si="113"/>
        <v>0</v>
      </c>
      <c r="L32" s="523"/>
      <c r="M32" s="524">
        <f t="shared" si="2"/>
        <v>0</v>
      </c>
      <c r="N32" s="525">
        <f t="shared" si="114"/>
        <v>0</v>
      </c>
      <c r="O32" s="523">
        <v>5.9999999999999858</v>
      </c>
      <c r="P32" s="524">
        <f t="shared" si="3"/>
        <v>0.15559358954411043</v>
      </c>
      <c r="Q32" s="525">
        <f t="shared" si="115"/>
        <v>0</v>
      </c>
      <c r="R32" s="523"/>
      <c r="S32" s="524">
        <f t="shared" si="4"/>
        <v>0</v>
      </c>
      <c r="T32" s="525">
        <f t="shared" si="116"/>
        <v>0</v>
      </c>
      <c r="U32" s="523">
        <v>5.125</v>
      </c>
      <c r="V32" s="524">
        <f t="shared" si="5"/>
        <v>0.13290285773559463</v>
      </c>
      <c r="W32" s="525">
        <f t="shared" si="117"/>
        <v>0</v>
      </c>
      <c r="X32" s="523"/>
      <c r="Y32" s="524">
        <f t="shared" si="6"/>
        <v>0</v>
      </c>
      <c r="Z32" s="525">
        <f t="shared" si="118"/>
        <v>0</v>
      </c>
      <c r="AA32" s="523">
        <v>10.937500000000014</v>
      </c>
      <c r="AB32" s="524">
        <f t="shared" si="7"/>
        <v>0.28363414760645234</v>
      </c>
      <c r="AC32" s="525">
        <f t="shared" si="119"/>
        <v>0</v>
      </c>
      <c r="AD32" s="523"/>
      <c r="AE32" s="524">
        <f t="shared" si="8"/>
        <v>0</v>
      </c>
      <c r="AF32" s="525">
        <f t="shared" si="120"/>
        <v>0</v>
      </c>
      <c r="AG32" s="523"/>
      <c r="AH32" s="524">
        <f t="shared" si="9"/>
        <v>0</v>
      </c>
      <c r="AI32" s="525">
        <f t="shared" si="121"/>
        <v>0</v>
      </c>
      <c r="AJ32" s="523"/>
      <c r="AK32" s="524">
        <f t="shared" si="10"/>
        <v>0</v>
      </c>
      <c r="AL32" s="525">
        <f t="shared" si="122"/>
        <v>0</v>
      </c>
      <c r="AM32" s="523"/>
      <c r="AN32" s="524">
        <f t="shared" si="11"/>
        <v>0</v>
      </c>
      <c r="AO32" s="525">
        <f t="shared" si="123"/>
        <v>0</v>
      </c>
      <c r="AP32" s="523"/>
      <c r="AQ32" s="524">
        <f t="shared" si="12"/>
        <v>0</v>
      </c>
      <c r="AR32" s="525">
        <f t="shared" si="124"/>
        <v>0</v>
      </c>
      <c r="AS32" s="523"/>
      <c r="AT32" s="524">
        <f t="shared" si="13"/>
        <v>0</v>
      </c>
      <c r="AU32" s="525">
        <f t="shared" si="125"/>
        <v>0</v>
      </c>
      <c r="AV32" s="523"/>
      <c r="AW32" s="524">
        <f t="shared" si="14"/>
        <v>0</v>
      </c>
      <c r="AX32" s="525">
        <f t="shared" si="126"/>
        <v>0</v>
      </c>
      <c r="AY32" s="523"/>
      <c r="AZ32" s="524">
        <f t="shared" si="15"/>
        <v>0</v>
      </c>
      <c r="BA32" s="525">
        <f t="shared" si="127"/>
        <v>0</v>
      </c>
      <c r="BB32" s="523"/>
      <c r="BC32" s="524">
        <f t="shared" si="16"/>
        <v>0</v>
      </c>
      <c r="BD32" s="525">
        <f t="shared" si="128"/>
        <v>0</v>
      </c>
      <c r="BE32" s="523"/>
      <c r="BF32" s="524">
        <f t="shared" si="17"/>
        <v>0</v>
      </c>
      <c r="BG32" s="525">
        <f t="shared" si="129"/>
        <v>0</v>
      </c>
      <c r="BH32" s="523"/>
      <c r="BI32" s="524">
        <f t="shared" si="18"/>
        <v>0</v>
      </c>
      <c r="BJ32" s="525">
        <f t="shared" si="130"/>
        <v>0</v>
      </c>
      <c r="BK32" s="523"/>
      <c r="BL32" s="524">
        <f t="shared" si="19"/>
        <v>0</v>
      </c>
      <c r="BM32" s="525">
        <f t="shared" si="131"/>
        <v>0</v>
      </c>
      <c r="BN32" s="523"/>
      <c r="BO32" s="524">
        <f t="shared" si="20"/>
        <v>0</v>
      </c>
      <c r="BP32" s="525">
        <f t="shared" si="132"/>
        <v>0</v>
      </c>
      <c r="BQ32" s="523">
        <v>40.506329113924039</v>
      </c>
      <c r="BR32" s="524">
        <f t="shared" si="21"/>
        <v>1.0504208576817604</v>
      </c>
      <c r="BS32" s="525">
        <f t="shared" si="133"/>
        <v>0</v>
      </c>
      <c r="BT32" s="523"/>
      <c r="BU32" s="524">
        <f t="shared" si="22"/>
        <v>0</v>
      </c>
      <c r="BV32" s="525">
        <f t="shared" si="134"/>
        <v>0</v>
      </c>
      <c r="BW32" s="523"/>
      <c r="BX32" s="524">
        <f t="shared" si="23"/>
        <v>0</v>
      </c>
      <c r="BY32" s="525">
        <f t="shared" si="135"/>
        <v>0</v>
      </c>
      <c r="BZ32" s="523"/>
      <c r="CA32" s="524">
        <f t="shared" si="24"/>
        <v>0</v>
      </c>
      <c r="CB32" s="525">
        <f t="shared" si="136"/>
        <v>0</v>
      </c>
      <c r="CC32" s="523"/>
      <c r="CD32" s="524">
        <f t="shared" si="25"/>
        <v>0</v>
      </c>
      <c r="CE32" s="525">
        <f t="shared" si="137"/>
        <v>0</v>
      </c>
      <c r="CF32" s="523">
        <v>0.5</v>
      </c>
      <c r="CG32" s="524">
        <f t="shared" si="26"/>
        <v>1.2966132462009233E-2</v>
      </c>
      <c r="CH32" s="525">
        <f t="shared" si="138"/>
        <v>0</v>
      </c>
      <c r="CI32" s="523"/>
      <c r="CJ32" s="524">
        <f t="shared" si="27"/>
        <v>0</v>
      </c>
      <c r="CK32" s="525">
        <f t="shared" si="139"/>
        <v>0</v>
      </c>
      <c r="CL32" s="523"/>
      <c r="CM32" s="524">
        <f t="shared" si="28"/>
        <v>0</v>
      </c>
      <c r="CN32" s="525">
        <f t="shared" si="140"/>
        <v>0</v>
      </c>
      <c r="CO32" s="523"/>
      <c r="CP32" s="524">
        <f t="shared" si="29"/>
        <v>0</v>
      </c>
      <c r="CQ32" s="525">
        <f t="shared" si="141"/>
        <v>0</v>
      </c>
      <c r="CR32" s="523"/>
      <c r="CS32" s="524">
        <f t="shared" si="30"/>
        <v>0</v>
      </c>
      <c r="CT32" s="525">
        <f t="shared" si="142"/>
        <v>0</v>
      </c>
      <c r="CU32" s="523"/>
      <c r="CV32" s="524">
        <f t="shared" si="31"/>
        <v>0</v>
      </c>
      <c r="CW32" s="525">
        <f t="shared" si="143"/>
        <v>0</v>
      </c>
      <c r="CX32" s="523"/>
      <c r="CY32" s="524">
        <f t="shared" si="32"/>
        <v>0</v>
      </c>
      <c r="CZ32" s="525">
        <f t="shared" si="144"/>
        <v>0</v>
      </c>
      <c r="DA32" s="523"/>
      <c r="DB32" s="524">
        <f t="shared" si="33"/>
        <v>0</v>
      </c>
      <c r="DC32" s="525">
        <f t="shared" si="145"/>
        <v>0</v>
      </c>
      <c r="DD32" s="523"/>
      <c r="DE32" s="524">
        <f t="shared" si="34"/>
        <v>0</v>
      </c>
      <c r="DF32" s="525">
        <f t="shared" si="146"/>
        <v>0</v>
      </c>
      <c r="DG32" s="523"/>
      <c r="DH32" s="524">
        <f t="shared" si="35"/>
        <v>0</v>
      </c>
      <c r="DI32" s="525">
        <f t="shared" si="203"/>
        <v>0</v>
      </c>
      <c r="DJ32" s="523"/>
      <c r="DK32" s="524">
        <f t="shared" si="36"/>
        <v>0</v>
      </c>
      <c r="DL32" s="525">
        <f t="shared" si="147"/>
        <v>0</v>
      </c>
      <c r="DM32" s="523"/>
      <c r="DN32" s="524">
        <f t="shared" si="37"/>
        <v>0</v>
      </c>
      <c r="DO32" s="525">
        <f t="shared" si="148"/>
        <v>0</v>
      </c>
      <c r="DP32" s="523"/>
      <c r="DQ32" s="524">
        <f t="shared" si="38"/>
        <v>0</v>
      </c>
      <c r="DR32" s="525">
        <f t="shared" si="149"/>
        <v>0</v>
      </c>
      <c r="DS32" s="523"/>
      <c r="DT32" s="524">
        <f t="shared" si="39"/>
        <v>0</v>
      </c>
      <c r="DU32" s="525">
        <f t="shared" si="150"/>
        <v>0</v>
      </c>
      <c r="DV32" s="523"/>
      <c r="DW32" s="524">
        <f t="shared" si="40"/>
        <v>0</v>
      </c>
      <c r="DX32" s="525">
        <f t="shared" si="151"/>
        <v>0</v>
      </c>
      <c r="DY32" s="523"/>
      <c r="DZ32" s="524">
        <f t="shared" si="41"/>
        <v>0</v>
      </c>
      <c r="EA32" s="525">
        <f t="shared" si="152"/>
        <v>0</v>
      </c>
      <c r="EB32" s="523"/>
      <c r="EC32" s="524">
        <f t="shared" si="42"/>
        <v>0</v>
      </c>
      <c r="ED32" s="525">
        <f t="shared" si="153"/>
        <v>0</v>
      </c>
      <c r="EE32" s="523">
        <v>14.534883720930338</v>
      </c>
      <c r="EF32" s="524">
        <f t="shared" si="43"/>
        <v>0.37692245529096879</v>
      </c>
      <c r="EG32" s="525">
        <f t="shared" si="154"/>
        <v>0</v>
      </c>
      <c r="EH32" s="523">
        <v>70.44705882352946</v>
      </c>
      <c r="EI32" s="524">
        <f t="shared" si="44"/>
        <v>1.8268517925296786</v>
      </c>
      <c r="EJ32" s="525">
        <f t="shared" si="155"/>
        <v>0</v>
      </c>
      <c r="EK32" s="523">
        <v>4</v>
      </c>
      <c r="EL32" s="524">
        <f t="shared" si="45"/>
        <v>0.10372905969607386</v>
      </c>
      <c r="EM32" s="525">
        <f t="shared" si="156"/>
        <v>0</v>
      </c>
      <c r="EN32" s="523">
        <v>30.487804878048848</v>
      </c>
      <c r="EO32" s="524">
        <f t="shared" si="46"/>
        <v>0.79061783304934519</v>
      </c>
      <c r="EP32" s="525">
        <f t="shared" si="157"/>
        <v>0</v>
      </c>
      <c r="EQ32" s="523">
        <v>29.651162790697697</v>
      </c>
      <c r="ER32" s="524">
        <f t="shared" si="47"/>
        <v>0.7689218087935713</v>
      </c>
      <c r="ES32" s="525">
        <f t="shared" si="158"/>
        <v>0</v>
      </c>
      <c r="ET32" s="523"/>
      <c r="EU32" s="524">
        <f t="shared" si="48"/>
        <v>0</v>
      </c>
      <c r="EV32" s="525">
        <f t="shared" si="159"/>
        <v>0</v>
      </c>
      <c r="EW32" s="523"/>
      <c r="EX32" s="524">
        <f t="shared" si="49"/>
        <v>0</v>
      </c>
      <c r="EY32" s="525">
        <f t="shared" si="160"/>
        <v>0</v>
      </c>
      <c r="EZ32" s="523"/>
      <c r="FA32" s="524">
        <f t="shared" si="50"/>
        <v>0</v>
      </c>
      <c r="FB32" s="525">
        <f t="shared" si="161"/>
        <v>0</v>
      </c>
      <c r="FC32" s="523"/>
      <c r="FD32" s="524">
        <f t="shared" si="51"/>
        <v>0</v>
      </c>
      <c r="FE32" s="525">
        <f t="shared" si="162"/>
        <v>0</v>
      </c>
      <c r="FF32" s="523"/>
      <c r="FG32" s="524">
        <f t="shared" si="52"/>
        <v>0</v>
      </c>
      <c r="FH32" s="525">
        <f t="shared" si="163"/>
        <v>0</v>
      </c>
      <c r="FI32" s="523"/>
      <c r="FJ32" s="524">
        <f t="shared" si="53"/>
        <v>0</v>
      </c>
      <c r="FK32" s="525">
        <f t="shared" si="164"/>
        <v>0</v>
      </c>
      <c r="FL32" s="523"/>
      <c r="FM32" s="524">
        <f t="shared" si="54"/>
        <v>0</v>
      </c>
      <c r="FN32" s="525">
        <f t="shared" si="165"/>
        <v>0</v>
      </c>
      <c r="FO32" s="523"/>
      <c r="FP32" s="524">
        <f t="shared" si="55"/>
        <v>0</v>
      </c>
      <c r="FQ32" s="525">
        <f t="shared" si="166"/>
        <v>0</v>
      </c>
      <c r="FR32" s="523"/>
      <c r="FS32" s="524">
        <f t="shared" si="56"/>
        <v>0</v>
      </c>
      <c r="FT32" s="525">
        <f t="shared" si="167"/>
        <v>0</v>
      </c>
      <c r="FU32" s="523"/>
      <c r="FV32" s="524">
        <f t="shared" si="57"/>
        <v>0</v>
      </c>
      <c r="FW32" s="525">
        <f t="shared" si="168"/>
        <v>0</v>
      </c>
      <c r="FX32" s="523"/>
      <c r="FY32" s="524">
        <f t="shared" si="58"/>
        <v>0</v>
      </c>
      <c r="FZ32" s="525">
        <f t="shared" si="169"/>
        <v>0</v>
      </c>
      <c r="GA32" s="523"/>
      <c r="GB32" s="524">
        <f t="shared" si="59"/>
        <v>0</v>
      </c>
      <c r="GC32" s="525">
        <f t="shared" si="170"/>
        <v>0</v>
      </c>
      <c r="GD32" s="523"/>
      <c r="GE32" s="524">
        <f t="shared" si="60"/>
        <v>0</v>
      </c>
      <c r="GF32" s="525">
        <f t="shared" si="171"/>
        <v>0</v>
      </c>
      <c r="GG32" s="523"/>
      <c r="GH32" s="524">
        <f t="shared" si="61"/>
        <v>0</v>
      </c>
      <c r="GI32" s="525">
        <f t="shared" si="172"/>
        <v>0</v>
      </c>
      <c r="GJ32" s="523"/>
      <c r="GK32" s="524">
        <f t="shared" si="62"/>
        <v>0</v>
      </c>
      <c r="GL32" s="525">
        <f t="shared" si="173"/>
        <v>0</v>
      </c>
      <c r="GM32" s="523"/>
      <c r="GN32" s="524">
        <f t="shared" si="63"/>
        <v>0</v>
      </c>
      <c r="GO32" s="525">
        <f t="shared" si="174"/>
        <v>0</v>
      </c>
      <c r="GP32" s="523"/>
      <c r="GQ32" s="524">
        <f t="shared" si="64"/>
        <v>0</v>
      </c>
      <c r="GR32" s="525">
        <f t="shared" si="175"/>
        <v>0</v>
      </c>
      <c r="GS32" s="523"/>
      <c r="GT32" s="524">
        <f t="shared" si="65"/>
        <v>0</v>
      </c>
      <c r="GU32" s="525">
        <f t="shared" si="176"/>
        <v>0</v>
      </c>
      <c r="GV32" s="523"/>
      <c r="GW32" s="524">
        <f t="shared" si="66"/>
        <v>0</v>
      </c>
      <c r="GX32" s="525">
        <f t="shared" si="177"/>
        <v>0</v>
      </c>
      <c r="GY32" s="523"/>
      <c r="GZ32" s="524">
        <f t="shared" si="67"/>
        <v>0</v>
      </c>
      <c r="HA32" s="525">
        <f t="shared" si="178"/>
        <v>0</v>
      </c>
      <c r="HB32" s="523"/>
      <c r="HC32" s="524">
        <f t="shared" si="68"/>
        <v>0</v>
      </c>
      <c r="HD32" s="525">
        <f t="shared" si="179"/>
        <v>0</v>
      </c>
      <c r="HE32" s="523"/>
      <c r="HF32" s="524">
        <f t="shared" si="69"/>
        <v>0</v>
      </c>
      <c r="HG32" s="525">
        <f t="shared" si="180"/>
        <v>0</v>
      </c>
      <c r="HH32" s="523"/>
      <c r="HI32" s="524">
        <f t="shared" si="70"/>
        <v>0</v>
      </c>
      <c r="HJ32" s="525">
        <f t="shared" si="181"/>
        <v>0</v>
      </c>
      <c r="HK32" s="523"/>
      <c r="HL32" s="524">
        <f t="shared" si="71"/>
        <v>0</v>
      </c>
      <c r="HM32" s="525">
        <f t="shared" si="182"/>
        <v>0</v>
      </c>
      <c r="HN32" s="523"/>
      <c r="HO32" s="524">
        <f t="shared" si="72"/>
        <v>0</v>
      </c>
      <c r="HP32" s="525">
        <f t="shared" si="183"/>
        <v>0</v>
      </c>
      <c r="HQ32" s="523"/>
      <c r="HR32" s="524">
        <f t="shared" si="73"/>
        <v>0</v>
      </c>
      <c r="HS32" s="525">
        <f t="shared" si="184"/>
        <v>0</v>
      </c>
      <c r="HT32" s="523"/>
      <c r="HU32" s="524">
        <f t="shared" si="74"/>
        <v>0</v>
      </c>
      <c r="HV32" s="525">
        <f t="shared" si="185"/>
        <v>0</v>
      </c>
      <c r="HW32" s="523"/>
      <c r="HX32" s="524">
        <f t="shared" si="75"/>
        <v>0</v>
      </c>
      <c r="HY32" s="525">
        <f t="shared" si="186"/>
        <v>0</v>
      </c>
      <c r="HZ32" s="523"/>
      <c r="IA32" s="524">
        <f t="shared" si="76"/>
        <v>0</v>
      </c>
      <c r="IB32" s="525">
        <f t="shared" si="187"/>
        <v>0</v>
      </c>
      <c r="IC32" s="523"/>
      <c r="ID32" s="524">
        <f t="shared" si="77"/>
        <v>0</v>
      </c>
      <c r="IE32" s="525">
        <f t="shared" si="188"/>
        <v>0</v>
      </c>
      <c r="IF32" s="523"/>
      <c r="IG32" s="524">
        <f t="shared" si="78"/>
        <v>0</v>
      </c>
      <c r="IH32" s="525">
        <f t="shared" si="189"/>
        <v>0</v>
      </c>
      <c r="II32" s="523"/>
      <c r="IJ32" s="524">
        <f t="shared" si="79"/>
        <v>0</v>
      </c>
      <c r="IK32" s="525">
        <f t="shared" si="190"/>
        <v>0</v>
      </c>
      <c r="IL32" s="523"/>
      <c r="IM32" s="524">
        <f t="shared" si="80"/>
        <v>0</v>
      </c>
      <c r="IN32" s="525">
        <f t="shared" si="191"/>
        <v>0</v>
      </c>
      <c r="IO32" s="523"/>
      <c r="IP32" s="524">
        <f t="shared" si="81"/>
        <v>0</v>
      </c>
      <c r="IQ32" s="525">
        <f t="shared" si="192"/>
        <v>0</v>
      </c>
      <c r="IR32" s="523"/>
      <c r="IS32" s="524">
        <f t="shared" si="82"/>
        <v>0</v>
      </c>
      <c r="IT32" s="525">
        <f t="shared" si="193"/>
        <v>0</v>
      </c>
      <c r="IU32" s="523"/>
      <c r="IV32" s="524">
        <f t="shared" si="83"/>
        <v>0</v>
      </c>
      <c r="IW32" s="525">
        <f t="shared" si="194"/>
        <v>0</v>
      </c>
      <c r="IX32" s="523"/>
      <c r="IY32" s="524">
        <f t="shared" si="84"/>
        <v>0</v>
      </c>
      <c r="IZ32" s="525">
        <f t="shared" si="195"/>
        <v>0</v>
      </c>
      <c r="JA32" s="523"/>
      <c r="JB32" s="524">
        <f t="shared" si="85"/>
        <v>0</v>
      </c>
      <c r="JC32" s="525">
        <f t="shared" si="196"/>
        <v>0</v>
      </c>
      <c r="JD32" s="523"/>
      <c r="JE32" s="524">
        <f t="shared" si="86"/>
        <v>0</v>
      </c>
      <c r="JF32" s="525">
        <f t="shared" si="197"/>
        <v>0</v>
      </c>
      <c r="JG32" s="523"/>
      <c r="JH32" s="524">
        <f t="shared" si="87"/>
        <v>0</v>
      </c>
      <c r="JI32" s="525">
        <f t="shared" si="198"/>
        <v>0</v>
      </c>
      <c r="JJ32" s="523"/>
      <c r="JK32" s="525" t="str">
        <f t="shared" si="88"/>
        <v>0</v>
      </c>
      <c r="JL32" s="525" t="str">
        <f t="shared" si="89"/>
        <v>0</v>
      </c>
      <c r="JM32" s="523"/>
      <c r="JN32" s="525" t="str">
        <f t="shared" si="90"/>
        <v>0</v>
      </c>
      <c r="JO32" s="525" t="str">
        <f t="shared" si="91"/>
        <v>0</v>
      </c>
      <c r="JP32" s="523"/>
      <c r="JQ32" s="525" t="str">
        <f t="shared" si="92"/>
        <v>0</v>
      </c>
      <c r="JR32" s="525" t="str">
        <f t="shared" si="93"/>
        <v>0</v>
      </c>
      <c r="JS32" s="523"/>
      <c r="JT32" s="525" t="str">
        <f t="shared" si="94"/>
        <v>0</v>
      </c>
      <c r="JU32" s="525" t="str">
        <f t="shared" si="95"/>
        <v>0</v>
      </c>
      <c r="JV32" s="523"/>
      <c r="JW32" s="525" t="str">
        <f t="shared" si="96"/>
        <v>0</v>
      </c>
      <c r="JX32" s="525" t="str">
        <f t="shared" si="97"/>
        <v>0</v>
      </c>
      <c r="JY32" s="523"/>
      <c r="JZ32" s="525" t="str">
        <f t="shared" si="98"/>
        <v>0</v>
      </c>
      <c r="KA32" s="525" t="str">
        <f t="shared" si="99"/>
        <v>0</v>
      </c>
      <c r="KB32" s="523"/>
      <c r="KC32" s="525" t="str">
        <f t="shared" si="100"/>
        <v>0</v>
      </c>
      <c r="KD32" s="525" t="str">
        <f t="shared" si="101"/>
        <v>0</v>
      </c>
      <c r="KE32" s="523"/>
      <c r="KF32" s="525" t="str">
        <f t="shared" si="102"/>
        <v>0</v>
      </c>
      <c r="KG32" s="525" t="str">
        <f t="shared" si="103"/>
        <v>0</v>
      </c>
      <c r="KH32" s="523"/>
      <c r="KI32" s="525" t="str">
        <f t="shared" si="104"/>
        <v>0</v>
      </c>
      <c r="KJ32" s="525" t="str">
        <f t="shared" si="105"/>
        <v>0</v>
      </c>
      <c r="KK32" s="523"/>
      <c r="KL32" s="525" t="str">
        <f t="shared" si="106"/>
        <v>0</v>
      </c>
      <c r="KM32" s="525" t="str">
        <f t="shared" si="107"/>
        <v>0</v>
      </c>
      <c r="KN32" s="523"/>
      <c r="KO32" s="525" t="str">
        <f t="shared" si="108"/>
        <v>0</v>
      </c>
      <c r="KP32" s="525" t="str">
        <f t="shared" si="109"/>
        <v>0</v>
      </c>
      <c r="KQ32" s="523"/>
      <c r="KR32" s="525" t="str">
        <f t="shared" si="110"/>
        <v>0</v>
      </c>
      <c r="KS32" s="525" t="str">
        <f t="shared" si="111"/>
        <v>0</v>
      </c>
      <c r="KT32" s="525">
        <f t="shared" si="201"/>
        <v>0</v>
      </c>
      <c r="KU32" s="525">
        <f t="shared" si="202"/>
        <v>0</v>
      </c>
      <c r="KV32" s="261">
        <f t="shared" si="199"/>
        <v>409.86415793178151</v>
      </c>
    </row>
    <row r="33" spans="1:308" ht="15" customHeight="1">
      <c r="A33" s="262">
        <f t="shared" si="200"/>
        <v>46137</v>
      </c>
      <c r="B33" s="263" t="str">
        <f>+Report1!B33</f>
        <v>Facial</v>
      </c>
      <c r="C33" s="263" t="str">
        <f>+Report1!C33</f>
        <v>13/12</v>
      </c>
      <c r="D33" s="264">
        <f>+Report1!P33</f>
        <v>39.643999999999998</v>
      </c>
      <c r="E33" s="556">
        <f>+Report1!R33</f>
        <v>38.869</v>
      </c>
      <c r="F33" s="523"/>
      <c r="G33" s="524">
        <f t="shared" si="0"/>
        <v>0</v>
      </c>
      <c r="H33" s="525">
        <f t="shared" si="112"/>
        <v>0</v>
      </c>
      <c r="I33" s="523">
        <v>197.67441860465124</v>
      </c>
      <c r="J33" s="524">
        <f t="shared" si="1"/>
        <v>5.0856574289189647</v>
      </c>
      <c r="K33" s="525">
        <f t="shared" si="113"/>
        <v>0</v>
      </c>
      <c r="L33" s="523"/>
      <c r="M33" s="524">
        <f t="shared" si="2"/>
        <v>0</v>
      </c>
      <c r="N33" s="525">
        <f t="shared" si="114"/>
        <v>0</v>
      </c>
      <c r="O33" s="523">
        <v>5.7988</v>
      </c>
      <c r="P33" s="524">
        <f t="shared" si="3"/>
        <v>0.1491882991587126</v>
      </c>
      <c r="Q33" s="525">
        <f t="shared" si="115"/>
        <v>0</v>
      </c>
      <c r="R33" s="523"/>
      <c r="S33" s="524">
        <f t="shared" si="4"/>
        <v>0</v>
      </c>
      <c r="T33" s="525">
        <f t="shared" si="116"/>
        <v>0</v>
      </c>
      <c r="U33" s="523">
        <v>4.9561000000000206</v>
      </c>
      <c r="V33" s="524">
        <f t="shared" si="5"/>
        <v>0.12750778255164838</v>
      </c>
      <c r="W33" s="525">
        <f t="shared" si="117"/>
        <v>0</v>
      </c>
      <c r="X33" s="523"/>
      <c r="Y33" s="524">
        <f t="shared" si="6"/>
        <v>0</v>
      </c>
      <c r="Z33" s="525">
        <f t="shared" si="118"/>
        <v>0</v>
      </c>
      <c r="AA33" s="523">
        <v>10.937499999999996</v>
      </c>
      <c r="AB33" s="524">
        <f t="shared" si="7"/>
        <v>0.28139391288687632</v>
      </c>
      <c r="AC33" s="525">
        <f t="shared" si="119"/>
        <v>0</v>
      </c>
      <c r="AD33" s="523"/>
      <c r="AE33" s="524">
        <f t="shared" si="8"/>
        <v>0</v>
      </c>
      <c r="AF33" s="525">
        <f t="shared" si="120"/>
        <v>0</v>
      </c>
      <c r="AG33" s="523"/>
      <c r="AH33" s="524">
        <f t="shared" si="9"/>
        <v>0</v>
      </c>
      <c r="AI33" s="525">
        <f t="shared" si="121"/>
        <v>0</v>
      </c>
      <c r="AJ33" s="523"/>
      <c r="AK33" s="524">
        <f t="shared" si="10"/>
        <v>0</v>
      </c>
      <c r="AL33" s="525">
        <f t="shared" si="122"/>
        <v>0</v>
      </c>
      <c r="AM33" s="523"/>
      <c r="AN33" s="524">
        <f t="shared" si="11"/>
        <v>0</v>
      </c>
      <c r="AO33" s="525">
        <f t="shared" si="123"/>
        <v>0</v>
      </c>
      <c r="AP33" s="523"/>
      <c r="AQ33" s="524">
        <f t="shared" si="12"/>
        <v>0</v>
      </c>
      <c r="AR33" s="525">
        <f t="shared" si="124"/>
        <v>0</v>
      </c>
      <c r="AS33" s="523"/>
      <c r="AT33" s="524">
        <f t="shared" si="13"/>
        <v>0</v>
      </c>
      <c r="AU33" s="525">
        <f t="shared" si="125"/>
        <v>0</v>
      </c>
      <c r="AV33" s="523"/>
      <c r="AW33" s="524">
        <f t="shared" si="14"/>
        <v>0</v>
      </c>
      <c r="AX33" s="525">
        <f t="shared" si="126"/>
        <v>0</v>
      </c>
      <c r="AY33" s="523"/>
      <c r="AZ33" s="524">
        <f t="shared" si="15"/>
        <v>0</v>
      </c>
      <c r="BA33" s="525">
        <f t="shared" si="127"/>
        <v>0</v>
      </c>
      <c r="BB33" s="523"/>
      <c r="BC33" s="524">
        <f t="shared" si="16"/>
        <v>0</v>
      </c>
      <c r="BD33" s="525">
        <f t="shared" si="128"/>
        <v>0</v>
      </c>
      <c r="BE33" s="523"/>
      <c r="BF33" s="524">
        <f t="shared" si="17"/>
        <v>0</v>
      </c>
      <c r="BG33" s="525">
        <f t="shared" si="129"/>
        <v>0</v>
      </c>
      <c r="BH33" s="523"/>
      <c r="BI33" s="524">
        <f t="shared" si="18"/>
        <v>0</v>
      </c>
      <c r="BJ33" s="525">
        <f t="shared" si="130"/>
        <v>0</v>
      </c>
      <c r="BK33" s="523"/>
      <c r="BL33" s="524">
        <f t="shared" si="19"/>
        <v>0</v>
      </c>
      <c r="BM33" s="525">
        <f t="shared" si="131"/>
        <v>0</v>
      </c>
      <c r="BN33" s="523"/>
      <c r="BO33" s="524">
        <f t="shared" si="20"/>
        <v>0</v>
      </c>
      <c r="BP33" s="525">
        <f t="shared" si="132"/>
        <v>0</v>
      </c>
      <c r="BQ33" s="523">
        <v>55.696202531645497</v>
      </c>
      <c r="BR33" s="524">
        <f t="shared" si="21"/>
        <v>1.4329209017892279</v>
      </c>
      <c r="BS33" s="525">
        <f t="shared" si="133"/>
        <v>0</v>
      </c>
      <c r="BT33" s="523"/>
      <c r="BU33" s="524">
        <f t="shared" si="22"/>
        <v>0</v>
      </c>
      <c r="BV33" s="525">
        <f t="shared" si="134"/>
        <v>0</v>
      </c>
      <c r="BW33" s="523"/>
      <c r="BX33" s="524">
        <f t="shared" si="23"/>
        <v>0</v>
      </c>
      <c r="BY33" s="525">
        <f t="shared" si="135"/>
        <v>0</v>
      </c>
      <c r="BZ33" s="523"/>
      <c r="CA33" s="524">
        <f t="shared" si="24"/>
        <v>0</v>
      </c>
      <c r="CB33" s="525">
        <f t="shared" si="136"/>
        <v>0</v>
      </c>
      <c r="CC33" s="523"/>
      <c r="CD33" s="524">
        <f t="shared" si="25"/>
        <v>0</v>
      </c>
      <c r="CE33" s="525">
        <f t="shared" si="137"/>
        <v>0</v>
      </c>
      <c r="CF33" s="523">
        <v>0.5</v>
      </c>
      <c r="CG33" s="524">
        <f t="shared" si="26"/>
        <v>1.2863721731971494E-2</v>
      </c>
      <c r="CH33" s="525">
        <f t="shared" si="138"/>
        <v>0</v>
      </c>
      <c r="CI33" s="523"/>
      <c r="CJ33" s="524">
        <f t="shared" si="27"/>
        <v>0</v>
      </c>
      <c r="CK33" s="525">
        <f t="shared" si="139"/>
        <v>0</v>
      </c>
      <c r="CL33" s="523"/>
      <c r="CM33" s="524">
        <f t="shared" si="28"/>
        <v>0</v>
      </c>
      <c r="CN33" s="525">
        <f t="shared" si="140"/>
        <v>0</v>
      </c>
      <c r="CO33" s="523"/>
      <c r="CP33" s="524">
        <f t="shared" si="29"/>
        <v>0</v>
      </c>
      <c r="CQ33" s="525">
        <f t="shared" si="141"/>
        <v>0</v>
      </c>
      <c r="CR33" s="523"/>
      <c r="CS33" s="524">
        <f t="shared" si="30"/>
        <v>0</v>
      </c>
      <c r="CT33" s="525">
        <f t="shared" si="142"/>
        <v>0</v>
      </c>
      <c r="CU33" s="523"/>
      <c r="CV33" s="524">
        <f t="shared" si="31"/>
        <v>0</v>
      </c>
      <c r="CW33" s="525">
        <f t="shared" si="143"/>
        <v>0</v>
      </c>
      <c r="CX33" s="523"/>
      <c r="CY33" s="524">
        <f t="shared" si="32"/>
        <v>0</v>
      </c>
      <c r="CZ33" s="525">
        <f t="shared" si="144"/>
        <v>0</v>
      </c>
      <c r="DA33" s="523"/>
      <c r="DB33" s="524">
        <f t="shared" si="33"/>
        <v>0</v>
      </c>
      <c r="DC33" s="525">
        <f t="shared" si="145"/>
        <v>0</v>
      </c>
      <c r="DD33" s="523"/>
      <c r="DE33" s="524">
        <f t="shared" si="34"/>
        <v>0</v>
      </c>
      <c r="DF33" s="525">
        <f t="shared" si="146"/>
        <v>0</v>
      </c>
      <c r="DG33" s="523"/>
      <c r="DH33" s="524">
        <f t="shared" si="35"/>
        <v>0</v>
      </c>
      <c r="DI33" s="525">
        <f t="shared" si="203"/>
        <v>0</v>
      </c>
      <c r="DJ33" s="523"/>
      <c r="DK33" s="524">
        <f t="shared" si="36"/>
        <v>0</v>
      </c>
      <c r="DL33" s="525">
        <f t="shared" si="147"/>
        <v>0</v>
      </c>
      <c r="DM33" s="523"/>
      <c r="DN33" s="524">
        <f t="shared" si="37"/>
        <v>0</v>
      </c>
      <c r="DO33" s="525">
        <f t="shared" si="148"/>
        <v>0</v>
      </c>
      <c r="DP33" s="523"/>
      <c r="DQ33" s="524">
        <f t="shared" si="38"/>
        <v>0</v>
      </c>
      <c r="DR33" s="525">
        <f t="shared" si="149"/>
        <v>0</v>
      </c>
      <c r="DS33" s="523"/>
      <c r="DT33" s="524">
        <f t="shared" si="39"/>
        <v>0</v>
      </c>
      <c r="DU33" s="525">
        <f t="shared" si="150"/>
        <v>0</v>
      </c>
      <c r="DV33" s="523"/>
      <c r="DW33" s="524">
        <f t="shared" si="40"/>
        <v>0</v>
      </c>
      <c r="DX33" s="525">
        <f t="shared" si="151"/>
        <v>0</v>
      </c>
      <c r="DY33" s="523"/>
      <c r="DZ33" s="524">
        <f t="shared" si="41"/>
        <v>0</v>
      </c>
      <c r="EA33" s="525">
        <f t="shared" si="152"/>
        <v>0</v>
      </c>
      <c r="EB33" s="523"/>
      <c r="EC33" s="524">
        <f t="shared" si="42"/>
        <v>0</v>
      </c>
      <c r="ED33" s="525">
        <f t="shared" si="153"/>
        <v>0</v>
      </c>
      <c r="EE33" s="523">
        <v>10.901162790697697</v>
      </c>
      <c r="EF33" s="524">
        <f t="shared" si="43"/>
        <v>0.28045904938891397</v>
      </c>
      <c r="EG33" s="525">
        <f t="shared" si="154"/>
        <v>0</v>
      </c>
      <c r="EH33" s="523">
        <v>68.113529411764716</v>
      </c>
      <c r="EI33" s="524">
        <f t="shared" si="44"/>
        <v>1.7523869770707947</v>
      </c>
      <c r="EJ33" s="525">
        <f t="shared" si="155"/>
        <v>0</v>
      </c>
      <c r="EK33" s="523">
        <v>4.5</v>
      </c>
      <c r="EL33" s="524">
        <f t="shared" si="45"/>
        <v>0.11577349558774344</v>
      </c>
      <c r="EM33" s="525">
        <f t="shared" si="156"/>
        <v>0</v>
      </c>
      <c r="EN33" s="523">
        <v>29.373508170731611</v>
      </c>
      <c r="EO33" s="524">
        <f t="shared" si="46"/>
        <v>0.75570527080016492</v>
      </c>
      <c r="EP33" s="525">
        <f t="shared" si="157"/>
        <v>0</v>
      </c>
      <c r="EQ33" s="523">
        <v>52.560441860465062</v>
      </c>
      <c r="ER33" s="524">
        <f t="shared" si="47"/>
        <v>1.3522457964049772</v>
      </c>
      <c r="ES33" s="525">
        <f t="shared" si="158"/>
        <v>0</v>
      </c>
      <c r="ET33" s="523"/>
      <c r="EU33" s="524">
        <f t="shared" si="48"/>
        <v>0</v>
      </c>
      <c r="EV33" s="525">
        <f t="shared" si="159"/>
        <v>0</v>
      </c>
      <c r="EW33" s="523"/>
      <c r="EX33" s="524">
        <f t="shared" si="49"/>
        <v>0</v>
      </c>
      <c r="EY33" s="525">
        <f t="shared" si="160"/>
        <v>0</v>
      </c>
      <c r="EZ33" s="523"/>
      <c r="FA33" s="524">
        <f t="shared" si="50"/>
        <v>0</v>
      </c>
      <c r="FB33" s="525">
        <f t="shared" si="161"/>
        <v>0</v>
      </c>
      <c r="FC33" s="523"/>
      <c r="FD33" s="524">
        <f t="shared" si="51"/>
        <v>0</v>
      </c>
      <c r="FE33" s="525">
        <f t="shared" si="162"/>
        <v>0</v>
      </c>
      <c r="FF33" s="523"/>
      <c r="FG33" s="524">
        <f t="shared" si="52"/>
        <v>0</v>
      </c>
      <c r="FH33" s="525">
        <f t="shared" si="163"/>
        <v>0</v>
      </c>
      <c r="FI33" s="523"/>
      <c r="FJ33" s="524">
        <f t="shared" si="53"/>
        <v>0</v>
      </c>
      <c r="FK33" s="525">
        <f t="shared" si="164"/>
        <v>0</v>
      </c>
      <c r="FL33" s="523"/>
      <c r="FM33" s="524">
        <f t="shared" si="54"/>
        <v>0</v>
      </c>
      <c r="FN33" s="525">
        <f t="shared" si="165"/>
        <v>0</v>
      </c>
      <c r="FO33" s="523"/>
      <c r="FP33" s="524">
        <f t="shared" si="55"/>
        <v>0</v>
      </c>
      <c r="FQ33" s="525">
        <f t="shared" si="166"/>
        <v>0</v>
      </c>
      <c r="FR33" s="523"/>
      <c r="FS33" s="524">
        <f t="shared" si="56"/>
        <v>0</v>
      </c>
      <c r="FT33" s="525">
        <f t="shared" si="167"/>
        <v>0</v>
      </c>
      <c r="FU33" s="523"/>
      <c r="FV33" s="524">
        <f t="shared" si="57"/>
        <v>0</v>
      </c>
      <c r="FW33" s="525">
        <f t="shared" si="168"/>
        <v>0</v>
      </c>
      <c r="FX33" s="523"/>
      <c r="FY33" s="524">
        <f t="shared" si="58"/>
        <v>0</v>
      </c>
      <c r="FZ33" s="525">
        <f t="shared" si="169"/>
        <v>0</v>
      </c>
      <c r="GA33" s="523"/>
      <c r="GB33" s="524">
        <f t="shared" si="59"/>
        <v>0</v>
      </c>
      <c r="GC33" s="525">
        <f t="shared" si="170"/>
        <v>0</v>
      </c>
      <c r="GD33" s="523"/>
      <c r="GE33" s="524">
        <f t="shared" si="60"/>
        <v>0</v>
      </c>
      <c r="GF33" s="525">
        <f t="shared" si="171"/>
        <v>0</v>
      </c>
      <c r="GG33" s="523"/>
      <c r="GH33" s="524">
        <f t="shared" si="61"/>
        <v>0</v>
      </c>
      <c r="GI33" s="525">
        <f t="shared" si="172"/>
        <v>0</v>
      </c>
      <c r="GJ33" s="523"/>
      <c r="GK33" s="524">
        <f t="shared" si="62"/>
        <v>0</v>
      </c>
      <c r="GL33" s="525">
        <f t="shared" si="173"/>
        <v>0</v>
      </c>
      <c r="GM33" s="523"/>
      <c r="GN33" s="524">
        <f t="shared" si="63"/>
        <v>0</v>
      </c>
      <c r="GO33" s="525">
        <f t="shared" si="174"/>
        <v>0</v>
      </c>
      <c r="GP33" s="523"/>
      <c r="GQ33" s="524">
        <f t="shared" si="64"/>
        <v>0</v>
      </c>
      <c r="GR33" s="525">
        <f t="shared" si="175"/>
        <v>0</v>
      </c>
      <c r="GS33" s="523"/>
      <c r="GT33" s="524">
        <f t="shared" si="65"/>
        <v>0</v>
      </c>
      <c r="GU33" s="525">
        <f t="shared" si="176"/>
        <v>0</v>
      </c>
      <c r="GV33" s="523"/>
      <c r="GW33" s="524">
        <f t="shared" si="66"/>
        <v>0</v>
      </c>
      <c r="GX33" s="525">
        <f t="shared" si="177"/>
        <v>0</v>
      </c>
      <c r="GY33" s="523"/>
      <c r="GZ33" s="524">
        <f t="shared" si="67"/>
        <v>0</v>
      </c>
      <c r="HA33" s="525">
        <f t="shared" si="178"/>
        <v>0</v>
      </c>
      <c r="HB33" s="523"/>
      <c r="HC33" s="524">
        <f t="shared" si="68"/>
        <v>0</v>
      </c>
      <c r="HD33" s="525">
        <f t="shared" si="179"/>
        <v>0</v>
      </c>
      <c r="HE33" s="523"/>
      <c r="HF33" s="524">
        <f t="shared" si="69"/>
        <v>0</v>
      </c>
      <c r="HG33" s="525">
        <f t="shared" si="180"/>
        <v>0</v>
      </c>
      <c r="HH33" s="523"/>
      <c r="HI33" s="524">
        <f t="shared" si="70"/>
        <v>0</v>
      </c>
      <c r="HJ33" s="525">
        <f t="shared" si="181"/>
        <v>0</v>
      </c>
      <c r="HK33" s="523"/>
      <c r="HL33" s="524">
        <f t="shared" si="71"/>
        <v>0</v>
      </c>
      <c r="HM33" s="525">
        <f t="shared" si="182"/>
        <v>0</v>
      </c>
      <c r="HN33" s="523"/>
      <c r="HO33" s="524">
        <f t="shared" si="72"/>
        <v>0</v>
      </c>
      <c r="HP33" s="525">
        <f t="shared" si="183"/>
        <v>0</v>
      </c>
      <c r="HQ33" s="523"/>
      <c r="HR33" s="524">
        <f t="shared" si="73"/>
        <v>0</v>
      </c>
      <c r="HS33" s="525">
        <f t="shared" si="184"/>
        <v>0</v>
      </c>
      <c r="HT33" s="523"/>
      <c r="HU33" s="524">
        <f t="shared" si="74"/>
        <v>0</v>
      </c>
      <c r="HV33" s="525">
        <f t="shared" si="185"/>
        <v>0</v>
      </c>
      <c r="HW33" s="523"/>
      <c r="HX33" s="524">
        <f t="shared" si="75"/>
        <v>0</v>
      </c>
      <c r="HY33" s="525">
        <f t="shared" si="186"/>
        <v>0</v>
      </c>
      <c r="HZ33" s="523"/>
      <c r="IA33" s="524">
        <f t="shared" si="76"/>
        <v>0</v>
      </c>
      <c r="IB33" s="525">
        <f t="shared" si="187"/>
        <v>0</v>
      </c>
      <c r="IC33" s="523"/>
      <c r="ID33" s="524">
        <f t="shared" si="77"/>
        <v>0</v>
      </c>
      <c r="IE33" s="525">
        <f t="shared" si="188"/>
        <v>0</v>
      </c>
      <c r="IF33" s="523"/>
      <c r="IG33" s="524">
        <f t="shared" si="78"/>
        <v>0</v>
      </c>
      <c r="IH33" s="525">
        <f t="shared" si="189"/>
        <v>0</v>
      </c>
      <c r="II33" s="523"/>
      <c r="IJ33" s="524">
        <f t="shared" si="79"/>
        <v>0</v>
      </c>
      <c r="IK33" s="525">
        <f t="shared" si="190"/>
        <v>0</v>
      </c>
      <c r="IL33" s="523"/>
      <c r="IM33" s="524">
        <f t="shared" si="80"/>
        <v>0</v>
      </c>
      <c r="IN33" s="525">
        <f t="shared" si="191"/>
        <v>0</v>
      </c>
      <c r="IO33" s="523"/>
      <c r="IP33" s="524">
        <f t="shared" si="81"/>
        <v>0</v>
      </c>
      <c r="IQ33" s="525">
        <f t="shared" si="192"/>
        <v>0</v>
      </c>
      <c r="IR33" s="523"/>
      <c r="IS33" s="524">
        <f t="shared" si="82"/>
        <v>0</v>
      </c>
      <c r="IT33" s="525">
        <f t="shared" si="193"/>
        <v>0</v>
      </c>
      <c r="IU33" s="523"/>
      <c r="IV33" s="524">
        <f t="shared" si="83"/>
        <v>0</v>
      </c>
      <c r="IW33" s="525">
        <f t="shared" si="194"/>
        <v>0</v>
      </c>
      <c r="IX33" s="523"/>
      <c r="IY33" s="524">
        <f t="shared" si="84"/>
        <v>0</v>
      </c>
      <c r="IZ33" s="525">
        <f t="shared" si="195"/>
        <v>0</v>
      </c>
      <c r="JA33" s="523"/>
      <c r="JB33" s="524">
        <f t="shared" si="85"/>
        <v>0</v>
      </c>
      <c r="JC33" s="525">
        <f t="shared" si="196"/>
        <v>0</v>
      </c>
      <c r="JD33" s="523"/>
      <c r="JE33" s="524">
        <f t="shared" si="86"/>
        <v>0</v>
      </c>
      <c r="JF33" s="525">
        <f t="shared" si="197"/>
        <v>0</v>
      </c>
      <c r="JG33" s="523"/>
      <c r="JH33" s="524">
        <f t="shared" si="87"/>
        <v>0</v>
      </c>
      <c r="JI33" s="525">
        <f t="shared" si="198"/>
        <v>0</v>
      </c>
      <c r="JJ33" s="523"/>
      <c r="JK33" s="525" t="str">
        <f t="shared" si="88"/>
        <v>0</v>
      </c>
      <c r="JL33" s="525" t="str">
        <f t="shared" si="89"/>
        <v>0</v>
      </c>
      <c r="JM33" s="523"/>
      <c r="JN33" s="525" t="str">
        <f t="shared" si="90"/>
        <v>0</v>
      </c>
      <c r="JO33" s="525" t="str">
        <f t="shared" si="91"/>
        <v>0</v>
      </c>
      <c r="JP33" s="523"/>
      <c r="JQ33" s="525" t="str">
        <f t="shared" si="92"/>
        <v>0</v>
      </c>
      <c r="JR33" s="525" t="str">
        <f t="shared" si="93"/>
        <v>0</v>
      </c>
      <c r="JS33" s="523"/>
      <c r="JT33" s="525" t="str">
        <f t="shared" si="94"/>
        <v>0</v>
      </c>
      <c r="JU33" s="525" t="str">
        <f t="shared" si="95"/>
        <v>0</v>
      </c>
      <c r="JV33" s="523"/>
      <c r="JW33" s="525" t="str">
        <f t="shared" si="96"/>
        <v>0</v>
      </c>
      <c r="JX33" s="525" t="str">
        <f t="shared" si="97"/>
        <v>0</v>
      </c>
      <c r="JY33" s="523"/>
      <c r="JZ33" s="525" t="str">
        <f t="shared" si="98"/>
        <v>0</v>
      </c>
      <c r="KA33" s="525" t="str">
        <f t="shared" si="99"/>
        <v>0</v>
      </c>
      <c r="KB33" s="523"/>
      <c r="KC33" s="525" t="str">
        <f t="shared" si="100"/>
        <v>0</v>
      </c>
      <c r="KD33" s="525" t="str">
        <f t="shared" si="101"/>
        <v>0</v>
      </c>
      <c r="KE33" s="523"/>
      <c r="KF33" s="525" t="str">
        <f t="shared" si="102"/>
        <v>0</v>
      </c>
      <c r="KG33" s="525" t="str">
        <f t="shared" si="103"/>
        <v>0</v>
      </c>
      <c r="KH33" s="523"/>
      <c r="KI33" s="525" t="str">
        <f t="shared" si="104"/>
        <v>0</v>
      </c>
      <c r="KJ33" s="525" t="str">
        <f t="shared" si="105"/>
        <v>0</v>
      </c>
      <c r="KK33" s="523"/>
      <c r="KL33" s="525" t="str">
        <f t="shared" si="106"/>
        <v>0</v>
      </c>
      <c r="KM33" s="525" t="str">
        <f t="shared" si="107"/>
        <v>0</v>
      </c>
      <c r="KN33" s="523"/>
      <c r="KO33" s="525" t="str">
        <f t="shared" si="108"/>
        <v>0</v>
      </c>
      <c r="KP33" s="525" t="str">
        <f t="shared" si="109"/>
        <v>0</v>
      </c>
      <c r="KQ33" s="523"/>
      <c r="KR33" s="525" t="str">
        <f t="shared" si="110"/>
        <v>0</v>
      </c>
      <c r="KS33" s="525" t="str">
        <f t="shared" si="111"/>
        <v>0</v>
      </c>
      <c r="KT33" s="525">
        <f t="shared" si="201"/>
        <v>0</v>
      </c>
      <c r="KU33" s="525">
        <f t="shared" si="202"/>
        <v>0</v>
      </c>
      <c r="KV33" s="261">
        <f t="shared" si="199"/>
        <v>441.01166336995584</v>
      </c>
    </row>
    <row r="34" spans="1:308" ht="15" customHeight="1">
      <c r="A34" s="262">
        <f t="shared" si="200"/>
        <v>46138</v>
      </c>
      <c r="B34" s="263" t="str">
        <f>+Report1!B34</f>
        <v>Facial/Toilet</v>
      </c>
      <c r="C34" s="263" t="str">
        <f>+Report1!C34</f>
        <v>12/15</v>
      </c>
      <c r="D34" s="264">
        <f>+Report1!P34</f>
        <v>42.364000000000004</v>
      </c>
      <c r="E34" s="556">
        <f>+Report1!R34</f>
        <v>40.670999999999999</v>
      </c>
      <c r="F34" s="523"/>
      <c r="G34" s="524">
        <f t="shared" si="0"/>
        <v>0</v>
      </c>
      <c r="H34" s="525">
        <f t="shared" si="112"/>
        <v>0</v>
      </c>
      <c r="I34" s="523">
        <v>69.767441860465169</v>
      </c>
      <c r="J34" s="524">
        <f t="shared" si="1"/>
        <v>1.7154100430396393</v>
      </c>
      <c r="K34" s="525">
        <f t="shared" si="113"/>
        <v>0</v>
      </c>
      <c r="L34" s="523"/>
      <c r="M34" s="524">
        <f t="shared" si="2"/>
        <v>0</v>
      </c>
      <c r="N34" s="525">
        <f t="shared" si="114"/>
        <v>0</v>
      </c>
      <c r="O34" s="523">
        <v>6.2060000000000031</v>
      </c>
      <c r="P34" s="524">
        <f t="shared" si="3"/>
        <v>0.15259029775515731</v>
      </c>
      <c r="Q34" s="525">
        <f t="shared" si="115"/>
        <v>0</v>
      </c>
      <c r="R34" s="523"/>
      <c r="S34" s="524">
        <f t="shared" si="4"/>
        <v>0</v>
      </c>
      <c r="T34" s="525">
        <f t="shared" si="116"/>
        <v>0</v>
      </c>
      <c r="U34" s="523">
        <v>5.2941999999999894</v>
      </c>
      <c r="V34" s="524">
        <f t="shared" si="5"/>
        <v>0.13017137518133287</v>
      </c>
      <c r="W34" s="525">
        <f t="shared" si="117"/>
        <v>0</v>
      </c>
      <c r="X34" s="523"/>
      <c r="Y34" s="524">
        <f t="shared" si="6"/>
        <v>0</v>
      </c>
      <c r="Z34" s="525">
        <f t="shared" si="118"/>
        <v>0</v>
      </c>
      <c r="AA34" s="523">
        <v>10.937499999999996</v>
      </c>
      <c r="AB34" s="524">
        <f t="shared" si="7"/>
        <v>0.26892626195569314</v>
      </c>
      <c r="AC34" s="525">
        <f t="shared" si="119"/>
        <v>0</v>
      </c>
      <c r="AD34" s="523"/>
      <c r="AE34" s="524">
        <f t="shared" si="8"/>
        <v>0</v>
      </c>
      <c r="AF34" s="525">
        <f t="shared" si="120"/>
        <v>0</v>
      </c>
      <c r="AG34" s="523"/>
      <c r="AH34" s="524">
        <f t="shared" si="9"/>
        <v>0</v>
      </c>
      <c r="AI34" s="525">
        <f t="shared" si="121"/>
        <v>0</v>
      </c>
      <c r="AJ34" s="523"/>
      <c r="AK34" s="524">
        <f t="shared" si="10"/>
        <v>0</v>
      </c>
      <c r="AL34" s="525">
        <f t="shared" si="122"/>
        <v>0</v>
      </c>
      <c r="AM34" s="523"/>
      <c r="AN34" s="524">
        <f t="shared" si="11"/>
        <v>0</v>
      </c>
      <c r="AO34" s="525">
        <f t="shared" si="123"/>
        <v>0</v>
      </c>
      <c r="AP34" s="523"/>
      <c r="AQ34" s="524">
        <f t="shared" si="12"/>
        <v>0</v>
      </c>
      <c r="AR34" s="525">
        <f t="shared" si="124"/>
        <v>0</v>
      </c>
      <c r="AS34" s="523"/>
      <c r="AT34" s="524">
        <f t="shared" si="13"/>
        <v>0</v>
      </c>
      <c r="AU34" s="525">
        <f t="shared" si="125"/>
        <v>0</v>
      </c>
      <c r="AV34" s="523"/>
      <c r="AW34" s="524">
        <f t="shared" si="14"/>
        <v>0</v>
      </c>
      <c r="AX34" s="525">
        <f t="shared" si="126"/>
        <v>0</v>
      </c>
      <c r="AY34" s="523"/>
      <c r="AZ34" s="524">
        <f t="shared" si="15"/>
        <v>0</v>
      </c>
      <c r="BA34" s="525">
        <f t="shared" si="127"/>
        <v>0</v>
      </c>
      <c r="BB34" s="523"/>
      <c r="BC34" s="524">
        <f t="shared" si="16"/>
        <v>0</v>
      </c>
      <c r="BD34" s="525">
        <f t="shared" si="128"/>
        <v>0</v>
      </c>
      <c r="BE34" s="523"/>
      <c r="BF34" s="524">
        <f t="shared" si="17"/>
        <v>0</v>
      </c>
      <c r="BG34" s="525">
        <f t="shared" si="129"/>
        <v>0</v>
      </c>
      <c r="BH34" s="523"/>
      <c r="BI34" s="524">
        <f t="shared" si="18"/>
        <v>0</v>
      </c>
      <c r="BJ34" s="525">
        <f t="shared" si="130"/>
        <v>0</v>
      </c>
      <c r="BK34" s="523"/>
      <c r="BL34" s="524">
        <f t="shared" si="19"/>
        <v>0</v>
      </c>
      <c r="BM34" s="525">
        <f t="shared" si="131"/>
        <v>0</v>
      </c>
      <c r="BN34" s="523"/>
      <c r="BO34" s="524">
        <f t="shared" si="20"/>
        <v>0</v>
      </c>
      <c r="BP34" s="525">
        <f t="shared" si="132"/>
        <v>0</v>
      </c>
      <c r="BQ34" s="523"/>
      <c r="BR34" s="524">
        <f t="shared" si="21"/>
        <v>0</v>
      </c>
      <c r="BS34" s="525">
        <f t="shared" si="133"/>
        <v>0</v>
      </c>
      <c r="BT34" s="523"/>
      <c r="BU34" s="524">
        <f t="shared" si="22"/>
        <v>0</v>
      </c>
      <c r="BV34" s="525">
        <f t="shared" si="134"/>
        <v>0</v>
      </c>
      <c r="BW34" s="523"/>
      <c r="BX34" s="524">
        <f t="shared" si="23"/>
        <v>0</v>
      </c>
      <c r="BY34" s="525">
        <f t="shared" si="135"/>
        <v>0</v>
      </c>
      <c r="BZ34" s="523"/>
      <c r="CA34" s="524">
        <f t="shared" si="24"/>
        <v>0</v>
      </c>
      <c r="CB34" s="525">
        <f t="shared" si="136"/>
        <v>0</v>
      </c>
      <c r="CC34" s="523"/>
      <c r="CD34" s="524">
        <f t="shared" si="25"/>
        <v>0</v>
      </c>
      <c r="CE34" s="525">
        <f t="shared" si="137"/>
        <v>0</v>
      </c>
      <c r="CF34" s="523">
        <v>0.5</v>
      </c>
      <c r="CG34" s="524">
        <f t="shared" si="26"/>
        <v>1.2293771975117405E-2</v>
      </c>
      <c r="CH34" s="525">
        <f t="shared" si="138"/>
        <v>0</v>
      </c>
      <c r="CI34" s="523"/>
      <c r="CJ34" s="524">
        <f t="shared" si="27"/>
        <v>0</v>
      </c>
      <c r="CK34" s="525">
        <f t="shared" si="139"/>
        <v>0</v>
      </c>
      <c r="CL34" s="523"/>
      <c r="CM34" s="524">
        <f t="shared" si="28"/>
        <v>0</v>
      </c>
      <c r="CN34" s="525">
        <f t="shared" si="140"/>
        <v>0</v>
      </c>
      <c r="CO34" s="523"/>
      <c r="CP34" s="524">
        <f t="shared" si="29"/>
        <v>0</v>
      </c>
      <c r="CQ34" s="525">
        <f t="shared" si="141"/>
        <v>0</v>
      </c>
      <c r="CR34" s="523"/>
      <c r="CS34" s="524">
        <f t="shared" si="30"/>
        <v>0</v>
      </c>
      <c r="CT34" s="525">
        <f t="shared" si="142"/>
        <v>0</v>
      </c>
      <c r="CU34" s="523"/>
      <c r="CV34" s="524">
        <f t="shared" si="31"/>
        <v>0</v>
      </c>
      <c r="CW34" s="525">
        <f t="shared" si="143"/>
        <v>0</v>
      </c>
      <c r="CX34" s="523"/>
      <c r="CY34" s="524">
        <f t="shared" si="32"/>
        <v>0</v>
      </c>
      <c r="CZ34" s="525">
        <f t="shared" si="144"/>
        <v>0</v>
      </c>
      <c r="DA34" s="523">
        <v>43.604651162790674</v>
      </c>
      <c r="DB34" s="524">
        <f t="shared" si="33"/>
        <v>1.0721312768997733</v>
      </c>
      <c r="DC34" s="525">
        <f t="shared" si="145"/>
        <v>0</v>
      </c>
      <c r="DD34" s="523"/>
      <c r="DE34" s="524">
        <f t="shared" si="34"/>
        <v>0</v>
      </c>
      <c r="DF34" s="525">
        <f t="shared" si="146"/>
        <v>0</v>
      </c>
      <c r="DG34" s="523"/>
      <c r="DH34" s="524">
        <f t="shared" si="35"/>
        <v>0</v>
      </c>
      <c r="DI34" s="525">
        <f t="shared" si="203"/>
        <v>0</v>
      </c>
      <c r="DJ34" s="523"/>
      <c r="DK34" s="524">
        <f t="shared" si="36"/>
        <v>0</v>
      </c>
      <c r="DL34" s="525">
        <f t="shared" si="147"/>
        <v>0</v>
      </c>
      <c r="DM34" s="523"/>
      <c r="DN34" s="524">
        <f t="shared" si="37"/>
        <v>0</v>
      </c>
      <c r="DO34" s="525">
        <f t="shared" si="148"/>
        <v>0</v>
      </c>
      <c r="DP34" s="523"/>
      <c r="DQ34" s="524">
        <f t="shared" si="38"/>
        <v>0</v>
      </c>
      <c r="DR34" s="525">
        <f t="shared" si="149"/>
        <v>0</v>
      </c>
      <c r="DS34" s="523"/>
      <c r="DT34" s="524">
        <f t="shared" si="39"/>
        <v>0</v>
      </c>
      <c r="DU34" s="525">
        <f t="shared" si="150"/>
        <v>0</v>
      </c>
      <c r="DV34" s="523"/>
      <c r="DW34" s="524">
        <f t="shared" si="40"/>
        <v>0</v>
      </c>
      <c r="DX34" s="525">
        <f t="shared" si="151"/>
        <v>0</v>
      </c>
      <c r="DY34" s="523"/>
      <c r="DZ34" s="524">
        <f t="shared" si="41"/>
        <v>0</v>
      </c>
      <c r="EA34" s="525">
        <f t="shared" si="152"/>
        <v>0</v>
      </c>
      <c r="EB34" s="523"/>
      <c r="EC34" s="524">
        <f t="shared" si="42"/>
        <v>0</v>
      </c>
      <c r="ED34" s="525">
        <f t="shared" si="153"/>
        <v>0</v>
      </c>
      <c r="EE34" s="523">
        <v>10.901162790697697</v>
      </c>
      <c r="EF34" s="524">
        <f t="shared" si="43"/>
        <v>0.26803281922494399</v>
      </c>
      <c r="EG34" s="525">
        <f t="shared" si="154"/>
        <v>0</v>
      </c>
      <c r="EH34" s="523">
        <v>72.779999999999973</v>
      </c>
      <c r="EI34" s="524">
        <f t="shared" si="44"/>
        <v>1.789481448698089</v>
      </c>
      <c r="EJ34" s="525">
        <f t="shared" si="155"/>
        <v>0</v>
      </c>
      <c r="EK34" s="523">
        <v>4.5</v>
      </c>
      <c r="EL34" s="524">
        <f t="shared" si="45"/>
        <v>0.11064394777605666</v>
      </c>
      <c r="EM34" s="525">
        <f t="shared" si="156"/>
        <v>0</v>
      </c>
      <c r="EN34" s="523">
        <v>31.602900000000034</v>
      </c>
      <c r="EO34" s="524">
        <f t="shared" si="46"/>
        <v>0.77703769270487655</v>
      </c>
      <c r="EP34" s="525">
        <f t="shared" si="157"/>
        <v>0</v>
      </c>
      <c r="EQ34" s="523">
        <v>56.15949999999998</v>
      </c>
      <c r="ER34" s="524">
        <f t="shared" si="47"/>
        <v>1.3808241744732115</v>
      </c>
      <c r="ES34" s="525">
        <f t="shared" si="158"/>
        <v>0</v>
      </c>
      <c r="ET34" s="523"/>
      <c r="EU34" s="524">
        <f t="shared" si="48"/>
        <v>0</v>
      </c>
      <c r="EV34" s="525">
        <f t="shared" si="159"/>
        <v>0</v>
      </c>
      <c r="EW34" s="523"/>
      <c r="EX34" s="524">
        <f t="shared" si="49"/>
        <v>0</v>
      </c>
      <c r="EY34" s="525">
        <f t="shared" si="160"/>
        <v>0</v>
      </c>
      <c r="EZ34" s="523"/>
      <c r="FA34" s="524">
        <f t="shared" si="50"/>
        <v>0</v>
      </c>
      <c r="FB34" s="525">
        <f t="shared" si="161"/>
        <v>0</v>
      </c>
      <c r="FC34" s="523"/>
      <c r="FD34" s="524">
        <f t="shared" si="51"/>
        <v>0</v>
      </c>
      <c r="FE34" s="525">
        <f t="shared" si="162"/>
        <v>0</v>
      </c>
      <c r="FF34" s="523"/>
      <c r="FG34" s="524">
        <f t="shared" si="52"/>
        <v>0</v>
      </c>
      <c r="FH34" s="525">
        <f t="shared" si="163"/>
        <v>0</v>
      </c>
      <c r="FI34" s="523"/>
      <c r="FJ34" s="524">
        <f t="shared" si="53"/>
        <v>0</v>
      </c>
      <c r="FK34" s="525">
        <f t="shared" si="164"/>
        <v>0</v>
      </c>
      <c r="FL34" s="523"/>
      <c r="FM34" s="524">
        <f t="shared" si="54"/>
        <v>0</v>
      </c>
      <c r="FN34" s="525">
        <f t="shared" si="165"/>
        <v>0</v>
      </c>
      <c r="FO34" s="523"/>
      <c r="FP34" s="524">
        <f t="shared" si="55"/>
        <v>0</v>
      </c>
      <c r="FQ34" s="525">
        <f t="shared" si="166"/>
        <v>0</v>
      </c>
      <c r="FR34" s="523"/>
      <c r="FS34" s="524">
        <f t="shared" si="56"/>
        <v>0</v>
      </c>
      <c r="FT34" s="525">
        <f t="shared" si="167"/>
        <v>0</v>
      </c>
      <c r="FU34" s="523"/>
      <c r="FV34" s="524">
        <f t="shared" si="57"/>
        <v>0</v>
      </c>
      <c r="FW34" s="525">
        <f t="shared" si="168"/>
        <v>0</v>
      </c>
      <c r="FX34" s="523"/>
      <c r="FY34" s="524">
        <f t="shared" si="58"/>
        <v>0</v>
      </c>
      <c r="FZ34" s="525">
        <f t="shared" si="169"/>
        <v>0</v>
      </c>
      <c r="GA34" s="523"/>
      <c r="GB34" s="524">
        <f t="shared" si="59"/>
        <v>0</v>
      </c>
      <c r="GC34" s="525">
        <f t="shared" si="170"/>
        <v>0</v>
      </c>
      <c r="GD34" s="523"/>
      <c r="GE34" s="524">
        <f t="shared" si="60"/>
        <v>0</v>
      </c>
      <c r="GF34" s="525">
        <f t="shared" si="171"/>
        <v>0</v>
      </c>
      <c r="GG34" s="523"/>
      <c r="GH34" s="524">
        <f t="shared" si="61"/>
        <v>0</v>
      </c>
      <c r="GI34" s="525">
        <f t="shared" si="172"/>
        <v>0</v>
      </c>
      <c r="GJ34" s="523"/>
      <c r="GK34" s="524">
        <f t="shared" si="62"/>
        <v>0</v>
      </c>
      <c r="GL34" s="525">
        <f t="shared" si="173"/>
        <v>0</v>
      </c>
      <c r="GM34" s="523"/>
      <c r="GN34" s="524">
        <f t="shared" si="63"/>
        <v>0</v>
      </c>
      <c r="GO34" s="525">
        <f t="shared" si="174"/>
        <v>0</v>
      </c>
      <c r="GP34" s="523"/>
      <c r="GQ34" s="524">
        <f t="shared" si="64"/>
        <v>0</v>
      </c>
      <c r="GR34" s="525">
        <f t="shared" si="175"/>
        <v>0</v>
      </c>
      <c r="GS34" s="523"/>
      <c r="GT34" s="524">
        <f t="shared" si="65"/>
        <v>0</v>
      </c>
      <c r="GU34" s="525">
        <f t="shared" si="176"/>
        <v>0</v>
      </c>
      <c r="GV34" s="523"/>
      <c r="GW34" s="524">
        <f t="shared" si="66"/>
        <v>0</v>
      </c>
      <c r="GX34" s="525">
        <f t="shared" si="177"/>
        <v>0</v>
      </c>
      <c r="GY34" s="523"/>
      <c r="GZ34" s="524">
        <f t="shared" si="67"/>
        <v>0</v>
      </c>
      <c r="HA34" s="525">
        <f t="shared" si="178"/>
        <v>0</v>
      </c>
      <c r="HB34" s="523"/>
      <c r="HC34" s="524">
        <f t="shared" si="68"/>
        <v>0</v>
      </c>
      <c r="HD34" s="525">
        <f t="shared" si="179"/>
        <v>0</v>
      </c>
      <c r="HE34" s="523"/>
      <c r="HF34" s="524">
        <f t="shared" si="69"/>
        <v>0</v>
      </c>
      <c r="HG34" s="525">
        <f t="shared" si="180"/>
        <v>0</v>
      </c>
      <c r="HH34" s="523"/>
      <c r="HI34" s="524">
        <f t="shared" si="70"/>
        <v>0</v>
      </c>
      <c r="HJ34" s="525">
        <f t="shared" si="181"/>
        <v>0</v>
      </c>
      <c r="HK34" s="523"/>
      <c r="HL34" s="524">
        <f t="shared" si="71"/>
        <v>0</v>
      </c>
      <c r="HM34" s="525">
        <f t="shared" si="182"/>
        <v>0</v>
      </c>
      <c r="HN34" s="523"/>
      <c r="HO34" s="524">
        <f t="shared" si="72"/>
        <v>0</v>
      </c>
      <c r="HP34" s="525">
        <f t="shared" si="183"/>
        <v>0</v>
      </c>
      <c r="HQ34" s="523"/>
      <c r="HR34" s="524">
        <f t="shared" si="73"/>
        <v>0</v>
      </c>
      <c r="HS34" s="525">
        <f t="shared" si="184"/>
        <v>0</v>
      </c>
      <c r="HT34" s="523"/>
      <c r="HU34" s="524">
        <f t="shared" si="74"/>
        <v>0</v>
      </c>
      <c r="HV34" s="525">
        <f t="shared" si="185"/>
        <v>0</v>
      </c>
      <c r="HW34" s="523"/>
      <c r="HX34" s="524">
        <f t="shared" si="75"/>
        <v>0</v>
      </c>
      <c r="HY34" s="525">
        <f t="shared" si="186"/>
        <v>0</v>
      </c>
      <c r="HZ34" s="523"/>
      <c r="IA34" s="524">
        <f t="shared" si="76"/>
        <v>0</v>
      </c>
      <c r="IB34" s="525">
        <f t="shared" si="187"/>
        <v>0</v>
      </c>
      <c r="IC34" s="523"/>
      <c r="ID34" s="524">
        <f t="shared" si="77"/>
        <v>0</v>
      </c>
      <c r="IE34" s="525">
        <f t="shared" si="188"/>
        <v>0</v>
      </c>
      <c r="IF34" s="523"/>
      <c r="IG34" s="524">
        <f t="shared" si="78"/>
        <v>0</v>
      </c>
      <c r="IH34" s="525">
        <f t="shared" si="189"/>
        <v>0</v>
      </c>
      <c r="II34" s="523"/>
      <c r="IJ34" s="524">
        <f t="shared" si="79"/>
        <v>0</v>
      </c>
      <c r="IK34" s="525">
        <f t="shared" si="190"/>
        <v>0</v>
      </c>
      <c r="IL34" s="523"/>
      <c r="IM34" s="524">
        <f t="shared" si="80"/>
        <v>0</v>
      </c>
      <c r="IN34" s="525">
        <f t="shared" si="191"/>
        <v>0</v>
      </c>
      <c r="IO34" s="523"/>
      <c r="IP34" s="524">
        <f t="shared" si="81"/>
        <v>0</v>
      </c>
      <c r="IQ34" s="525">
        <f t="shared" si="192"/>
        <v>0</v>
      </c>
      <c r="IR34" s="523"/>
      <c r="IS34" s="524">
        <f t="shared" si="82"/>
        <v>0</v>
      </c>
      <c r="IT34" s="525">
        <f t="shared" si="193"/>
        <v>0</v>
      </c>
      <c r="IU34" s="523"/>
      <c r="IV34" s="524">
        <f t="shared" si="83"/>
        <v>0</v>
      </c>
      <c r="IW34" s="525">
        <f t="shared" si="194"/>
        <v>0</v>
      </c>
      <c r="IX34" s="523"/>
      <c r="IY34" s="524">
        <f t="shared" si="84"/>
        <v>0</v>
      </c>
      <c r="IZ34" s="525">
        <f t="shared" si="195"/>
        <v>0</v>
      </c>
      <c r="JA34" s="523"/>
      <c r="JB34" s="524">
        <f t="shared" si="85"/>
        <v>0</v>
      </c>
      <c r="JC34" s="525">
        <f t="shared" si="196"/>
        <v>0</v>
      </c>
      <c r="JD34" s="523"/>
      <c r="JE34" s="524">
        <f t="shared" si="86"/>
        <v>0</v>
      </c>
      <c r="JF34" s="525">
        <f t="shared" si="197"/>
        <v>0</v>
      </c>
      <c r="JG34" s="523"/>
      <c r="JH34" s="524">
        <f t="shared" si="87"/>
        <v>0</v>
      </c>
      <c r="JI34" s="525">
        <f t="shared" si="198"/>
        <v>0</v>
      </c>
      <c r="JJ34" s="523"/>
      <c r="JK34" s="525" t="str">
        <f t="shared" si="88"/>
        <v>0</v>
      </c>
      <c r="JL34" s="525" t="str">
        <f t="shared" si="89"/>
        <v>0</v>
      </c>
      <c r="JM34" s="523"/>
      <c r="JN34" s="525" t="str">
        <f t="shared" si="90"/>
        <v>0</v>
      </c>
      <c r="JO34" s="525" t="str">
        <f t="shared" si="91"/>
        <v>0</v>
      </c>
      <c r="JP34" s="523"/>
      <c r="JQ34" s="525" t="str">
        <f t="shared" si="92"/>
        <v>0</v>
      </c>
      <c r="JR34" s="525" t="str">
        <f t="shared" si="93"/>
        <v>0</v>
      </c>
      <c r="JS34" s="523"/>
      <c r="JT34" s="525" t="str">
        <f t="shared" si="94"/>
        <v>0</v>
      </c>
      <c r="JU34" s="525" t="str">
        <f t="shared" si="95"/>
        <v>0</v>
      </c>
      <c r="JV34" s="523"/>
      <c r="JW34" s="525" t="str">
        <f t="shared" si="96"/>
        <v>0</v>
      </c>
      <c r="JX34" s="525" t="str">
        <f t="shared" si="97"/>
        <v>0</v>
      </c>
      <c r="JY34" s="523"/>
      <c r="JZ34" s="525" t="str">
        <f t="shared" si="98"/>
        <v>0</v>
      </c>
      <c r="KA34" s="525" t="str">
        <f t="shared" si="99"/>
        <v>0</v>
      </c>
      <c r="KB34" s="523"/>
      <c r="KC34" s="525" t="str">
        <f t="shared" si="100"/>
        <v>0</v>
      </c>
      <c r="KD34" s="525" t="str">
        <f t="shared" si="101"/>
        <v>0</v>
      </c>
      <c r="KE34" s="523"/>
      <c r="KF34" s="525" t="str">
        <f t="shared" si="102"/>
        <v>0</v>
      </c>
      <c r="KG34" s="525" t="str">
        <f t="shared" si="103"/>
        <v>0</v>
      </c>
      <c r="KH34" s="523"/>
      <c r="KI34" s="525" t="str">
        <f t="shared" si="104"/>
        <v>0</v>
      </c>
      <c r="KJ34" s="525" t="str">
        <f t="shared" si="105"/>
        <v>0</v>
      </c>
      <c r="KK34" s="523"/>
      <c r="KL34" s="525" t="str">
        <f t="shared" si="106"/>
        <v>0</v>
      </c>
      <c r="KM34" s="525" t="str">
        <f t="shared" si="107"/>
        <v>0</v>
      </c>
      <c r="KN34" s="523"/>
      <c r="KO34" s="525" t="str">
        <f t="shared" si="108"/>
        <v>0</v>
      </c>
      <c r="KP34" s="525" t="str">
        <f t="shared" si="109"/>
        <v>0</v>
      </c>
      <c r="KQ34" s="523"/>
      <c r="KR34" s="525" t="str">
        <f t="shared" si="110"/>
        <v>0</v>
      </c>
      <c r="KS34" s="525" t="str">
        <f t="shared" si="111"/>
        <v>0</v>
      </c>
      <c r="KT34" s="525">
        <f t="shared" si="201"/>
        <v>0</v>
      </c>
      <c r="KU34" s="525">
        <f t="shared" si="202"/>
        <v>0</v>
      </c>
      <c r="KV34" s="261">
        <f t="shared" si="199"/>
        <v>312.25335581395353</v>
      </c>
    </row>
    <row r="35" spans="1:308" ht="15" customHeight="1">
      <c r="A35" s="262">
        <f t="shared" si="200"/>
        <v>46139</v>
      </c>
      <c r="B35" s="263" t="str">
        <f>+Report1!B35</f>
        <v>Toilet</v>
      </c>
      <c r="C35" s="263" t="str">
        <f>+Report1!C35</f>
        <v>15/13,5/13</v>
      </c>
      <c r="D35" s="264">
        <f>+Report1!P35</f>
        <v>42.835999999999999</v>
      </c>
      <c r="E35" s="556">
        <f>+Report1!R35</f>
        <v>40.524000000000001</v>
      </c>
      <c r="F35" s="523"/>
      <c r="G35" s="524">
        <f t="shared" si="0"/>
        <v>0</v>
      </c>
      <c r="H35" s="525">
        <f t="shared" si="112"/>
        <v>0</v>
      </c>
      <c r="I35" s="523"/>
      <c r="J35" s="524">
        <f t="shared" si="1"/>
        <v>0</v>
      </c>
      <c r="K35" s="525">
        <f t="shared" si="113"/>
        <v>0</v>
      </c>
      <c r="L35" s="523"/>
      <c r="M35" s="524">
        <f t="shared" si="2"/>
        <v>0</v>
      </c>
      <c r="N35" s="525">
        <f t="shared" si="114"/>
        <v>0</v>
      </c>
      <c r="O35" s="523">
        <v>5.9952000000000041</v>
      </c>
      <c r="P35" s="524">
        <f t="shared" si="3"/>
        <v>0.14794196031981058</v>
      </c>
      <c r="Q35" s="525">
        <f t="shared" si="115"/>
        <v>0</v>
      </c>
      <c r="R35" s="523"/>
      <c r="S35" s="524">
        <f t="shared" si="4"/>
        <v>0</v>
      </c>
      <c r="T35" s="525">
        <f t="shared" si="116"/>
        <v>0</v>
      </c>
      <c r="U35" s="523">
        <v>5.1247000000000043</v>
      </c>
      <c r="V35" s="524">
        <f t="shared" si="5"/>
        <v>0.12646086269864781</v>
      </c>
      <c r="W35" s="525">
        <f t="shared" si="117"/>
        <v>0</v>
      </c>
      <c r="X35" s="523"/>
      <c r="Y35" s="524">
        <f t="shared" si="6"/>
        <v>0</v>
      </c>
      <c r="Z35" s="525">
        <f t="shared" si="118"/>
        <v>0</v>
      </c>
      <c r="AA35" s="523">
        <v>9.375</v>
      </c>
      <c r="AB35" s="524">
        <f t="shared" si="7"/>
        <v>0.23134438851051228</v>
      </c>
      <c r="AC35" s="525">
        <f t="shared" si="119"/>
        <v>0</v>
      </c>
      <c r="AD35" s="523"/>
      <c r="AE35" s="524">
        <f t="shared" si="8"/>
        <v>0</v>
      </c>
      <c r="AF35" s="525">
        <f t="shared" si="120"/>
        <v>0</v>
      </c>
      <c r="AG35" s="523"/>
      <c r="AH35" s="524">
        <f t="shared" si="9"/>
        <v>0</v>
      </c>
      <c r="AI35" s="525">
        <f t="shared" si="121"/>
        <v>0</v>
      </c>
      <c r="AJ35" s="523"/>
      <c r="AK35" s="524">
        <f t="shared" si="10"/>
        <v>0</v>
      </c>
      <c r="AL35" s="525">
        <f t="shared" si="122"/>
        <v>0</v>
      </c>
      <c r="AM35" s="523"/>
      <c r="AN35" s="524">
        <f t="shared" si="11"/>
        <v>0</v>
      </c>
      <c r="AO35" s="525">
        <f t="shared" si="123"/>
        <v>0</v>
      </c>
      <c r="AP35" s="523"/>
      <c r="AQ35" s="524">
        <f t="shared" si="12"/>
        <v>0</v>
      </c>
      <c r="AR35" s="525">
        <f t="shared" si="124"/>
        <v>0</v>
      </c>
      <c r="AS35" s="523"/>
      <c r="AT35" s="524">
        <f t="shared" si="13"/>
        <v>0</v>
      </c>
      <c r="AU35" s="525">
        <f t="shared" si="125"/>
        <v>0</v>
      </c>
      <c r="AV35" s="523"/>
      <c r="AW35" s="524">
        <f t="shared" si="14"/>
        <v>0</v>
      </c>
      <c r="AX35" s="525">
        <f t="shared" si="126"/>
        <v>0</v>
      </c>
      <c r="AY35" s="523"/>
      <c r="AZ35" s="524">
        <f t="shared" si="15"/>
        <v>0</v>
      </c>
      <c r="BA35" s="525">
        <f t="shared" si="127"/>
        <v>0</v>
      </c>
      <c r="BB35" s="523"/>
      <c r="BC35" s="524">
        <f t="shared" si="16"/>
        <v>0</v>
      </c>
      <c r="BD35" s="525">
        <f t="shared" si="128"/>
        <v>0</v>
      </c>
      <c r="BE35" s="523"/>
      <c r="BF35" s="524">
        <f t="shared" si="17"/>
        <v>0</v>
      </c>
      <c r="BG35" s="525">
        <f t="shared" si="129"/>
        <v>0</v>
      </c>
      <c r="BH35" s="523"/>
      <c r="BI35" s="524">
        <f t="shared" si="18"/>
        <v>0</v>
      </c>
      <c r="BJ35" s="525">
        <f t="shared" si="130"/>
        <v>0</v>
      </c>
      <c r="BK35" s="523"/>
      <c r="BL35" s="524">
        <f t="shared" si="19"/>
        <v>0</v>
      </c>
      <c r="BM35" s="525">
        <f t="shared" si="131"/>
        <v>0</v>
      </c>
      <c r="BN35" s="523"/>
      <c r="BO35" s="524">
        <f t="shared" si="20"/>
        <v>0</v>
      </c>
      <c r="BP35" s="525">
        <f t="shared" si="132"/>
        <v>0</v>
      </c>
      <c r="BQ35" s="523"/>
      <c r="BR35" s="524">
        <f t="shared" si="21"/>
        <v>0</v>
      </c>
      <c r="BS35" s="525">
        <f t="shared" si="133"/>
        <v>0</v>
      </c>
      <c r="BT35" s="523"/>
      <c r="BU35" s="524">
        <f t="shared" si="22"/>
        <v>0</v>
      </c>
      <c r="BV35" s="525">
        <f t="shared" si="134"/>
        <v>0</v>
      </c>
      <c r="BW35" s="523"/>
      <c r="BX35" s="524">
        <f t="shared" si="23"/>
        <v>0</v>
      </c>
      <c r="BY35" s="525">
        <f t="shared" si="135"/>
        <v>0</v>
      </c>
      <c r="BZ35" s="523"/>
      <c r="CA35" s="524">
        <f t="shared" si="24"/>
        <v>0</v>
      </c>
      <c r="CB35" s="525">
        <f t="shared" si="136"/>
        <v>0</v>
      </c>
      <c r="CC35" s="523"/>
      <c r="CD35" s="524">
        <f t="shared" si="25"/>
        <v>0</v>
      </c>
      <c r="CE35" s="525">
        <f t="shared" si="137"/>
        <v>0</v>
      </c>
      <c r="CF35" s="523">
        <v>1</v>
      </c>
      <c r="CG35" s="524">
        <f t="shared" si="26"/>
        <v>2.4676734774454645E-2</v>
      </c>
      <c r="CH35" s="525">
        <f t="shared" si="138"/>
        <v>0</v>
      </c>
      <c r="CI35" s="523"/>
      <c r="CJ35" s="524">
        <f t="shared" si="27"/>
        <v>0</v>
      </c>
      <c r="CK35" s="525">
        <f t="shared" si="139"/>
        <v>0</v>
      </c>
      <c r="CL35" s="523"/>
      <c r="CM35" s="524">
        <f t="shared" si="28"/>
        <v>0</v>
      </c>
      <c r="CN35" s="525">
        <f t="shared" si="140"/>
        <v>0</v>
      </c>
      <c r="CO35" s="523"/>
      <c r="CP35" s="524">
        <f t="shared" si="29"/>
        <v>0</v>
      </c>
      <c r="CQ35" s="525">
        <f t="shared" si="141"/>
        <v>0</v>
      </c>
      <c r="CR35" s="523"/>
      <c r="CS35" s="524">
        <f t="shared" si="30"/>
        <v>0</v>
      </c>
      <c r="CT35" s="525">
        <f t="shared" si="142"/>
        <v>0</v>
      </c>
      <c r="CU35" s="523"/>
      <c r="CV35" s="524">
        <f t="shared" si="31"/>
        <v>0</v>
      </c>
      <c r="CW35" s="525">
        <f t="shared" si="143"/>
        <v>0</v>
      </c>
      <c r="CX35" s="523"/>
      <c r="CY35" s="524">
        <f t="shared" si="32"/>
        <v>0</v>
      </c>
      <c r="CZ35" s="525">
        <f t="shared" si="144"/>
        <v>0</v>
      </c>
      <c r="DA35" s="523">
        <v>43.604651162790731</v>
      </c>
      <c r="DB35" s="524">
        <f t="shared" si="33"/>
        <v>1.0760204116768022</v>
      </c>
      <c r="DC35" s="525">
        <f t="shared" si="145"/>
        <v>0</v>
      </c>
      <c r="DD35" s="523"/>
      <c r="DE35" s="524">
        <f t="shared" si="34"/>
        <v>0</v>
      </c>
      <c r="DF35" s="525">
        <f t="shared" si="146"/>
        <v>0</v>
      </c>
      <c r="DG35" s="523"/>
      <c r="DH35" s="524">
        <f t="shared" si="35"/>
        <v>0</v>
      </c>
      <c r="DI35" s="525">
        <f t="shared" si="203"/>
        <v>0</v>
      </c>
      <c r="DJ35" s="523"/>
      <c r="DK35" s="524">
        <f t="shared" si="36"/>
        <v>0</v>
      </c>
      <c r="DL35" s="525">
        <f t="shared" si="147"/>
        <v>0</v>
      </c>
      <c r="DM35" s="523"/>
      <c r="DN35" s="524">
        <f t="shared" si="37"/>
        <v>0</v>
      </c>
      <c r="DO35" s="525">
        <f t="shared" si="148"/>
        <v>0</v>
      </c>
      <c r="DP35" s="523"/>
      <c r="DQ35" s="524">
        <f t="shared" si="38"/>
        <v>0</v>
      </c>
      <c r="DR35" s="525">
        <f t="shared" si="149"/>
        <v>0</v>
      </c>
      <c r="DS35" s="523"/>
      <c r="DT35" s="524">
        <f t="shared" si="39"/>
        <v>0</v>
      </c>
      <c r="DU35" s="525">
        <f t="shared" si="150"/>
        <v>0</v>
      </c>
      <c r="DV35" s="523"/>
      <c r="DW35" s="524">
        <f t="shared" si="40"/>
        <v>0</v>
      </c>
      <c r="DX35" s="525">
        <f t="shared" si="151"/>
        <v>0</v>
      </c>
      <c r="DY35" s="523"/>
      <c r="DZ35" s="524">
        <f t="shared" si="41"/>
        <v>0</v>
      </c>
      <c r="EA35" s="525">
        <f t="shared" si="152"/>
        <v>0</v>
      </c>
      <c r="EB35" s="523"/>
      <c r="EC35" s="524">
        <f t="shared" si="42"/>
        <v>0</v>
      </c>
      <c r="ED35" s="525">
        <f t="shared" si="153"/>
        <v>0</v>
      </c>
      <c r="EE35" s="523">
        <v>7.2674418604650555</v>
      </c>
      <c r="EF35" s="524">
        <f t="shared" si="43"/>
        <v>0.17933673527946539</v>
      </c>
      <c r="EG35" s="525">
        <f t="shared" si="154"/>
        <v>0</v>
      </c>
      <c r="EH35" s="523">
        <v>58.706470588235334</v>
      </c>
      <c r="EI35" s="524">
        <f t="shared" si="44"/>
        <v>1.4486840042502056</v>
      </c>
      <c r="EJ35" s="525">
        <f t="shared" si="155"/>
        <v>0</v>
      </c>
      <c r="EK35" s="523">
        <v>4</v>
      </c>
      <c r="EL35" s="524">
        <f t="shared" si="45"/>
        <v>9.870693909781858E-2</v>
      </c>
      <c r="EM35" s="525">
        <f t="shared" si="156"/>
        <v>0</v>
      </c>
      <c r="EN35" s="523">
        <v>42.682128414634235</v>
      </c>
      <c r="EO35" s="524">
        <f t="shared" si="46"/>
        <v>1.0532555624971434</v>
      </c>
      <c r="EP35" s="525">
        <f t="shared" si="157"/>
        <v>0</v>
      </c>
      <c r="EQ35" s="523">
        <v>49.419593023255857</v>
      </c>
      <c r="ER35" s="524">
        <f t="shared" si="47"/>
        <v>1.2195141896963739</v>
      </c>
      <c r="ES35" s="525">
        <f t="shared" si="158"/>
        <v>0</v>
      </c>
      <c r="ET35" s="523"/>
      <c r="EU35" s="524">
        <f t="shared" si="48"/>
        <v>0</v>
      </c>
      <c r="EV35" s="525">
        <f t="shared" si="159"/>
        <v>0</v>
      </c>
      <c r="EW35" s="523"/>
      <c r="EX35" s="524">
        <f t="shared" si="49"/>
        <v>0</v>
      </c>
      <c r="EY35" s="525">
        <f t="shared" si="160"/>
        <v>0</v>
      </c>
      <c r="EZ35" s="523"/>
      <c r="FA35" s="524">
        <f t="shared" si="50"/>
        <v>0</v>
      </c>
      <c r="FB35" s="525">
        <f t="shared" si="161"/>
        <v>0</v>
      </c>
      <c r="FC35" s="523"/>
      <c r="FD35" s="524">
        <f t="shared" si="51"/>
        <v>0</v>
      </c>
      <c r="FE35" s="525">
        <f t="shared" si="162"/>
        <v>0</v>
      </c>
      <c r="FF35" s="523"/>
      <c r="FG35" s="524">
        <f t="shared" si="52"/>
        <v>0</v>
      </c>
      <c r="FH35" s="525">
        <f t="shared" si="163"/>
        <v>0</v>
      </c>
      <c r="FI35" s="523"/>
      <c r="FJ35" s="524">
        <f t="shared" si="53"/>
        <v>0</v>
      </c>
      <c r="FK35" s="525">
        <f t="shared" si="164"/>
        <v>0</v>
      </c>
      <c r="FL35" s="523"/>
      <c r="FM35" s="524">
        <f t="shared" si="54"/>
        <v>0</v>
      </c>
      <c r="FN35" s="525">
        <f t="shared" si="165"/>
        <v>0</v>
      </c>
      <c r="FO35" s="523"/>
      <c r="FP35" s="524">
        <f t="shared" si="55"/>
        <v>0</v>
      </c>
      <c r="FQ35" s="525">
        <f t="shared" si="166"/>
        <v>0</v>
      </c>
      <c r="FR35" s="523"/>
      <c r="FS35" s="524">
        <f t="shared" si="56"/>
        <v>0</v>
      </c>
      <c r="FT35" s="525">
        <f t="shared" si="167"/>
        <v>0</v>
      </c>
      <c r="FU35" s="523"/>
      <c r="FV35" s="524">
        <f t="shared" si="57"/>
        <v>0</v>
      </c>
      <c r="FW35" s="525">
        <f t="shared" si="168"/>
        <v>0</v>
      </c>
      <c r="FX35" s="523"/>
      <c r="FY35" s="524">
        <f t="shared" si="58"/>
        <v>0</v>
      </c>
      <c r="FZ35" s="525">
        <f t="shared" si="169"/>
        <v>0</v>
      </c>
      <c r="GA35" s="523"/>
      <c r="GB35" s="524">
        <f t="shared" si="59"/>
        <v>0</v>
      </c>
      <c r="GC35" s="525">
        <f t="shared" si="170"/>
        <v>0</v>
      </c>
      <c r="GD35" s="523"/>
      <c r="GE35" s="524">
        <f t="shared" si="60"/>
        <v>0</v>
      </c>
      <c r="GF35" s="525">
        <f t="shared" si="171"/>
        <v>0</v>
      </c>
      <c r="GG35" s="523"/>
      <c r="GH35" s="524">
        <f t="shared" si="61"/>
        <v>0</v>
      </c>
      <c r="GI35" s="525">
        <f t="shared" si="172"/>
        <v>0</v>
      </c>
      <c r="GJ35" s="523"/>
      <c r="GK35" s="524">
        <f t="shared" si="62"/>
        <v>0</v>
      </c>
      <c r="GL35" s="525">
        <f t="shared" si="173"/>
        <v>0</v>
      </c>
      <c r="GM35" s="523"/>
      <c r="GN35" s="524">
        <f t="shared" si="63"/>
        <v>0</v>
      </c>
      <c r="GO35" s="525">
        <f t="shared" si="174"/>
        <v>0</v>
      </c>
      <c r="GP35" s="523"/>
      <c r="GQ35" s="524">
        <f t="shared" si="64"/>
        <v>0</v>
      </c>
      <c r="GR35" s="525">
        <f t="shared" si="175"/>
        <v>0</v>
      </c>
      <c r="GS35" s="523"/>
      <c r="GT35" s="524">
        <f t="shared" si="65"/>
        <v>0</v>
      </c>
      <c r="GU35" s="525">
        <f t="shared" si="176"/>
        <v>0</v>
      </c>
      <c r="GV35" s="523"/>
      <c r="GW35" s="524">
        <f t="shared" si="66"/>
        <v>0</v>
      </c>
      <c r="GX35" s="525">
        <f t="shared" si="177"/>
        <v>0</v>
      </c>
      <c r="GY35" s="523"/>
      <c r="GZ35" s="524">
        <f t="shared" si="67"/>
        <v>0</v>
      </c>
      <c r="HA35" s="525">
        <f t="shared" si="178"/>
        <v>0</v>
      </c>
      <c r="HB35" s="523"/>
      <c r="HC35" s="524">
        <f t="shared" si="68"/>
        <v>0</v>
      </c>
      <c r="HD35" s="525">
        <f t="shared" si="179"/>
        <v>0</v>
      </c>
      <c r="HE35" s="523"/>
      <c r="HF35" s="524">
        <f t="shared" si="69"/>
        <v>0</v>
      </c>
      <c r="HG35" s="525">
        <f t="shared" si="180"/>
        <v>0</v>
      </c>
      <c r="HH35" s="523"/>
      <c r="HI35" s="524">
        <f t="shared" si="70"/>
        <v>0</v>
      </c>
      <c r="HJ35" s="525">
        <f t="shared" si="181"/>
        <v>0</v>
      </c>
      <c r="HK35" s="523"/>
      <c r="HL35" s="524">
        <f t="shared" si="71"/>
        <v>0</v>
      </c>
      <c r="HM35" s="525">
        <f t="shared" si="182"/>
        <v>0</v>
      </c>
      <c r="HN35" s="523"/>
      <c r="HO35" s="524">
        <f t="shared" si="72"/>
        <v>0</v>
      </c>
      <c r="HP35" s="525">
        <f t="shared" si="183"/>
        <v>0</v>
      </c>
      <c r="HQ35" s="523"/>
      <c r="HR35" s="524">
        <f t="shared" si="73"/>
        <v>0</v>
      </c>
      <c r="HS35" s="525">
        <f t="shared" si="184"/>
        <v>0</v>
      </c>
      <c r="HT35" s="523"/>
      <c r="HU35" s="524">
        <f t="shared" si="74"/>
        <v>0</v>
      </c>
      <c r="HV35" s="525">
        <f t="shared" si="185"/>
        <v>0</v>
      </c>
      <c r="HW35" s="523"/>
      <c r="HX35" s="524">
        <f t="shared" si="75"/>
        <v>0</v>
      </c>
      <c r="HY35" s="525">
        <f t="shared" si="186"/>
        <v>0</v>
      </c>
      <c r="HZ35" s="523"/>
      <c r="IA35" s="524">
        <f t="shared" si="76"/>
        <v>0</v>
      </c>
      <c r="IB35" s="525">
        <f t="shared" si="187"/>
        <v>0</v>
      </c>
      <c r="IC35" s="523"/>
      <c r="ID35" s="524">
        <f t="shared" si="77"/>
        <v>0</v>
      </c>
      <c r="IE35" s="525">
        <f t="shared" si="188"/>
        <v>0</v>
      </c>
      <c r="IF35" s="523"/>
      <c r="IG35" s="524">
        <f t="shared" si="78"/>
        <v>0</v>
      </c>
      <c r="IH35" s="525">
        <f t="shared" si="189"/>
        <v>0</v>
      </c>
      <c r="II35" s="523"/>
      <c r="IJ35" s="524">
        <f t="shared" si="79"/>
        <v>0</v>
      </c>
      <c r="IK35" s="525">
        <f t="shared" si="190"/>
        <v>0</v>
      </c>
      <c r="IL35" s="523"/>
      <c r="IM35" s="524">
        <f t="shared" si="80"/>
        <v>0</v>
      </c>
      <c r="IN35" s="525">
        <f t="shared" si="191"/>
        <v>0</v>
      </c>
      <c r="IO35" s="523"/>
      <c r="IP35" s="524">
        <f t="shared" si="81"/>
        <v>0</v>
      </c>
      <c r="IQ35" s="525">
        <f t="shared" si="192"/>
        <v>0</v>
      </c>
      <c r="IR35" s="523"/>
      <c r="IS35" s="524">
        <f t="shared" si="82"/>
        <v>0</v>
      </c>
      <c r="IT35" s="525">
        <f t="shared" si="193"/>
        <v>0</v>
      </c>
      <c r="IU35" s="523"/>
      <c r="IV35" s="524">
        <f t="shared" si="83"/>
        <v>0</v>
      </c>
      <c r="IW35" s="525">
        <f t="shared" si="194"/>
        <v>0</v>
      </c>
      <c r="IX35" s="523"/>
      <c r="IY35" s="524">
        <f t="shared" si="84"/>
        <v>0</v>
      </c>
      <c r="IZ35" s="525">
        <f t="shared" si="195"/>
        <v>0</v>
      </c>
      <c r="JA35" s="523"/>
      <c r="JB35" s="524">
        <f t="shared" si="85"/>
        <v>0</v>
      </c>
      <c r="JC35" s="525">
        <f t="shared" si="196"/>
        <v>0</v>
      </c>
      <c r="JD35" s="523"/>
      <c r="JE35" s="524">
        <f t="shared" si="86"/>
        <v>0</v>
      </c>
      <c r="JF35" s="525">
        <f t="shared" si="197"/>
        <v>0</v>
      </c>
      <c r="JG35" s="523"/>
      <c r="JH35" s="524">
        <f t="shared" si="87"/>
        <v>0</v>
      </c>
      <c r="JI35" s="525">
        <f t="shared" si="198"/>
        <v>0</v>
      </c>
      <c r="JJ35" s="523"/>
      <c r="JK35" s="525" t="str">
        <f t="shared" si="88"/>
        <v>0</v>
      </c>
      <c r="JL35" s="525" t="str">
        <f t="shared" si="89"/>
        <v>0</v>
      </c>
      <c r="JM35" s="523"/>
      <c r="JN35" s="525" t="str">
        <f t="shared" si="90"/>
        <v>0</v>
      </c>
      <c r="JO35" s="525" t="str">
        <f t="shared" si="91"/>
        <v>0</v>
      </c>
      <c r="JP35" s="523"/>
      <c r="JQ35" s="525" t="str">
        <f t="shared" si="92"/>
        <v>0</v>
      </c>
      <c r="JR35" s="525" t="str">
        <f t="shared" si="93"/>
        <v>0</v>
      </c>
      <c r="JS35" s="523"/>
      <c r="JT35" s="525" t="str">
        <f t="shared" si="94"/>
        <v>0</v>
      </c>
      <c r="JU35" s="525" t="str">
        <f t="shared" si="95"/>
        <v>0</v>
      </c>
      <c r="JV35" s="523"/>
      <c r="JW35" s="525" t="str">
        <f t="shared" si="96"/>
        <v>0</v>
      </c>
      <c r="JX35" s="525" t="str">
        <f t="shared" si="97"/>
        <v>0</v>
      </c>
      <c r="JY35" s="523"/>
      <c r="JZ35" s="525" t="str">
        <f t="shared" si="98"/>
        <v>0</v>
      </c>
      <c r="KA35" s="525" t="str">
        <f t="shared" si="99"/>
        <v>0</v>
      </c>
      <c r="KB35" s="523"/>
      <c r="KC35" s="525" t="str">
        <f t="shared" si="100"/>
        <v>0</v>
      </c>
      <c r="KD35" s="525" t="str">
        <f t="shared" si="101"/>
        <v>0</v>
      </c>
      <c r="KE35" s="523"/>
      <c r="KF35" s="525" t="str">
        <f t="shared" si="102"/>
        <v>0</v>
      </c>
      <c r="KG35" s="525" t="str">
        <f t="shared" si="103"/>
        <v>0</v>
      </c>
      <c r="KH35" s="523"/>
      <c r="KI35" s="525" t="str">
        <f t="shared" si="104"/>
        <v>0</v>
      </c>
      <c r="KJ35" s="525" t="str">
        <f t="shared" si="105"/>
        <v>0</v>
      </c>
      <c r="KK35" s="523"/>
      <c r="KL35" s="525" t="str">
        <f t="shared" si="106"/>
        <v>0</v>
      </c>
      <c r="KM35" s="525" t="str">
        <f t="shared" si="107"/>
        <v>0</v>
      </c>
      <c r="KN35" s="523"/>
      <c r="KO35" s="525" t="str">
        <f t="shared" si="108"/>
        <v>0</v>
      </c>
      <c r="KP35" s="525" t="str">
        <f t="shared" si="109"/>
        <v>0</v>
      </c>
      <c r="KQ35" s="523"/>
      <c r="KR35" s="525" t="str">
        <f t="shared" si="110"/>
        <v>0</v>
      </c>
      <c r="KS35" s="525" t="str">
        <f t="shared" si="111"/>
        <v>0</v>
      </c>
      <c r="KT35" s="525">
        <f t="shared" si="201"/>
        <v>0</v>
      </c>
      <c r="KU35" s="525">
        <f t="shared" si="202"/>
        <v>0</v>
      </c>
      <c r="KV35" s="261">
        <f t="shared" si="199"/>
        <v>227.17518504938121</v>
      </c>
    </row>
    <row r="36" spans="1:308" ht="15" customHeight="1">
      <c r="A36" s="262">
        <f t="shared" si="200"/>
        <v>46140</v>
      </c>
      <c r="B36" s="263" t="str">
        <f>+Report1!B36</f>
        <v>Toilet</v>
      </c>
      <c r="C36" s="263" t="str">
        <f>+Report1!C36</f>
        <v>13/12,5</v>
      </c>
      <c r="D36" s="264">
        <f>+Report1!P36</f>
        <v>41.369</v>
      </c>
      <c r="E36" s="556">
        <f>+Report1!R36</f>
        <v>40.814</v>
      </c>
      <c r="F36" s="523"/>
      <c r="G36" s="524">
        <f t="shared" si="0"/>
        <v>0</v>
      </c>
      <c r="H36" s="525">
        <f t="shared" si="112"/>
        <v>0</v>
      </c>
      <c r="I36" s="523"/>
      <c r="J36" s="524">
        <f t="shared" si="1"/>
        <v>0</v>
      </c>
      <c r="K36" s="525">
        <f t="shared" si="113"/>
        <v>0</v>
      </c>
      <c r="L36" s="523"/>
      <c r="M36" s="524">
        <f t="shared" si="2"/>
        <v>0</v>
      </c>
      <c r="N36" s="525">
        <f t="shared" si="114"/>
        <v>0</v>
      </c>
      <c r="O36" s="523">
        <v>5.9999999999999929</v>
      </c>
      <c r="P36" s="524">
        <f t="shared" si="3"/>
        <v>0.14700837947763004</v>
      </c>
      <c r="Q36" s="525">
        <f t="shared" si="115"/>
        <v>0</v>
      </c>
      <c r="R36" s="523"/>
      <c r="S36" s="524">
        <f t="shared" si="4"/>
        <v>0</v>
      </c>
      <c r="T36" s="525">
        <f t="shared" si="116"/>
        <v>0</v>
      </c>
      <c r="U36" s="523">
        <v>5.125</v>
      </c>
      <c r="V36" s="524">
        <f t="shared" si="5"/>
        <v>0.12556965747047583</v>
      </c>
      <c r="W36" s="525">
        <f t="shared" si="117"/>
        <v>0</v>
      </c>
      <c r="X36" s="523"/>
      <c r="Y36" s="524">
        <f t="shared" si="6"/>
        <v>0</v>
      </c>
      <c r="Z36" s="525">
        <f t="shared" si="118"/>
        <v>0</v>
      </c>
      <c r="AA36" s="523">
        <v>6.2499999999999929</v>
      </c>
      <c r="AB36" s="524">
        <f t="shared" si="7"/>
        <v>0.1531337286225313</v>
      </c>
      <c r="AC36" s="525">
        <f t="shared" si="119"/>
        <v>0</v>
      </c>
      <c r="AD36" s="523"/>
      <c r="AE36" s="524">
        <f t="shared" si="8"/>
        <v>0</v>
      </c>
      <c r="AF36" s="525">
        <f t="shared" si="120"/>
        <v>0</v>
      </c>
      <c r="AG36" s="523"/>
      <c r="AH36" s="524">
        <f t="shared" si="9"/>
        <v>0</v>
      </c>
      <c r="AI36" s="525">
        <f t="shared" si="121"/>
        <v>0</v>
      </c>
      <c r="AJ36" s="523"/>
      <c r="AK36" s="524">
        <f t="shared" si="10"/>
        <v>0</v>
      </c>
      <c r="AL36" s="525">
        <f t="shared" si="122"/>
        <v>0</v>
      </c>
      <c r="AM36" s="523"/>
      <c r="AN36" s="524">
        <f t="shared" si="11"/>
        <v>0</v>
      </c>
      <c r="AO36" s="525">
        <f t="shared" si="123"/>
        <v>0</v>
      </c>
      <c r="AP36" s="523"/>
      <c r="AQ36" s="524">
        <f t="shared" si="12"/>
        <v>0</v>
      </c>
      <c r="AR36" s="525">
        <f t="shared" si="124"/>
        <v>0</v>
      </c>
      <c r="AS36" s="523"/>
      <c r="AT36" s="524">
        <f t="shared" si="13"/>
        <v>0</v>
      </c>
      <c r="AU36" s="525">
        <f t="shared" si="125"/>
        <v>0</v>
      </c>
      <c r="AV36" s="523"/>
      <c r="AW36" s="524">
        <f t="shared" si="14"/>
        <v>0</v>
      </c>
      <c r="AX36" s="525">
        <f t="shared" si="126"/>
        <v>0</v>
      </c>
      <c r="AY36" s="523"/>
      <c r="AZ36" s="524">
        <f t="shared" si="15"/>
        <v>0</v>
      </c>
      <c r="BA36" s="525">
        <f t="shared" si="127"/>
        <v>0</v>
      </c>
      <c r="BB36" s="523"/>
      <c r="BC36" s="524">
        <f t="shared" si="16"/>
        <v>0</v>
      </c>
      <c r="BD36" s="525">
        <f t="shared" si="128"/>
        <v>0</v>
      </c>
      <c r="BE36" s="523"/>
      <c r="BF36" s="524">
        <f t="shared" si="17"/>
        <v>0</v>
      </c>
      <c r="BG36" s="525">
        <f t="shared" si="129"/>
        <v>0</v>
      </c>
      <c r="BH36" s="523"/>
      <c r="BI36" s="524">
        <f t="shared" si="18"/>
        <v>0</v>
      </c>
      <c r="BJ36" s="525">
        <f t="shared" si="130"/>
        <v>0</v>
      </c>
      <c r="BK36" s="523"/>
      <c r="BL36" s="524">
        <f t="shared" si="19"/>
        <v>0</v>
      </c>
      <c r="BM36" s="525">
        <f t="shared" si="131"/>
        <v>0</v>
      </c>
      <c r="BN36" s="523"/>
      <c r="BO36" s="524">
        <f t="shared" si="20"/>
        <v>0</v>
      </c>
      <c r="BP36" s="525">
        <f t="shared" si="132"/>
        <v>0</v>
      </c>
      <c r="BQ36" s="523"/>
      <c r="BR36" s="524">
        <f t="shared" si="21"/>
        <v>0</v>
      </c>
      <c r="BS36" s="525">
        <f t="shared" si="133"/>
        <v>0</v>
      </c>
      <c r="BT36" s="523"/>
      <c r="BU36" s="524">
        <f t="shared" si="22"/>
        <v>0</v>
      </c>
      <c r="BV36" s="525">
        <f t="shared" si="134"/>
        <v>0</v>
      </c>
      <c r="BW36" s="523"/>
      <c r="BX36" s="524">
        <f t="shared" si="23"/>
        <v>0</v>
      </c>
      <c r="BY36" s="525">
        <f t="shared" si="135"/>
        <v>0</v>
      </c>
      <c r="BZ36" s="523"/>
      <c r="CA36" s="524">
        <f t="shared" si="24"/>
        <v>0</v>
      </c>
      <c r="CB36" s="525">
        <f t="shared" si="136"/>
        <v>0</v>
      </c>
      <c r="CC36" s="523"/>
      <c r="CD36" s="524">
        <f t="shared" si="25"/>
        <v>0</v>
      </c>
      <c r="CE36" s="525">
        <f t="shared" si="137"/>
        <v>0</v>
      </c>
      <c r="CF36" s="523">
        <v>1</v>
      </c>
      <c r="CG36" s="524">
        <f t="shared" si="26"/>
        <v>2.4501396579605036E-2</v>
      </c>
      <c r="CH36" s="525">
        <f t="shared" si="138"/>
        <v>0</v>
      </c>
      <c r="CI36" s="523"/>
      <c r="CJ36" s="524">
        <f t="shared" si="27"/>
        <v>0</v>
      </c>
      <c r="CK36" s="525">
        <f t="shared" si="139"/>
        <v>0</v>
      </c>
      <c r="CL36" s="523"/>
      <c r="CM36" s="524">
        <f t="shared" si="28"/>
        <v>0</v>
      </c>
      <c r="CN36" s="525">
        <f t="shared" si="140"/>
        <v>0</v>
      </c>
      <c r="CO36" s="523"/>
      <c r="CP36" s="524">
        <f t="shared" si="29"/>
        <v>0</v>
      </c>
      <c r="CQ36" s="525">
        <f t="shared" si="141"/>
        <v>0</v>
      </c>
      <c r="CR36" s="523"/>
      <c r="CS36" s="524">
        <f t="shared" si="30"/>
        <v>0</v>
      </c>
      <c r="CT36" s="525">
        <f t="shared" si="142"/>
        <v>0</v>
      </c>
      <c r="CU36" s="523"/>
      <c r="CV36" s="524">
        <f t="shared" si="31"/>
        <v>0</v>
      </c>
      <c r="CW36" s="525">
        <f t="shared" si="143"/>
        <v>0</v>
      </c>
      <c r="CX36" s="523"/>
      <c r="CY36" s="524">
        <f t="shared" si="32"/>
        <v>0</v>
      </c>
      <c r="CZ36" s="525">
        <f t="shared" si="144"/>
        <v>0</v>
      </c>
      <c r="DA36" s="523">
        <v>145.34883720930236</v>
      </c>
      <c r="DB36" s="524">
        <f t="shared" si="33"/>
        <v>3.5612495028495701</v>
      </c>
      <c r="DC36" s="525">
        <f t="shared" si="145"/>
        <v>0</v>
      </c>
      <c r="DD36" s="523"/>
      <c r="DE36" s="524">
        <f t="shared" si="34"/>
        <v>0</v>
      </c>
      <c r="DF36" s="525">
        <f t="shared" si="146"/>
        <v>0</v>
      </c>
      <c r="DG36" s="523"/>
      <c r="DH36" s="524">
        <f t="shared" si="35"/>
        <v>0</v>
      </c>
      <c r="DI36" s="525">
        <f t="shared" si="203"/>
        <v>0</v>
      </c>
      <c r="DJ36" s="523"/>
      <c r="DK36" s="524">
        <f t="shared" si="36"/>
        <v>0</v>
      </c>
      <c r="DL36" s="525">
        <f t="shared" si="147"/>
        <v>0</v>
      </c>
      <c r="DM36" s="523"/>
      <c r="DN36" s="524">
        <f t="shared" si="37"/>
        <v>0</v>
      </c>
      <c r="DO36" s="525">
        <f t="shared" si="148"/>
        <v>0</v>
      </c>
      <c r="DP36" s="523"/>
      <c r="DQ36" s="524">
        <f t="shared" si="38"/>
        <v>0</v>
      </c>
      <c r="DR36" s="525">
        <f t="shared" si="149"/>
        <v>0</v>
      </c>
      <c r="DS36" s="523"/>
      <c r="DT36" s="524">
        <f t="shared" si="39"/>
        <v>0</v>
      </c>
      <c r="DU36" s="525">
        <f t="shared" si="150"/>
        <v>0</v>
      </c>
      <c r="DV36" s="523"/>
      <c r="DW36" s="524">
        <f t="shared" si="40"/>
        <v>0</v>
      </c>
      <c r="DX36" s="525">
        <f t="shared" si="151"/>
        <v>0</v>
      </c>
      <c r="DY36" s="523"/>
      <c r="DZ36" s="524">
        <f t="shared" si="41"/>
        <v>0</v>
      </c>
      <c r="EA36" s="525">
        <f t="shared" si="152"/>
        <v>0</v>
      </c>
      <c r="EB36" s="523"/>
      <c r="EC36" s="524">
        <f t="shared" si="42"/>
        <v>0</v>
      </c>
      <c r="ED36" s="525">
        <f t="shared" si="153"/>
        <v>0</v>
      </c>
      <c r="EE36" s="523">
        <v>7.2674418604651692</v>
      </c>
      <c r="EF36" s="524">
        <f t="shared" si="43"/>
        <v>0.17806247514247978</v>
      </c>
      <c r="EG36" s="525">
        <f t="shared" si="154"/>
        <v>0</v>
      </c>
      <c r="EH36" s="523">
        <v>70.447058823529403</v>
      </c>
      <c r="EI36" s="524">
        <f t="shared" si="44"/>
        <v>1.7260513261020582</v>
      </c>
      <c r="EJ36" s="525">
        <f t="shared" si="155"/>
        <v>0</v>
      </c>
      <c r="EK36" s="523">
        <v>3</v>
      </c>
      <c r="EL36" s="524">
        <f t="shared" si="45"/>
        <v>7.3504189738815118E-2</v>
      </c>
      <c r="EM36" s="525">
        <f t="shared" si="156"/>
        <v>0</v>
      </c>
      <c r="EN36" s="523">
        <v>24.390243902439011</v>
      </c>
      <c r="EO36" s="524">
        <f t="shared" si="46"/>
        <v>0.59759503852695184</v>
      </c>
      <c r="EP36" s="525">
        <f t="shared" si="157"/>
        <v>0</v>
      </c>
      <c r="EQ36" s="523">
        <v>29.65116279069764</v>
      </c>
      <c r="ER36" s="524">
        <f t="shared" si="47"/>
        <v>0.72649489858131133</v>
      </c>
      <c r="ES36" s="525">
        <f t="shared" si="158"/>
        <v>0</v>
      </c>
      <c r="ET36" s="523"/>
      <c r="EU36" s="524">
        <f t="shared" si="48"/>
        <v>0</v>
      </c>
      <c r="EV36" s="525">
        <f t="shared" si="159"/>
        <v>0</v>
      </c>
      <c r="EW36" s="523"/>
      <c r="EX36" s="524">
        <f t="shared" si="49"/>
        <v>0</v>
      </c>
      <c r="EY36" s="525">
        <f t="shared" si="160"/>
        <v>0</v>
      </c>
      <c r="EZ36" s="523"/>
      <c r="FA36" s="524">
        <f t="shared" si="50"/>
        <v>0</v>
      </c>
      <c r="FB36" s="525">
        <f t="shared" si="161"/>
        <v>0</v>
      </c>
      <c r="FC36" s="523"/>
      <c r="FD36" s="524">
        <f t="shared" si="51"/>
        <v>0</v>
      </c>
      <c r="FE36" s="525">
        <f t="shared" si="162"/>
        <v>0</v>
      </c>
      <c r="FF36" s="523"/>
      <c r="FG36" s="524">
        <f t="shared" si="52"/>
        <v>0</v>
      </c>
      <c r="FH36" s="525">
        <f t="shared" si="163"/>
        <v>0</v>
      </c>
      <c r="FI36" s="523"/>
      <c r="FJ36" s="524">
        <f t="shared" si="53"/>
        <v>0</v>
      </c>
      <c r="FK36" s="525">
        <f t="shared" si="164"/>
        <v>0</v>
      </c>
      <c r="FL36" s="523"/>
      <c r="FM36" s="524">
        <f t="shared" si="54"/>
        <v>0</v>
      </c>
      <c r="FN36" s="525">
        <f t="shared" si="165"/>
        <v>0</v>
      </c>
      <c r="FO36" s="523"/>
      <c r="FP36" s="524">
        <f t="shared" si="55"/>
        <v>0</v>
      </c>
      <c r="FQ36" s="525">
        <f t="shared" si="166"/>
        <v>0</v>
      </c>
      <c r="FR36" s="523"/>
      <c r="FS36" s="524">
        <f t="shared" si="56"/>
        <v>0</v>
      </c>
      <c r="FT36" s="525">
        <f t="shared" si="167"/>
        <v>0</v>
      </c>
      <c r="FU36" s="523"/>
      <c r="FV36" s="524">
        <f t="shared" si="57"/>
        <v>0</v>
      </c>
      <c r="FW36" s="525">
        <f t="shared" si="168"/>
        <v>0</v>
      </c>
      <c r="FX36" s="523"/>
      <c r="FY36" s="524">
        <f t="shared" si="58"/>
        <v>0</v>
      </c>
      <c r="FZ36" s="525">
        <f t="shared" si="169"/>
        <v>0</v>
      </c>
      <c r="GA36" s="523"/>
      <c r="GB36" s="524">
        <f t="shared" si="59"/>
        <v>0</v>
      </c>
      <c r="GC36" s="525">
        <f t="shared" si="170"/>
        <v>0</v>
      </c>
      <c r="GD36" s="523"/>
      <c r="GE36" s="524">
        <f t="shared" si="60"/>
        <v>0</v>
      </c>
      <c r="GF36" s="525">
        <f t="shared" si="171"/>
        <v>0</v>
      </c>
      <c r="GG36" s="523"/>
      <c r="GH36" s="524">
        <f t="shared" si="61"/>
        <v>0</v>
      </c>
      <c r="GI36" s="525">
        <f t="shared" si="172"/>
        <v>0</v>
      </c>
      <c r="GJ36" s="523"/>
      <c r="GK36" s="524">
        <f t="shared" si="62"/>
        <v>0</v>
      </c>
      <c r="GL36" s="525">
        <f t="shared" si="173"/>
        <v>0</v>
      </c>
      <c r="GM36" s="523"/>
      <c r="GN36" s="524">
        <f t="shared" si="63"/>
        <v>0</v>
      </c>
      <c r="GO36" s="525">
        <f t="shared" si="174"/>
        <v>0</v>
      </c>
      <c r="GP36" s="523"/>
      <c r="GQ36" s="524">
        <f t="shared" si="64"/>
        <v>0</v>
      </c>
      <c r="GR36" s="525">
        <f t="shared" si="175"/>
        <v>0</v>
      </c>
      <c r="GS36" s="523"/>
      <c r="GT36" s="524">
        <f t="shared" si="65"/>
        <v>0</v>
      </c>
      <c r="GU36" s="525">
        <f t="shared" si="176"/>
        <v>0</v>
      </c>
      <c r="GV36" s="523"/>
      <c r="GW36" s="524">
        <f t="shared" si="66"/>
        <v>0</v>
      </c>
      <c r="GX36" s="525">
        <f t="shared" si="177"/>
        <v>0</v>
      </c>
      <c r="GY36" s="523"/>
      <c r="GZ36" s="524">
        <f t="shared" si="67"/>
        <v>0</v>
      </c>
      <c r="HA36" s="525">
        <f t="shared" si="178"/>
        <v>0</v>
      </c>
      <c r="HB36" s="523"/>
      <c r="HC36" s="524">
        <f t="shared" si="68"/>
        <v>0</v>
      </c>
      <c r="HD36" s="525">
        <f t="shared" si="179"/>
        <v>0</v>
      </c>
      <c r="HE36" s="523"/>
      <c r="HF36" s="524">
        <f t="shared" si="69"/>
        <v>0</v>
      </c>
      <c r="HG36" s="525">
        <f t="shared" si="180"/>
        <v>0</v>
      </c>
      <c r="HH36" s="523"/>
      <c r="HI36" s="524">
        <f t="shared" si="70"/>
        <v>0</v>
      </c>
      <c r="HJ36" s="525">
        <f t="shared" si="181"/>
        <v>0</v>
      </c>
      <c r="HK36" s="523"/>
      <c r="HL36" s="524">
        <f t="shared" si="71"/>
        <v>0</v>
      </c>
      <c r="HM36" s="525">
        <f t="shared" si="182"/>
        <v>0</v>
      </c>
      <c r="HN36" s="523"/>
      <c r="HO36" s="524">
        <f t="shared" si="72"/>
        <v>0</v>
      </c>
      <c r="HP36" s="525">
        <f t="shared" si="183"/>
        <v>0</v>
      </c>
      <c r="HQ36" s="523"/>
      <c r="HR36" s="524">
        <f t="shared" si="73"/>
        <v>0</v>
      </c>
      <c r="HS36" s="525">
        <f t="shared" si="184"/>
        <v>0</v>
      </c>
      <c r="HT36" s="523"/>
      <c r="HU36" s="524">
        <f t="shared" si="74"/>
        <v>0</v>
      </c>
      <c r="HV36" s="525">
        <f t="shared" si="185"/>
        <v>0</v>
      </c>
      <c r="HW36" s="523"/>
      <c r="HX36" s="524">
        <f t="shared" si="75"/>
        <v>0</v>
      </c>
      <c r="HY36" s="525">
        <f t="shared" si="186"/>
        <v>0</v>
      </c>
      <c r="HZ36" s="523"/>
      <c r="IA36" s="524">
        <f t="shared" si="76"/>
        <v>0</v>
      </c>
      <c r="IB36" s="525">
        <f t="shared" si="187"/>
        <v>0</v>
      </c>
      <c r="IC36" s="523"/>
      <c r="ID36" s="524">
        <f t="shared" si="77"/>
        <v>0</v>
      </c>
      <c r="IE36" s="525">
        <f t="shared" si="188"/>
        <v>0</v>
      </c>
      <c r="IF36" s="523"/>
      <c r="IG36" s="524">
        <f t="shared" si="78"/>
        <v>0</v>
      </c>
      <c r="IH36" s="525">
        <f t="shared" si="189"/>
        <v>0</v>
      </c>
      <c r="II36" s="523"/>
      <c r="IJ36" s="524">
        <f t="shared" si="79"/>
        <v>0</v>
      </c>
      <c r="IK36" s="525">
        <f t="shared" si="190"/>
        <v>0</v>
      </c>
      <c r="IL36" s="523"/>
      <c r="IM36" s="524">
        <f t="shared" si="80"/>
        <v>0</v>
      </c>
      <c r="IN36" s="525">
        <f t="shared" si="191"/>
        <v>0</v>
      </c>
      <c r="IO36" s="523"/>
      <c r="IP36" s="524">
        <f t="shared" si="81"/>
        <v>0</v>
      </c>
      <c r="IQ36" s="525">
        <f t="shared" si="192"/>
        <v>0</v>
      </c>
      <c r="IR36" s="523"/>
      <c r="IS36" s="524">
        <f t="shared" si="82"/>
        <v>0</v>
      </c>
      <c r="IT36" s="525">
        <f t="shared" si="193"/>
        <v>0</v>
      </c>
      <c r="IU36" s="523"/>
      <c r="IV36" s="524">
        <f t="shared" si="83"/>
        <v>0</v>
      </c>
      <c r="IW36" s="525">
        <f t="shared" si="194"/>
        <v>0</v>
      </c>
      <c r="IX36" s="523"/>
      <c r="IY36" s="524">
        <f t="shared" si="84"/>
        <v>0</v>
      </c>
      <c r="IZ36" s="525">
        <f t="shared" si="195"/>
        <v>0</v>
      </c>
      <c r="JA36" s="523"/>
      <c r="JB36" s="524">
        <f t="shared" si="85"/>
        <v>0</v>
      </c>
      <c r="JC36" s="525">
        <f t="shared" si="196"/>
        <v>0</v>
      </c>
      <c r="JD36" s="523"/>
      <c r="JE36" s="524">
        <f t="shared" si="86"/>
        <v>0</v>
      </c>
      <c r="JF36" s="525">
        <f t="shared" si="197"/>
        <v>0</v>
      </c>
      <c r="JG36" s="523"/>
      <c r="JH36" s="524">
        <f t="shared" si="87"/>
        <v>0</v>
      </c>
      <c r="JI36" s="525">
        <f t="shared" si="198"/>
        <v>0</v>
      </c>
      <c r="JJ36" s="523"/>
      <c r="JK36" s="525" t="str">
        <f t="shared" si="88"/>
        <v>0</v>
      </c>
      <c r="JL36" s="525" t="str">
        <f t="shared" si="89"/>
        <v>0</v>
      </c>
      <c r="JM36" s="523"/>
      <c r="JN36" s="525" t="str">
        <f t="shared" si="90"/>
        <v>0</v>
      </c>
      <c r="JO36" s="525" t="str">
        <f t="shared" si="91"/>
        <v>0</v>
      </c>
      <c r="JP36" s="523"/>
      <c r="JQ36" s="525" t="str">
        <f t="shared" si="92"/>
        <v>0</v>
      </c>
      <c r="JR36" s="525" t="str">
        <f t="shared" si="93"/>
        <v>0</v>
      </c>
      <c r="JS36" s="523"/>
      <c r="JT36" s="525" t="str">
        <f t="shared" si="94"/>
        <v>0</v>
      </c>
      <c r="JU36" s="525" t="str">
        <f t="shared" si="95"/>
        <v>0</v>
      </c>
      <c r="JV36" s="523"/>
      <c r="JW36" s="525" t="str">
        <f t="shared" si="96"/>
        <v>0</v>
      </c>
      <c r="JX36" s="525" t="str">
        <f t="shared" si="97"/>
        <v>0</v>
      </c>
      <c r="JY36" s="523"/>
      <c r="JZ36" s="525" t="str">
        <f t="shared" si="98"/>
        <v>0</v>
      </c>
      <c r="KA36" s="525" t="str">
        <f t="shared" si="99"/>
        <v>0</v>
      </c>
      <c r="KB36" s="523"/>
      <c r="KC36" s="525" t="str">
        <f t="shared" si="100"/>
        <v>0</v>
      </c>
      <c r="KD36" s="525" t="str">
        <f t="shared" si="101"/>
        <v>0</v>
      </c>
      <c r="KE36" s="523"/>
      <c r="KF36" s="525" t="str">
        <f t="shared" si="102"/>
        <v>0</v>
      </c>
      <c r="KG36" s="525" t="str">
        <f t="shared" si="103"/>
        <v>0</v>
      </c>
      <c r="KH36" s="523"/>
      <c r="KI36" s="525" t="str">
        <f t="shared" si="104"/>
        <v>0</v>
      </c>
      <c r="KJ36" s="525" t="str">
        <f t="shared" si="105"/>
        <v>0</v>
      </c>
      <c r="KK36" s="523"/>
      <c r="KL36" s="525" t="str">
        <f t="shared" si="106"/>
        <v>0</v>
      </c>
      <c r="KM36" s="525" t="str">
        <f t="shared" si="107"/>
        <v>0</v>
      </c>
      <c r="KN36" s="523"/>
      <c r="KO36" s="525" t="str">
        <f t="shared" si="108"/>
        <v>0</v>
      </c>
      <c r="KP36" s="525" t="str">
        <f t="shared" si="109"/>
        <v>0</v>
      </c>
      <c r="KQ36" s="523"/>
      <c r="KR36" s="525" t="str">
        <f t="shared" si="110"/>
        <v>0</v>
      </c>
      <c r="KS36" s="525" t="str">
        <f t="shared" si="111"/>
        <v>0</v>
      </c>
      <c r="KT36" s="525">
        <f t="shared" si="201"/>
        <v>0</v>
      </c>
      <c r="KU36" s="525">
        <f t="shared" si="202"/>
        <v>0</v>
      </c>
      <c r="KV36" s="261">
        <f t="shared" si="199"/>
        <v>298.47974458643358</v>
      </c>
    </row>
    <row r="37" spans="1:308" ht="15" customHeight="1">
      <c r="A37" s="262">
        <f t="shared" si="200"/>
        <v>46141</v>
      </c>
      <c r="B37" s="263" t="str">
        <f>+Report1!B37</f>
        <v>Toilet</v>
      </c>
      <c r="C37" s="263" t="str">
        <f>+Report1!C37</f>
        <v>12,5</v>
      </c>
      <c r="D37" s="264">
        <f>+Report1!P37</f>
        <v>29.343999999999998</v>
      </c>
      <c r="E37" s="556">
        <f>+Report1!R37</f>
        <v>28.553000000000001</v>
      </c>
      <c r="F37" s="523"/>
      <c r="G37" s="524">
        <f t="shared" si="0"/>
        <v>0</v>
      </c>
      <c r="H37" s="525">
        <f t="shared" si="112"/>
        <v>0</v>
      </c>
      <c r="I37" s="523"/>
      <c r="J37" s="524">
        <f t="shared" si="1"/>
        <v>0</v>
      </c>
      <c r="K37" s="525">
        <f t="shared" si="113"/>
        <v>0</v>
      </c>
      <c r="L37" s="523"/>
      <c r="M37" s="524">
        <f t="shared" si="2"/>
        <v>0</v>
      </c>
      <c r="N37" s="525">
        <f t="shared" si="114"/>
        <v>0</v>
      </c>
      <c r="O37" s="523">
        <v>3</v>
      </c>
      <c r="P37" s="524">
        <f t="shared" si="3"/>
        <v>0.10506776871081848</v>
      </c>
      <c r="Q37" s="525">
        <f t="shared" si="115"/>
        <v>0</v>
      </c>
      <c r="R37" s="523"/>
      <c r="S37" s="524">
        <f t="shared" si="4"/>
        <v>0</v>
      </c>
      <c r="T37" s="525">
        <f t="shared" si="116"/>
        <v>0</v>
      </c>
      <c r="U37" s="523">
        <v>2.5625</v>
      </c>
      <c r="V37" s="524">
        <f t="shared" si="5"/>
        <v>8.9745385773824113E-2</v>
      </c>
      <c r="W37" s="525">
        <f t="shared" si="117"/>
        <v>0</v>
      </c>
      <c r="X37" s="523"/>
      <c r="Y37" s="524">
        <f t="shared" si="6"/>
        <v>0</v>
      </c>
      <c r="Z37" s="525">
        <f t="shared" si="118"/>
        <v>0</v>
      </c>
      <c r="AA37" s="523">
        <v>7.8125000000000071</v>
      </c>
      <c r="AB37" s="524">
        <f t="shared" si="7"/>
        <v>0.27361398101775669</v>
      </c>
      <c r="AC37" s="525">
        <f t="shared" si="119"/>
        <v>0</v>
      </c>
      <c r="AD37" s="523"/>
      <c r="AE37" s="524">
        <f t="shared" si="8"/>
        <v>0</v>
      </c>
      <c r="AF37" s="525">
        <f t="shared" si="120"/>
        <v>0</v>
      </c>
      <c r="AG37" s="523"/>
      <c r="AH37" s="524">
        <f t="shared" si="9"/>
        <v>0</v>
      </c>
      <c r="AI37" s="525">
        <f t="shared" si="121"/>
        <v>0</v>
      </c>
      <c r="AJ37" s="523"/>
      <c r="AK37" s="524">
        <f t="shared" si="10"/>
        <v>0</v>
      </c>
      <c r="AL37" s="525">
        <f t="shared" si="122"/>
        <v>0</v>
      </c>
      <c r="AM37" s="523"/>
      <c r="AN37" s="524">
        <f t="shared" si="11"/>
        <v>0</v>
      </c>
      <c r="AO37" s="525">
        <f t="shared" si="123"/>
        <v>0</v>
      </c>
      <c r="AP37" s="523"/>
      <c r="AQ37" s="524">
        <f t="shared" si="12"/>
        <v>0</v>
      </c>
      <c r="AR37" s="525">
        <f t="shared" si="124"/>
        <v>0</v>
      </c>
      <c r="AS37" s="523"/>
      <c r="AT37" s="524">
        <f t="shared" si="13"/>
        <v>0</v>
      </c>
      <c r="AU37" s="525">
        <f t="shared" si="125"/>
        <v>0</v>
      </c>
      <c r="AV37" s="523"/>
      <c r="AW37" s="524">
        <f t="shared" si="14"/>
        <v>0</v>
      </c>
      <c r="AX37" s="525">
        <f t="shared" si="126"/>
        <v>0</v>
      </c>
      <c r="AY37" s="523"/>
      <c r="AZ37" s="524">
        <f t="shared" si="15"/>
        <v>0</v>
      </c>
      <c r="BA37" s="525">
        <f t="shared" si="127"/>
        <v>0</v>
      </c>
      <c r="BB37" s="523"/>
      <c r="BC37" s="524">
        <f t="shared" si="16"/>
        <v>0</v>
      </c>
      <c r="BD37" s="525">
        <f t="shared" si="128"/>
        <v>0</v>
      </c>
      <c r="BE37" s="523"/>
      <c r="BF37" s="524">
        <f t="shared" si="17"/>
        <v>0</v>
      </c>
      <c r="BG37" s="525">
        <f t="shared" si="129"/>
        <v>0</v>
      </c>
      <c r="BH37" s="523"/>
      <c r="BI37" s="524">
        <f t="shared" si="18"/>
        <v>0</v>
      </c>
      <c r="BJ37" s="525">
        <f t="shared" si="130"/>
        <v>0</v>
      </c>
      <c r="BK37" s="523"/>
      <c r="BL37" s="524">
        <f t="shared" si="19"/>
        <v>0</v>
      </c>
      <c r="BM37" s="525">
        <f t="shared" si="131"/>
        <v>0</v>
      </c>
      <c r="BN37" s="523"/>
      <c r="BO37" s="524">
        <f t="shared" si="20"/>
        <v>0</v>
      </c>
      <c r="BP37" s="525">
        <f t="shared" si="132"/>
        <v>0</v>
      </c>
      <c r="BQ37" s="523"/>
      <c r="BR37" s="524">
        <f t="shared" si="21"/>
        <v>0</v>
      </c>
      <c r="BS37" s="525">
        <f t="shared" si="133"/>
        <v>0</v>
      </c>
      <c r="BT37" s="523"/>
      <c r="BU37" s="524">
        <f t="shared" si="22"/>
        <v>0</v>
      </c>
      <c r="BV37" s="525">
        <f t="shared" si="134"/>
        <v>0</v>
      </c>
      <c r="BW37" s="523"/>
      <c r="BX37" s="524">
        <f t="shared" si="23"/>
        <v>0</v>
      </c>
      <c r="BY37" s="525">
        <f t="shared" si="135"/>
        <v>0</v>
      </c>
      <c r="BZ37" s="523"/>
      <c r="CA37" s="524">
        <f t="shared" si="24"/>
        <v>0</v>
      </c>
      <c r="CB37" s="525">
        <f t="shared" si="136"/>
        <v>0</v>
      </c>
      <c r="CC37" s="523"/>
      <c r="CD37" s="524">
        <f t="shared" si="25"/>
        <v>0</v>
      </c>
      <c r="CE37" s="525">
        <f t="shared" si="137"/>
        <v>0</v>
      </c>
      <c r="CF37" s="523">
        <v>1</v>
      </c>
      <c r="CG37" s="524">
        <f t="shared" si="26"/>
        <v>3.5022589570272822E-2</v>
      </c>
      <c r="CH37" s="525">
        <f t="shared" si="138"/>
        <v>0</v>
      </c>
      <c r="CI37" s="523"/>
      <c r="CJ37" s="524">
        <f t="shared" si="27"/>
        <v>0</v>
      </c>
      <c r="CK37" s="525">
        <f t="shared" si="139"/>
        <v>0</v>
      </c>
      <c r="CL37" s="523"/>
      <c r="CM37" s="524">
        <f t="shared" si="28"/>
        <v>0</v>
      </c>
      <c r="CN37" s="525">
        <f t="shared" si="140"/>
        <v>0</v>
      </c>
      <c r="CO37" s="523"/>
      <c r="CP37" s="524">
        <f t="shared" si="29"/>
        <v>0</v>
      </c>
      <c r="CQ37" s="525">
        <f t="shared" si="141"/>
        <v>0</v>
      </c>
      <c r="CR37" s="523"/>
      <c r="CS37" s="524">
        <f t="shared" si="30"/>
        <v>0</v>
      </c>
      <c r="CT37" s="525">
        <f t="shared" si="142"/>
        <v>0</v>
      </c>
      <c r="CU37" s="523"/>
      <c r="CV37" s="524">
        <f t="shared" si="31"/>
        <v>0</v>
      </c>
      <c r="CW37" s="525">
        <f t="shared" si="143"/>
        <v>0</v>
      </c>
      <c r="CX37" s="523"/>
      <c r="CY37" s="524">
        <f t="shared" si="32"/>
        <v>0</v>
      </c>
      <c r="CZ37" s="525">
        <f t="shared" si="144"/>
        <v>0</v>
      </c>
      <c r="DA37" s="523">
        <v>116.27906976744185</v>
      </c>
      <c r="DB37" s="524">
        <f t="shared" si="33"/>
        <v>4.072394136078235</v>
      </c>
      <c r="DC37" s="525">
        <f t="shared" si="145"/>
        <v>0</v>
      </c>
      <c r="DD37" s="523"/>
      <c r="DE37" s="524">
        <f t="shared" si="34"/>
        <v>0</v>
      </c>
      <c r="DF37" s="525">
        <f t="shared" si="146"/>
        <v>0</v>
      </c>
      <c r="DG37" s="523"/>
      <c r="DH37" s="524">
        <f t="shared" si="35"/>
        <v>0</v>
      </c>
      <c r="DI37" s="525">
        <f t="shared" si="203"/>
        <v>0</v>
      </c>
      <c r="DJ37" s="523"/>
      <c r="DK37" s="524">
        <f t="shared" si="36"/>
        <v>0</v>
      </c>
      <c r="DL37" s="525">
        <f t="shared" si="147"/>
        <v>0</v>
      </c>
      <c r="DM37" s="523"/>
      <c r="DN37" s="524">
        <f t="shared" si="37"/>
        <v>0</v>
      </c>
      <c r="DO37" s="525">
        <f t="shared" si="148"/>
        <v>0</v>
      </c>
      <c r="DP37" s="523"/>
      <c r="DQ37" s="524">
        <f t="shared" si="38"/>
        <v>0</v>
      </c>
      <c r="DR37" s="525">
        <f t="shared" si="149"/>
        <v>0</v>
      </c>
      <c r="DS37" s="523"/>
      <c r="DT37" s="524">
        <f t="shared" si="39"/>
        <v>0</v>
      </c>
      <c r="DU37" s="525">
        <f t="shared" si="150"/>
        <v>0</v>
      </c>
      <c r="DV37" s="523"/>
      <c r="DW37" s="524">
        <f t="shared" si="40"/>
        <v>0</v>
      </c>
      <c r="DX37" s="525">
        <f t="shared" si="151"/>
        <v>0</v>
      </c>
      <c r="DY37" s="523"/>
      <c r="DZ37" s="524">
        <f t="shared" si="41"/>
        <v>0</v>
      </c>
      <c r="EA37" s="525">
        <f t="shared" si="152"/>
        <v>0</v>
      </c>
      <c r="EB37" s="523"/>
      <c r="EC37" s="524">
        <f t="shared" si="42"/>
        <v>0</v>
      </c>
      <c r="ED37" s="525">
        <f t="shared" si="153"/>
        <v>0</v>
      </c>
      <c r="EE37" s="523">
        <v>7.2674418604651692</v>
      </c>
      <c r="EF37" s="524">
        <f t="shared" si="43"/>
        <v>0.25452463350489157</v>
      </c>
      <c r="EG37" s="525">
        <f t="shared" si="154"/>
        <v>0</v>
      </c>
      <c r="EH37" s="523">
        <v>93.929411764705947</v>
      </c>
      <c r="EI37" s="524">
        <f t="shared" si="44"/>
        <v>3.289651236812452</v>
      </c>
      <c r="EJ37" s="525">
        <f t="shared" si="155"/>
        <v>0</v>
      </c>
      <c r="EK37" s="523">
        <v>4</v>
      </c>
      <c r="EL37" s="524">
        <f t="shared" si="45"/>
        <v>0.14009035828109129</v>
      </c>
      <c r="EM37" s="525">
        <f t="shared" si="156"/>
        <v>0</v>
      </c>
      <c r="EN37" s="523">
        <v>30.487804878048792</v>
      </c>
      <c r="EO37" s="524">
        <f t="shared" si="46"/>
        <v>1.0677618771424646</v>
      </c>
      <c r="EP37" s="525">
        <f t="shared" si="157"/>
        <v>0</v>
      </c>
      <c r="EQ37" s="523">
        <v>49.418604651162923</v>
      </c>
      <c r="ER37" s="524">
        <f t="shared" si="47"/>
        <v>1.7307675078332547</v>
      </c>
      <c r="ES37" s="525">
        <f t="shared" si="158"/>
        <v>0</v>
      </c>
      <c r="ET37" s="523"/>
      <c r="EU37" s="524">
        <f t="shared" si="48"/>
        <v>0</v>
      </c>
      <c r="EV37" s="525">
        <f t="shared" si="159"/>
        <v>0</v>
      </c>
      <c r="EW37" s="523"/>
      <c r="EX37" s="524">
        <f t="shared" si="49"/>
        <v>0</v>
      </c>
      <c r="EY37" s="525">
        <f t="shared" si="160"/>
        <v>0</v>
      </c>
      <c r="EZ37" s="523"/>
      <c r="FA37" s="524">
        <f t="shared" si="50"/>
        <v>0</v>
      </c>
      <c r="FB37" s="525">
        <f t="shared" si="161"/>
        <v>0</v>
      </c>
      <c r="FC37" s="523"/>
      <c r="FD37" s="524">
        <f t="shared" si="51"/>
        <v>0</v>
      </c>
      <c r="FE37" s="525">
        <f t="shared" si="162"/>
        <v>0</v>
      </c>
      <c r="FF37" s="523"/>
      <c r="FG37" s="524">
        <f t="shared" si="52"/>
        <v>0</v>
      </c>
      <c r="FH37" s="525">
        <f t="shared" si="163"/>
        <v>0</v>
      </c>
      <c r="FI37" s="523"/>
      <c r="FJ37" s="524">
        <f t="shared" si="53"/>
        <v>0</v>
      </c>
      <c r="FK37" s="525">
        <f t="shared" si="164"/>
        <v>0</v>
      </c>
      <c r="FL37" s="523"/>
      <c r="FM37" s="524">
        <f t="shared" si="54"/>
        <v>0</v>
      </c>
      <c r="FN37" s="525">
        <f t="shared" si="165"/>
        <v>0</v>
      </c>
      <c r="FO37" s="523"/>
      <c r="FP37" s="524">
        <f t="shared" si="55"/>
        <v>0</v>
      </c>
      <c r="FQ37" s="525">
        <f t="shared" si="166"/>
        <v>0</v>
      </c>
      <c r="FR37" s="523"/>
      <c r="FS37" s="524">
        <f t="shared" si="56"/>
        <v>0</v>
      </c>
      <c r="FT37" s="525">
        <f t="shared" si="167"/>
        <v>0</v>
      </c>
      <c r="FU37" s="523"/>
      <c r="FV37" s="524">
        <f t="shared" si="57"/>
        <v>0</v>
      </c>
      <c r="FW37" s="525">
        <f t="shared" si="168"/>
        <v>0</v>
      </c>
      <c r="FX37" s="523"/>
      <c r="FY37" s="524">
        <f t="shared" si="58"/>
        <v>0</v>
      </c>
      <c r="FZ37" s="525">
        <f t="shared" si="169"/>
        <v>0</v>
      </c>
      <c r="GA37" s="523"/>
      <c r="GB37" s="524">
        <f t="shared" si="59"/>
        <v>0</v>
      </c>
      <c r="GC37" s="525">
        <f t="shared" si="170"/>
        <v>0</v>
      </c>
      <c r="GD37" s="523"/>
      <c r="GE37" s="524">
        <f t="shared" si="60"/>
        <v>0</v>
      </c>
      <c r="GF37" s="525">
        <f t="shared" si="171"/>
        <v>0</v>
      </c>
      <c r="GG37" s="523"/>
      <c r="GH37" s="524">
        <f t="shared" si="61"/>
        <v>0</v>
      </c>
      <c r="GI37" s="525">
        <f t="shared" si="172"/>
        <v>0</v>
      </c>
      <c r="GJ37" s="523"/>
      <c r="GK37" s="524">
        <f t="shared" si="62"/>
        <v>0</v>
      </c>
      <c r="GL37" s="525">
        <f t="shared" si="173"/>
        <v>0</v>
      </c>
      <c r="GM37" s="523"/>
      <c r="GN37" s="524">
        <f t="shared" si="63"/>
        <v>0</v>
      </c>
      <c r="GO37" s="525">
        <f t="shared" si="174"/>
        <v>0</v>
      </c>
      <c r="GP37" s="523"/>
      <c r="GQ37" s="524">
        <f t="shared" si="64"/>
        <v>0</v>
      </c>
      <c r="GR37" s="525">
        <f t="shared" si="175"/>
        <v>0</v>
      </c>
      <c r="GS37" s="523"/>
      <c r="GT37" s="524">
        <f t="shared" si="65"/>
        <v>0</v>
      </c>
      <c r="GU37" s="525">
        <f t="shared" si="176"/>
        <v>0</v>
      </c>
      <c r="GV37" s="523"/>
      <c r="GW37" s="524">
        <f t="shared" si="66"/>
        <v>0</v>
      </c>
      <c r="GX37" s="525">
        <f t="shared" si="177"/>
        <v>0</v>
      </c>
      <c r="GY37" s="523"/>
      <c r="GZ37" s="524">
        <f t="shared" si="67"/>
        <v>0</v>
      </c>
      <c r="HA37" s="525">
        <f t="shared" si="178"/>
        <v>0</v>
      </c>
      <c r="HB37" s="523"/>
      <c r="HC37" s="524">
        <f t="shared" si="68"/>
        <v>0</v>
      </c>
      <c r="HD37" s="525">
        <f t="shared" si="179"/>
        <v>0</v>
      </c>
      <c r="HE37" s="523"/>
      <c r="HF37" s="524">
        <f t="shared" si="69"/>
        <v>0</v>
      </c>
      <c r="HG37" s="525">
        <f t="shared" si="180"/>
        <v>0</v>
      </c>
      <c r="HH37" s="523"/>
      <c r="HI37" s="524">
        <f t="shared" si="70"/>
        <v>0</v>
      </c>
      <c r="HJ37" s="525">
        <f t="shared" si="181"/>
        <v>0</v>
      </c>
      <c r="HK37" s="523"/>
      <c r="HL37" s="524">
        <f t="shared" si="71"/>
        <v>0</v>
      </c>
      <c r="HM37" s="525">
        <f t="shared" si="182"/>
        <v>0</v>
      </c>
      <c r="HN37" s="523"/>
      <c r="HO37" s="524">
        <f t="shared" si="72"/>
        <v>0</v>
      </c>
      <c r="HP37" s="525">
        <f t="shared" si="183"/>
        <v>0</v>
      </c>
      <c r="HQ37" s="523"/>
      <c r="HR37" s="524">
        <f t="shared" si="73"/>
        <v>0</v>
      </c>
      <c r="HS37" s="525">
        <f t="shared" si="184"/>
        <v>0</v>
      </c>
      <c r="HT37" s="523"/>
      <c r="HU37" s="524">
        <f t="shared" si="74"/>
        <v>0</v>
      </c>
      <c r="HV37" s="525">
        <f t="shared" si="185"/>
        <v>0</v>
      </c>
      <c r="HW37" s="523"/>
      <c r="HX37" s="524">
        <f t="shared" si="75"/>
        <v>0</v>
      </c>
      <c r="HY37" s="525">
        <f t="shared" si="186"/>
        <v>0</v>
      </c>
      <c r="HZ37" s="523"/>
      <c r="IA37" s="524">
        <f t="shared" si="76"/>
        <v>0</v>
      </c>
      <c r="IB37" s="525">
        <f t="shared" si="187"/>
        <v>0</v>
      </c>
      <c r="IC37" s="523"/>
      <c r="ID37" s="524">
        <f t="shared" si="77"/>
        <v>0</v>
      </c>
      <c r="IE37" s="525">
        <f t="shared" si="188"/>
        <v>0</v>
      </c>
      <c r="IF37" s="523"/>
      <c r="IG37" s="524">
        <f t="shared" si="78"/>
        <v>0</v>
      </c>
      <c r="IH37" s="525">
        <f t="shared" si="189"/>
        <v>0</v>
      </c>
      <c r="II37" s="523"/>
      <c r="IJ37" s="524">
        <f t="shared" si="79"/>
        <v>0</v>
      </c>
      <c r="IK37" s="525">
        <f t="shared" si="190"/>
        <v>0</v>
      </c>
      <c r="IL37" s="523"/>
      <c r="IM37" s="524">
        <f t="shared" si="80"/>
        <v>0</v>
      </c>
      <c r="IN37" s="525">
        <f t="shared" si="191"/>
        <v>0</v>
      </c>
      <c r="IO37" s="523"/>
      <c r="IP37" s="524">
        <f t="shared" si="81"/>
        <v>0</v>
      </c>
      <c r="IQ37" s="525">
        <f t="shared" si="192"/>
        <v>0</v>
      </c>
      <c r="IR37" s="523"/>
      <c r="IS37" s="524">
        <f t="shared" si="82"/>
        <v>0</v>
      </c>
      <c r="IT37" s="525">
        <f t="shared" si="193"/>
        <v>0</v>
      </c>
      <c r="IU37" s="523"/>
      <c r="IV37" s="524">
        <f t="shared" si="83"/>
        <v>0</v>
      </c>
      <c r="IW37" s="525">
        <f t="shared" si="194"/>
        <v>0</v>
      </c>
      <c r="IX37" s="523"/>
      <c r="IY37" s="524">
        <f t="shared" si="84"/>
        <v>0</v>
      </c>
      <c r="IZ37" s="525">
        <f t="shared" si="195"/>
        <v>0</v>
      </c>
      <c r="JA37" s="523"/>
      <c r="JB37" s="524">
        <f t="shared" si="85"/>
        <v>0</v>
      </c>
      <c r="JC37" s="525">
        <f t="shared" si="196"/>
        <v>0</v>
      </c>
      <c r="JD37" s="523"/>
      <c r="JE37" s="524">
        <f t="shared" si="86"/>
        <v>0</v>
      </c>
      <c r="JF37" s="525">
        <f t="shared" si="197"/>
        <v>0</v>
      </c>
      <c r="JG37" s="523"/>
      <c r="JH37" s="524">
        <f t="shared" si="87"/>
        <v>0</v>
      </c>
      <c r="JI37" s="525">
        <f t="shared" si="198"/>
        <v>0</v>
      </c>
      <c r="JJ37" s="523"/>
      <c r="JK37" s="525" t="str">
        <f t="shared" si="88"/>
        <v>0</v>
      </c>
      <c r="JL37" s="525" t="str">
        <f t="shared" si="89"/>
        <v>0</v>
      </c>
      <c r="JM37" s="523"/>
      <c r="JN37" s="525" t="str">
        <f t="shared" si="90"/>
        <v>0</v>
      </c>
      <c r="JO37" s="525" t="str">
        <f t="shared" si="91"/>
        <v>0</v>
      </c>
      <c r="JP37" s="523"/>
      <c r="JQ37" s="525" t="str">
        <f t="shared" si="92"/>
        <v>0</v>
      </c>
      <c r="JR37" s="525" t="str">
        <f t="shared" si="93"/>
        <v>0</v>
      </c>
      <c r="JS37" s="523"/>
      <c r="JT37" s="525" t="str">
        <f t="shared" si="94"/>
        <v>0</v>
      </c>
      <c r="JU37" s="525" t="str">
        <f t="shared" si="95"/>
        <v>0</v>
      </c>
      <c r="JV37" s="523"/>
      <c r="JW37" s="525" t="str">
        <f t="shared" si="96"/>
        <v>0</v>
      </c>
      <c r="JX37" s="525" t="str">
        <f t="shared" si="97"/>
        <v>0</v>
      </c>
      <c r="JY37" s="523"/>
      <c r="JZ37" s="525" t="str">
        <f t="shared" si="98"/>
        <v>0</v>
      </c>
      <c r="KA37" s="525" t="str">
        <f t="shared" si="99"/>
        <v>0</v>
      </c>
      <c r="KB37" s="523"/>
      <c r="KC37" s="525" t="str">
        <f t="shared" si="100"/>
        <v>0</v>
      </c>
      <c r="KD37" s="525" t="str">
        <f t="shared" si="101"/>
        <v>0</v>
      </c>
      <c r="KE37" s="523"/>
      <c r="KF37" s="525" t="str">
        <f t="shared" si="102"/>
        <v>0</v>
      </c>
      <c r="KG37" s="525" t="str">
        <f t="shared" si="103"/>
        <v>0</v>
      </c>
      <c r="KH37" s="523"/>
      <c r="KI37" s="525" t="str">
        <f t="shared" si="104"/>
        <v>0</v>
      </c>
      <c r="KJ37" s="525" t="str">
        <f t="shared" si="105"/>
        <v>0</v>
      </c>
      <c r="KK37" s="523"/>
      <c r="KL37" s="525" t="str">
        <f t="shared" si="106"/>
        <v>0</v>
      </c>
      <c r="KM37" s="525" t="str">
        <f t="shared" si="107"/>
        <v>0</v>
      </c>
      <c r="KN37" s="523"/>
      <c r="KO37" s="525" t="str">
        <f t="shared" si="108"/>
        <v>0</v>
      </c>
      <c r="KP37" s="525" t="str">
        <f t="shared" si="109"/>
        <v>0</v>
      </c>
      <c r="KQ37" s="523"/>
      <c r="KR37" s="525" t="str">
        <f t="shared" si="110"/>
        <v>0</v>
      </c>
      <c r="KS37" s="525" t="str">
        <f t="shared" si="111"/>
        <v>0</v>
      </c>
      <c r="KT37" s="525">
        <f t="shared" si="201"/>
        <v>0</v>
      </c>
      <c r="KU37" s="525">
        <f t="shared" si="202"/>
        <v>0</v>
      </c>
      <c r="KV37" s="261">
        <f t="shared" si="199"/>
        <v>315.75733292182468</v>
      </c>
    </row>
    <row r="38" spans="1:308" ht="15" customHeight="1">
      <c r="A38" s="262">
        <f t="shared" si="200"/>
        <v>46142</v>
      </c>
      <c r="B38" s="263" t="str">
        <f>+Report1!B38</f>
        <v>Toilet/Facial</v>
      </c>
      <c r="C38" s="263" t="str">
        <f>+Report1!C38</f>
        <v>12,5/12</v>
      </c>
      <c r="D38" s="264">
        <f>+Report1!P38</f>
        <v>33.688999999999993</v>
      </c>
      <c r="E38" s="556">
        <f>+Report1!R38</f>
        <v>29.588000000000001</v>
      </c>
      <c r="F38" s="523"/>
      <c r="G38" s="524">
        <f t="shared" si="0"/>
        <v>0</v>
      </c>
      <c r="H38" s="525">
        <f t="shared" si="112"/>
        <v>0</v>
      </c>
      <c r="I38" s="523">
        <v>232.55813953488359</v>
      </c>
      <c r="J38" s="524">
        <f t="shared" si="1"/>
        <v>7.8598803411816816</v>
      </c>
      <c r="K38" s="525">
        <f t="shared" si="113"/>
        <v>0</v>
      </c>
      <c r="L38" s="523"/>
      <c r="M38" s="524">
        <f t="shared" si="2"/>
        <v>0</v>
      </c>
      <c r="N38" s="525">
        <f t="shared" si="114"/>
        <v>0</v>
      </c>
      <c r="O38" s="523">
        <v>5.8848000000000056</v>
      </c>
      <c r="P38" s="524">
        <f t="shared" si="3"/>
        <v>0.19889144247667992</v>
      </c>
      <c r="Q38" s="525">
        <f t="shared" si="115"/>
        <v>0</v>
      </c>
      <c r="R38" s="523"/>
      <c r="S38" s="524">
        <f t="shared" si="4"/>
        <v>0</v>
      </c>
      <c r="T38" s="525">
        <f t="shared" si="116"/>
        <v>0</v>
      </c>
      <c r="U38" s="523">
        <v>5.0274000000000143</v>
      </c>
      <c r="V38" s="524">
        <f t="shared" si="5"/>
        <v>0.16991347843720475</v>
      </c>
      <c r="W38" s="525">
        <f t="shared" si="117"/>
        <v>0</v>
      </c>
      <c r="X38" s="523"/>
      <c r="Y38" s="524">
        <f t="shared" si="6"/>
        <v>0</v>
      </c>
      <c r="Z38" s="525">
        <f t="shared" si="118"/>
        <v>0</v>
      </c>
      <c r="AA38" s="523">
        <v>10.9375</v>
      </c>
      <c r="AB38" s="524">
        <f t="shared" si="7"/>
        <v>0.36965999729620114</v>
      </c>
      <c r="AC38" s="525">
        <f t="shared" si="119"/>
        <v>0</v>
      </c>
      <c r="AD38" s="523"/>
      <c r="AE38" s="524">
        <f t="shared" si="8"/>
        <v>0</v>
      </c>
      <c r="AF38" s="525">
        <f t="shared" si="120"/>
        <v>0</v>
      </c>
      <c r="AG38" s="523"/>
      <c r="AH38" s="524">
        <f t="shared" si="9"/>
        <v>0</v>
      </c>
      <c r="AI38" s="525">
        <f t="shared" si="121"/>
        <v>0</v>
      </c>
      <c r="AJ38" s="523"/>
      <c r="AK38" s="524">
        <f t="shared" si="10"/>
        <v>0</v>
      </c>
      <c r="AL38" s="525">
        <f t="shared" si="122"/>
        <v>0</v>
      </c>
      <c r="AM38" s="523"/>
      <c r="AN38" s="524">
        <f t="shared" si="11"/>
        <v>0</v>
      </c>
      <c r="AO38" s="525">
        <f t="shared" si="123"/>
        <v>0</v>
      </c>
      <c r="AP38" s="523"/>
      <c r="AQ38" s="524">
        <f t="shared" si="12"/>
        <v>0</v>
      </c>
      <c r="AR38" s="525">
        <f t="shared" si="124"/>
        <v>0</v>
      </c>
      <c r="AS38" s="523"/>
      <c r="AT38" s="524">
        <f t="shared" si="13"/>
        <v>0</v>
      </c>
      <c r="AU38" s="525">
        <f t="shared" si="125"/>
        <v>0</v>
      </c>
      <c r="AV38" s="523"/>
      <c r="AW38" s="524">
        <f t="shared" si="14"/>
        <v>0</v>
      </c>
      <c r="AX38" s="525">
        <f t="shared" si="126"/>
        <v>0</v>
      </c>
      <c r="AY38" s="523">
        <v>3.4368000000000052</v>
      </c>
      <c r="AZ38" s="524">
        <f t="shared" si="15"/>
        <v>0.116155198053265</v>
      </c>
      <c r="BA38" s="525">
        <f t="shared" si="127"/>
        <v>0</v>
      </c>
      <c r="BB38" s="523"/>
      <c r="BC38" s="524">
        <f t="shared" si="16"/>
        <v>0</v>
      </c>
      <c r="BD38" s="525">
        <f t="shared" si="128"/>
        <v>0</v>
      </c>
      <c r="BE38" s="523"/>
      <c r="BF38" s="524">
        <f t="shared" si="17"/>
        <v>0</v>
      </c>
      <c r="BG38" s="525">
        <f t="shared" si="129"/>
        <v>0</v>
      </c>
      <c r="BH38" s="523"/>
      <c r="BI38" s="524">
        <f t="shared" si="18"/>
        <v>0</v>
      </c>
      <c r="BJ38" s="525">
        <f t="shared" si="130"/>
        <v>0</v>
      </c>
      <c r="BK38" s="523"/>
      <c r="BL38" s="524">
        <f t="shared" si="19"/>
        <v>0</v>
      </c>
      <c r="BM38" s="525">
        <f t="shared" si="131"/>
        <v>0</v>
      </c>
      <c r="BN38" s="523"/>
      <c r="BO38" s="524">
        <f t="shared" si="20"/>
        <v>0</v>
      </c>
      <c r="BP38" s="525">
        <f t="shared" si="132"/>
        <v>0</v>
      </c>
      <c r="BQ38" s="523"/>
      <c r="BR38" s="524">
        <f t="shared" si="21"/>
        <v>0</v>
      </c>
      <c r="BS38" s="525">
        <f t="shared" si="133"/>
        <v>0</v>
      </c>
      <c r="BT38" s="523"/>
      <c r="BU38" s="524">
        <f t="shared" si="22"/>
        <v>0</v>
      </c>
      <c r="BV38" s="525">
        <f t="shared" si="134"/>
        <v>0</v>
      </c>
      <c r="BW38" s="523"/>
      <c r="BX38" s="524">
        <f t="shared" si="23"/>
        <v>0</v>
      </c>
      <c r="BY38" s="525">
        <f t="shared" si="135"/>
        <v>0</v>
      </c>
      <c r="BZ38" s="523"/>
      <c r="CA38" s="524">
        <f t="shared" si="24"/>
        <v>0</v>
      </c>
      <c r="CB38" s="525">
        <f t="shared" si="136"/>
        <v>0</v>
      </c>
      <c r="CC38" s="523"/>
      <c r="CD38" s="524">
        <f t="shared" si="25"/>
        <v>0</v>
      </c>
      <c r="CE38" s="525">
        <f t="shared" si="137"/>
        <v>0</v>
      </c>
      <c r="CF38" s="523">
        <v>0.5</v>
      </c>
      <c r="CG38" s="524">
        <f t="shared" si="26"/>
        <v>1.6898742733540625E-2</v>
      </c>
      <c r="CH38" s="525">
        <f t="shared" si="138"/>
        <v>0</v>
      </c>
      <c r="CI38" s="523"/>
      <c r="CJ38" s="524">
        <f t="shared" si="27"/>
        <v>0</v>
      </c>
      <c r="CK38" s="525">
        <f t="shared" si="139"/>
        <v>0</v>
      </c>
      <c r="CL38" s="523"/>
      <c r="CM38" s="524">
        <f t="shared" si="28"/>
        <v>0</v>
      </c>
      <c r="CN38" s="525">
        <f t="shared" si="140"/>
        <v>0</v>
      </c>
      <c r="CO38" s="523"/>
      <c r="CP38" s="524">
        <f t="shared" si="29"/>
        <v>0</v>
      </c>
      <c r="CQ38" s="525">
        <f t="shared" si="141"/>
        <v>0</v>
      </c>
      <c r="CR38" s="523">
        <v>1</v>
      </c>
      <c r="CS38" s="524">
        <f t="shared" si="30"/>
        <v>3.3797485467081251E-2</v>
      </c>
      <c r="CT38" s="525">
        <f t="shared" si="142"/>
        <v>0</v>
      </c>
      <c r="CU38" s="523"/>
      <c r="CV38" s="524">
        <f t="shared" si="31"/>
        <v>0</v>
      </c>
      <c r="CW38" s="525">
        <f t="shared" si="143"/>
        <v>0</v>
      </c>
      <c r="CX38" s="523"/>
      <c r="CY38" s="524">
        <f t="shared" si="32"/>
        <v>0</v>
      </c>
      <c r="CZ38" s="525">
        <f t="shared" si="144"/>
        <v>0</v>
      </c>
      <c r="DA38" s="523">
        <v>43.604651162790674</v>
      </c>
      <c r="DB38" s="524">
        <f t="shared" si="33"/>
        <v>1.4737275639715652</v>
      </c>
      <c r="DC38" s="525">
        <f t="shared" si="145"/>
        <v>0</v>
      </c>
      <c r="DD38" s="523"/>
      <c r="DE38" s="524">
        <f t="shared" si="34"/>
        <v>0</v>
      </c>
      <c r="DF38" s="525">
        <f t="shared" si="146"/>
        <v>0</v>
      </c>
      <c r="DG38" s="523"/>
      <c r="DH38" s="524">
        <f t="shared" si="35"/>
        <v>0</v>
      </c>
      <c r="DI38" s="525">
        <f t="shared" si="203"/>
        <v>0</v>
      </c>
      <c r="DJ38" s="523"/>
      <c r="DK38" s="524">
        <f t="shared" si="36"/>
        <v>0</v>
      </c>
      <c r="DL38" s="525">
        <f t="shared" si="147"/>
        <v>0</v>
      </c>
      <c r="DM38" s="523"/>
      <c r="DN38" s="524">
        <f t="shared" si="37"/>
        <v>0</v>
      </c>
      <c r="DO38" s="525">
        <f t="shared" si="148"/>
        <v>0</v>
      </c>
      <c r="DP38" s="523"/>
      <c r="DQ38" s="524">
        <f t="shared" si="38"/>
        <v>0</v>
      </c>
      <c r="DR38" s="525">
        <f t="shared" si="149"/>
        <v>0</v>
      </c>
      <c r="DS38" s="523"/>
      <c r="DT38" s="524">
        <f t="shared" si="39"/>
        <v>0</v>
      </c>
      <c r="DU38" s="525">
        <f t="shared" si="150"/>
        <v>0</v>
      </c>
      <c r="DV38" s="523"/>
      <c r="DW38" s="524">
        <f t="shared" si="40"/>
        <v>0</v>
      </c>
      <c r="DX38" s="525">
        <f t="shared" si="151"/>
        <v>0</v>
      </c>
      <c r="DY38" s="523"/>
      <c r="DZ38" s="524">
        <f t="shared" si="41"/>
        <v>0</v>
      </c>
      <c r="EA38" s="525">
        <f t="shared" si="152"/>
        <v>0</v>
      </c>
      <c r="EB38" s="523"/>
      <c r="EC38" s="524">
        <f t="shared" si="42"/>
        <v>0</v>
      </c>
      <c r="ED38" s="525">
        <f t="shared" si="153"/>
        <v>0</v>
      </c>
      <c r="EE38" s="523">
        <v>7.2674418604650555</v>
      </c>
      <c r="EF38" s="524">
        <f t="shared" si="43"/>
        <v>0.24562126066192563</v>
      </c>
      <c r="EG38" s="525">
        <f t="shared" si="154"/>
        <v>0</v>
      </c>
      <c r="EH38" s="523">
        <v>63.356470588235197</v>
      </c>
      <c r="EI38" s="524">
        <f t="shared" si="44"/>
        <v>2.1412893939514395</v>
      </c>
      <c r="EJ38" s="525">
        <f t="shared" si="155"/>
        <v>0</v>
      </c>
      <c r="EK38" s="523">
        <v>4</v>
      </c>
      <c r="EL38" s="524">
        <f t="shared" si="45"/>
        <v>0.135189941868325</v>
      </c>
      <c r="EM38" s="525">
        <f t="shared" si="156"/>
        <v>0</v>
      </c>
      <c r="EN38" s="523">
        <v>23.927418902438944</v>
      </c>
      <c r="EO38" s="524">
        <f t="shared" si="46"/>
        <v>0.80868659261994535</v>
      </c>
      <c r="EP38" s="525">
        <f t="shared" si="157"/>
        <v>0</v>
      </c>
      <c r="EQ38" s="523">
        <v>29.093918604651208</v>
      </c>
      <c r="ER38" s="524">
        <f t="shared" si="47"/>
        <v>0.98330129122114396</v>
      </c>
      <c r="ES38" s="525">
        <f t="shared" si="158"/>
        <v>0</v>
      </c>
      <c r="ET38" s="523"/>
      <c r="EU38" s="524">
        <f t="shared" si="48"/>
        <v>0</v>
      </c>
      <c r="EV38" s="525">
        <f t="shared" si="159"/>
        <v>0</v>
      </c>
      <c r="EW38" s="523">
        <v>6.25</v>
      </c>
      <c r="EX38" s="524">
        <f t="shared" si="49"/>
        <v>0.2112342841692578</v>
      </c>
      <c r="EY38" s="525">
        <f t="shared" si="160"/>
        <v>0</v>
      </c>
      <c r="EZ38" s="523"/>
      <c r="FA38" s="524">
        <f t="shared" si="50"/>
        <v>0</v>
      </c>
      <c r="FB38" s="525">
        <f t="shared" si="161"/>
        <v>0</v>
      </c>
      <c r="FC38" s="523"/>
      <c r="FD38" s="524">
        <f t="shared" si="51"/>
        <v>0</v>
      </c>
      <c r="FE38" s="525">
        <f t="shared" si="162"/>
        <v>0</v>
      </c>
      <c r="FF38" s="523"/>
      <c r="FG38" s="524">
        <f t="shared" si="52"/>
        <v>0</v>
      </c>
      <c r="FH38" s="525">
        <f t="shared" si="163"/>
        <v>0</v>
      </c>
      <c r="FI38" s="523"/>
      <c r="FJ38" s="524">
        <f t="shared" si="53"/>
        <v>0</v>
      </c>
      <c r="FK38" s="525">
        <f t="shared" si="164"/>
        <v>0</v>
      </c>
      <c r="FL38" s="523"/>
      <c r="FM38" s="524">
        <f t="shared" si="54"/>
        <v>0</v>
      </c>
      <c r="FN38" s="525">
        <f t="shared" si="165"/>
        <v>0</v>
      </c>
      <c r="FO38" s="523"/>
      <c r="FP38" s="524">
        <f t="shared" si="55"/>
        <v>0</v>
      </c>
      <c r="FQ38" s="525">
        <f t="shared" si="166"/>
        <v>0</v>
      </c>
      <c r="FR38" s="523"/>
      <c r="FS38" s="524">
        <f t="shared" si="56"/>
        <v>0</v>
      </c>
      <c r="FT38" s="525">
        <f t="shared" si="167"/>
        <v>0</v>
      </c>
      <c r="FU38" s="523"/>
      <c r="FV38" s="524">
        <f t="shared" si="57"/>
        <v>0</v>
      </c>
      <c r="FW38" s="525">
        <f t="shared" si="168"/>
        <v>0</v>
      </c>
      <c r="FX38" s="523"/>
      <c r="FY38" s="524">
        <f t="shared" si="58"/>
        <v>0</v>
      </c>
      <c r="FZ38" s="525">
        <f t="shared" si="169"/>
        <v>0</v>
      </c>
      <c r="GA38" s="523"/>
      <c r="GB38" s="524">
        <f t="shared" si="59"/>
        <v>0</v>
      </c>
      <c r="GC38" s="525">
        <f t="shared" si="170"/>
        <v>0</v>
      </c>
      <c r="GD38" s="523"/>
      <c r="GE38" s="524">
        <f t="shared" si="60"/>
        <v>0</v>
      </c>
      <c r="GF38" s="525">
        <f t="shared" si="171"/>
        <v>0</v>
      </c>
      <c r="GG38" s="523"/>
      <c r="GH38" s="524">
        <f t="shared" si="61"/>
        <v>0</v>
      </c>
      <c r="GI38" s="525">
        <f t="shared" si="172"/>
        <v>0</v>
      </c>
      <c r="GJ38" s="523"/>
      <c r="GK38" s="524">
        <f t="shared" si="62"/>
        <v>0</v>
      </c>
      <c r="GL38" s="525">
        <f t="shared" si="173"/>
        <v>0</v>
      </c>
      <c r="GM38" s="523"/>
      <c r="GN38" s="524">
        <f t="shared" si="63"/>
        <v>0</v>
      </c>
      <c r="GO38" s="525">
        <f t="shared" si="174"/>
        <v>0</v>
      </c>
      <c r="GP38" s="523"/>
      <c r="GQ38" s="524">
        <f t="shared" si="64"/>
        <v>0</v>
      </c>
      <c r="GR38" s="525">
        <f t="shared" si="175"/>
        <v>0</v>
      </c>
      <c r="GS38" s="523"/>
      <c r="GT38" s="524">
        <f t="shared" si="65"/>
        <v>0</v>
      </c>
      <c r="GU38" s="525">
        <f t="shared" si="176"/>
        <v>0</v>
      </c>
      <c r="GV38" s="523"/>
      <c r="GW38" s="524">
        <f t="shared" si="66"/>
        <v>0</v>
      </c>
      <c r="GX38" s="525">
        <f t="shared" si="177"/>
        <v>0</v>
      </c>
      <c r="GY38" s="523"/>
      <c r="GZ38" s="524">
        <f t="shared" si="67"/>
        <v>0</v>
      </c>
      <c r="HA38" s="525">
        <f t="shared" si="178"/>
        <v>0</v>
      </c>
      <c r="HB38" s="523"/>
      <c r="HC38" s="524">
        <f t="shared" si="68"/>
        <v>0</v>
      </c>
      <c r="HD38" s="525">
        <f t="shared" si="179"/>
        <v>0</v>
      </c>
      <c r="HE38" s="523"/>
      <c r="HF38" s="524">
        <f t="shared" si="69"/>
        <v>0</v>
      </c>
      <c r="HG38" s="525">
        <f t="shared" si="180"/>
        <v>0</v>
      </c>
      <c r="HH38" s="523"/>
      <c r="HI38" s="524">
        <f t="shared" si="70"/>
        <v>0</v>
      </c>
      <c r="HJ38" s="525">
        <f t="shared" si="181"/>
        <v>0</v>
      </c>
      <c r="HK38" s="523"/>
      <c r="HL38" s="524">
        <f t="shared" si="71"/>
        <v>0</v>
      </c>
      <c r="HM38" s="525">
        <f t="shared" si="182"/>
        <v>0</v>
      </c>
      <c r="HN38" s="523"/>
      <c r="HO38" s="524">
        <f t="shared" si="72"/>
        <v>0</v>
      </c>
      <c r="HP38" s="525">
        <f t="shared" si="183"/>
        <v>0</v>
      </c>
      <c r="HQ38" s="523"/>
      <c r="HR38" s="524">
        <f t="shared" si="73"/>
        <v>0</v>
      </c>
      <c r="HS38" s="525">
        <f t="shared" si="184"/>
        <v>0</v>
      </c>
      <c r="HT38" s="523"/>
      <c r="HU38" s="524">
        <f t="shared" si="74"/>
        <v>0</v>
      </c>
      <c r="HV38" s="525">
        <f t="shared" si="185"/>
        <v>0</v>
      </c>
      <c r="HW38" s="523"/>
      <c r="HX38" s="524">
        <f t="shared" si="75"/>
        <v>0</v>
      </c>
      <c r="HY38" s="525">
        <f t="shared" si="186"/>
        <v>0</v>
      </c>
      <c r="HZ38" s="523"/>
      <c r="IA38" s="524">
        <f t="shared" si="76"/>
        <v>0</v>
      </c>
      <c r="IB38" s="525">
        <f t="shared" si="187"/>
        <v>0</v>
      </c>
      <c r="IC38" s="523"/>
      <c r="ID38" s="524">
        <f t="shared" si="77"/>
        <v>0</v>
      </c>
      <c r="IE38" s="525">
        <f t="shared" si="188"/>
        <v>0</v>
      </c>
      <c r="IF38" s="523"/>
      <c r="IG38" s="524">
        <f t="shared" si="78"/>
        <v>0</v>
      </c>
      <c r="IH38" s="525">
        <f t="shared" si="189"/>
        <v>0</v>
      </c>
      <c r="II38" s="523"/>
      <c r="IJ38" s="524">
        <f t="shared" si="79"/>
        <v>0</v>
      </c>
      <c r="IK38" s="525">
        <f t="shared" si="190"/>
        <v>0</v>
      </c>
      <c r="IL38" s="523"/>
      <c r="IM38" s="524">
        <f t="shared" si="80"/>
        <v>0</v>
      </c>
      <c r="IN38" s="525">
        <f t="shared" si="191"/>
        <v>0</v>
      </c>
      <c r="IO38" s="523"/>
      <c r="IP38" s="524">
        <f t="shared" si="81"/>
        <v>0</v>
      </c>
      <c r="IQ38" s="525">
        <f t="shared" si="192"/>
        <v>0</v>
      </c>
      <c r="IR38" s="523"/>
      <c r="IS38" s="524">
        <f t="shared" si="82"/>
        <v>0</v>
      </c>
      <c r="IT38" s="525">
        <f t="shared" si="193"/>
        <v>0</v>
      </c>
      <c r="IU38" s="523"/>
      <c r="IV38" s="524">
        <f t="shared" si="83"/>
        <v>0</v>
      </c>
      <c r="IW38" s="525">
        <f t="shared" si="194"/>
        <v>0</v>
      </c>
      <c r="IX38" s="523"/>
      <c r="IY38" s="524">
        <f t="shared" si="84"/>
        <v>0</v>
      </c>
      <c r="IZ38" s="525">
        <f t="shared" si="195"/>
        <v>0</v>
      </c>
      <c r="JA38" s="523"/>
      <c r="JB38" s="524">
        <f t="shared" si="85"/>
        <v>0</v>
      </c>
      <c r="JC38" s="525">
        <f t="shared" si="196"/>
        <v>0</v>
      </c>
      <c r="JD38" s="523"/>
      <c r="JE38" s="524">
        <f t="shared" si="86"/>
        <v>0</v>
      </c>
      <c r="JF38" s="525">
        <f t="shared" si="197"/>
        <v>0</v>
      </c>
      <c r="JG38" s="523"/>
      <c r="JH38" s="524">
        <f t="shared" si="87"/>
        <v>0</v>
      </c>
      <c r="JI38" s="525">
        <f t="shared" si="198"/>
        <v>0</v>
      </c>
      <c r="JJ38" s="523"/>
      <c r="JK38" s="525" t="str">
        <f t="shared" si="88"/>
        <v>0</v>
      </c>
      <c r="JL38" s="525" t="str">
        <f t="shared" si="89"/>
        <v>0</v>
      </c>
      <c r="JM38" s="523"/>
      <c r="JN38" s="525" t="str">
        <f t="shared" si="90"/>
        <v>0</v>
      </c>
      <c r="JO38" s="525" t="str">
        <f t="shared" si="91"/>
        <v>0</v>
      </c>
      <c r="JP38" s="523"/>
      <c r="JQ38" s="525" t="str">
        <f t="shared" si="92"/>
        <v>0</v>
      </c>
      <c r="JR38" s="525" t="str">
        <f t="shared" si="93"/>
        <v>0</v>
      </c>
      <c r="JS38" s="523"/>
      <c r="JT38" s="525" t="str">
        <f t="shared" si="94"/>
        <v>0</v>
      </c>
      <c r="JU38" s="525" t="str">
        <f t="shared" si="95"/>
        <v>0</v>
      </c>
      <c r="JV38" s="523"/>
      <c r="JW38" s="525" t="str">
        <f t="shared" si="96"/>
        <v>0</v>
      </c>
      <c r="JX38" s="525" t="str">
        <f t="shared" si="97"/>
        <v>0</v>
      </c>
      <c r="JY38" s="523"/>
      <c r="JZ38" s="525" t="str">
        <f t="shared" si="98"/>
        <v>0</v>
      </c>
      <c r="KA38" s="525" t="str">
        <f t="shared" si="99"/>
        <v>0</v>
      </c>
      <c r="KB38" s="523"/>
      <c r="KC38" s="525" t="str">
        <f t="shared" si="100"/>
        <v>0</v>
      </c>
      <c r="KD38" s="525" t="str">
        <f t="shared" si="101"/>
        <v>0</v>
      </c>
      <c r="KE38" s="523"/>
      <c r="KF38" s="525" t="str">
        <f t="shared" si="102"/>
        <v>0</v>
      </c>
      <c r="KG38" s="525" t="str">
        <f t="shared" si="103"/>
        <v>0</v>
      </c>
      <c r="KH38" s="523"/>
      <c r="KI38" s="525" t="str">
        <f t="shared" si="104"/>
        <v>0</v>
      </c>
      <c r="KJ38" s="525" t="str">
        <f t="shared" si="105"/>
        <v>0</v>
      </c>
      <c r="KK38" s="523"/>
      <c r="KL38" s="525" t="str">
        <f t="shared" si="106"/>
        <v>0</v>
      </c>
      <c r="KM38" s="525" t="str">
        <f t="shared" si="107"/>
        <v>0</v>
      </c>
      <c r="KN38" s="523"/>
      <c r="KO38" s="525" t="str">
        <f t="shared" si="108"/>
        <v>0</v>
      </c>
      <c r="KP38" s="525" t="str">
        <f t="shared" si="109"/>
        <v>0</v>
      </c>
      <c r="KQ38" s="523"/>
      <c r="KR38" s="525" t="str">
        <f t="shared" si="110"/>
        <v>0</v>
      </c>
      <c r="KS38" s="525" t="str">
        <f t="shared" si="111"/>
        <v>0</v>
      </c>
      <c r="KT38" s="525">
        <f t="shared" si="201"/>
        <v>0</v>
      </c>
      <c r="KU38" s="525">
        <f t="shared" si="202"/>
        <v>0</v>
      </c>
      <c r="KV38" s="261">
        <f t="shared" si="199"/>
        <v>430.59454065346472</v>
      </c>
    </row>
    <row r="39" spans="1:308" ht="15" customHeight="1">
      <c r="A39" s="262">
        <f t="shared" si="200"/>
        <v>46143</v>
      </c>
      <c r="B39" s="263">
        <f>+Report1!B39</f>
        <v>0</v>
      </c>
      <c r="C39" s="263">
        <f>+Report1!C39</f>
        <v>0</v>
      </c>
      <c r="D39" s="264">
        <f>+Report1!P39</f>
        <v>0</v>
      </c>
      <c r="E39" s="556">
        <f>+Report1!R39</f>
        <v>0</v>
      </c>
      <c r="F39" s="523"/>
      <c r="G39" s="524" t="e">
        <f t="shared" si="0"/>
        <v>#DIV/0!</v>
      </c>
      <c r="H39" s="525">
        <f t="shared" si="112"/>
        <v>0</v>
      </c>
      <c r="I39" s="523"/>
      <c r="J39" s="524" t="e">
        <f t="shared" si="1"/>
        <v>#DIV/0!</v>
      </c>
      <c r="K39" s="525">
        <f t="shared" si="113"/>
        <v>0</v>
      </c>
      <c r="L39" s="523"/>
      <c r="M39" s="524" t="e">
        <f t="shared" si="2"/>
        <v>#DIV/0!</v>
      </c>
      <c r="N39" s="525">
        <f t="shared" si="114"/>
        <v>0</v>
      </c>
      <c r="O39" s="523"/>
      <c r="P39" s="524" t="e">
        <f t="shared" si="3"/>
        <v>#DIV/0!</v>
      </c>
      <c r="Q39" s="525">
        <f t="shared" si="115"/>
        <v>0</v>
      </c>
      <c r="R39" s="523"/>
      <c r="S39" s="524" t="e">
        <f t="shared" si="4"/>
        <v>#DIV/0!</v>
      </c>
      <c r="T39" s="525">
        <f t="shared" si="116"/>
        <v>0</v>
      </c>
      <c r="U39" s="523"/>
      <c r="V39" s="524" t="e">
        <f t="shared" si="5"/>
        <v>#DIV/0!</v>
      </c>
      <c r="W39" s="525">
        <f t="shared" si="117"/>
        <v>0</v>
      </c>
      <c r="X39" s="523"/>
      <c r="Y39" s="524" t="e">
        <f t="shared" si="6"/>
        <v>#DIV/0!</v>
      </c>
      <c r="Z39" s="525">
        <f t="shared" si="118"/>
        <v>0</v>
      </c>
      <c r="AA39" s="523"/>
      <c r="AB39" s="524" t="e">
        <f t="shared" si="7"/>
        <v>#DIV/0!</v>
      </c>
      <c r="AC39" s="525">
        <f t="shared" si="119"/>
        <v>0</v>
      </c>
      <c r="AD39" s="523"/>
      <c r="AE39" s="524" t="e">
        <f t="shared" si="8"/>
        <v>#DIV/0!</v>
      </c>
      <c r="AF39" s="525">
        <f t="shared" si="120"/>
        <v>0</v>
      </c>
      <c r="AG39" s="523"/>
      <c r="AH39" s="524" t="e">
        <f t="shared" si="9"/>
        <v>#DIV/0!</v>
      </c>
      <c r="AI39" s="525">
        <f t="shared" si="121"/>
        <v>0</v>
      </c>
      <c r="AJ39" s="523"/>
      <c r="AK39" s="524" t="e">
        <f t="shared" si="10"/>
        <v>#DIV/0!</v>
      </c>
      <c r="AL39" s="525">
        <f t="shared" si="122"/>
        <v>0</v>
      </c>
      <c r="AM39" s="523"/>
      <c r="AN39" s="524" t="e">
        <f t="shared" si="11"/>
        <v>#DIV/0!</v>
      </c>
      <c r="AO39" s="525">
        <f t="shared" si="123"/>
        <v>0</v>
      </c>
      <c r="AP39" s="523"/>
      <c r="AQ39" s="524" t="e">
        <f t="shared" si="12"/>
        <v>#DIV/0!</v>
      </c>
      <c r="AR39" s="525">
        <f t="shared" si="124"/>
        <v>0</v>
      </c>
      <c r="AS39" s="523"/>
      <c r="AT39" s="524" t="e">
        <f t="shared" si="13"/>
        <v>#DIV/0!</v>
      </c>
      <c r="AU39" s="525">
        <f t="shared" si="125"/>
        <v>0</v>
      </c>
      <c r="AV39" s="523"/>
      <c r="AW39" s="524" t="e">
        <f t="shared" si="14"/>
        <v>#DIV/0!</v>
      </c>
      <c r="AX39" s="525">
        <f t="shared" si="126"/>
        <v>0</v>
      </c>
      <c r="AY39" s="523"/>
      <c r="AZ39" s="524" t="e">
        <f t="shared" si="15"/>
        <v>#DIV/0!</v>
      </c>
      <c r="BA39" s="525">
        <f t="shared" si="127"/>
        <v>0</v>
      </c>
      <c r="BB39" s="523"/>
      <c r="BC39" s="524" t="e">
        <f t="shared" si="16"/>
        <v>#DIV/0!</v>
      </c>
      <c r="BD39" s="525">
        <f t="shared" si="128"/>
        <v>0</v>
      </c>
      <c r="BE39" s="523"/>
      <c r="BF39" s="524" t="e">
        <f t="shared" si="17"/>
        <v>#DIV/0!</v>
      </c>
      <c r="BG39" s="525">
        <f t="shared" si="129"/>
        <v>0</v>
      </c>
      <c r="BH39" s="523"/>
      <c r="BI39" s="524" t="e">
        <f t="shared" si="18"/>
        <v>#DIV/0!</v>
      </c>
      <c r="BJ39" s="525">
        <f t="shared" si="130"/>
        <v>0</v>
      </c>
      <c r="BK39" s="523"/>
      <c r="BL39" s="524" t="e">
        <f t="shared" si="19"/>
        <v>#DIV/0!</v>
      </c>
      <c r="BM39" s="525">
        <f t="shared" si="131"/>
        <v>0</v>
      </c>
      <c r="BN39" s="523"/>
      <c r="BO39" s="524" t="e">
        <f t="shared" si="20"/>
        <v>#DIV/0!</v>
      </c>
      <c r="BP39" s="525">
        <f t="shared" si="132"/>
        <v>0</v>
      </c>
      <c r="BQ39" s="523"/>
      <c r="BR39" s="524" t="e">
        <f t="shared" si="21"/>
        <v>#DIV/0!</v>
      </c>
      <c r="BS39" s="525">
        <f t="shared" si="133"/>
        <v>0</v>
      </c>
      <c r="BT39" s="523"/>
      <c r="BU39" s="524" t="e">
        <f t="shared" si="22"/>
        <v>#DIV/0!</v>
      </c>
      <c r="BV39" s="525">
        <f t="shared" si="134"/>
        <v>0</v>
      </c>
      <c r="BW39" s="523"/>
      <c r="BX39" s="524" t="e">
        <f t="shared" si="23"/>
        <v>#DIV/0!</v>
      </c>
      <c r="BY39" s="525">
        <f t="shared" si="135"/>
        <v>0</v>
      </c>
      <c r="BZ39" s="523"/>
      <c r="CA39" s="524" t="e">
        <f t="shared" si="24"/>
        <v>#DIV/0!</v>
      </c>
      <c r="CB39" s="525">
        <f t="shared" si="136"/>
        <v>0</v>
      </c>
      <c r="CC39" s="523"/>
      <c r="CD39" s="524" t="e">
        <f t="shared" si="25"/>
        <v>#DIV/0!</v>
      </c>
      <c r="CE39" s="525">
        <f t="shared" si="137"/>
        <v>0</v>
      </c>
      <c r="CF39" s="523"/>
      <c r="CG39" s="524" t="e">
        <f t="shared" si="26"/>
        <v>#DIV/0!</v>
      </c>
      <c r="CH39" s="525">
        <f t="shared" si="138"/>
        <v>0</v>
      </c>
      <c r="CI39" s="523"/>
      <c r="CJ39" s="524" t="e">
        <f t="shared" si="27"/>
        <v>#DIV/0!</v>
      </c>
      <c r="CK39" s="525">
        <f t="shared" si="139"/>
        <v>0</v>
      </c>
      <c r="CL39" s="523"/>
      <c r="CM39" s="524" t="e">
        <f t="shared" si="28"/>
        <v>#DIV/0!</v>
      </c>
      <c r="CN39" s="525">
        <f t="shared" si="140"/>
        <v>0</v>
      </c>
      <c r="CO39" s="523"/>
      <c r="CP39" s="524" t="e">
        <f t="shared" si="29"/>
        <v>#DIV/0!</v>
      </c>
      <c r="CQ39" s="525">
        <f t="shared" si="141"/>
        <v>0</v>
      </c>
      <c r="CR39" s="523"/>
      <c r="CS39" s="524" t="e">
        <f t="shared" si="30"/>
        <v>#DIV/0!</v>
      </c>
      <c r="CT39" s="525">
        <f t="shared" si="142"/>
        <v>0</v>
      </c>
      <c r="CU39" s="523"/>
      <c r="CV39" s="524" t="e">
        <f t="shared" si="31"/>
        <v>#DIV/0!</v>
      </c>
      <c r="CW39" s="525">
        <f t="shared" si="143"/>
        <v>0</v>
      </c>
      <c r="CX39" s="523"/>
      <c r="CY39" s="524" t="e">
        <f t="shared" si="32"/>
        <v>#DIV/0!</v>
      </c>
      <c r="CZ39" s="525">
        <f t="shared" si="144"/>
        <v>0</v>
      </c>
      <c r="DA39" s="523"/>
      <c r="DB39" s="524" t="e">
        <f t="shared" si="33"/>
        <v>#DIV/0!</v>
      </c>
      <c r="DC39" s="525">
        <f t="shared" si="145"/>
        <v>0</v>
      </c>
      <c r="DD39" s="523"/>
      <c r="DE39" s="524" t="e">
        <f t="shared" si="34"/>
        <v>#DIV/0!</v>
      </c>
      <c r="DF39" s="525">
        <f t="shared" si="146"/>
        <v>0</v>
      </c>
      <c r="DG39" s="523"/>
      <c r="DH39" s="524" t="e">
        <f t="shared" si="35"/>
        <v>#DIV/0!</v>
      </c>
      <c r="DI39" s="525">
        <f t="shared" si="203"/>
        <v>0</v>
      </c>
      <c r="DJ39" s="523"/>
      <c r="DK39" s="524" t="e">
        <f t="shared" si="36"/>
        <v>#DIV/0!</v>
      </c>
      <c r="DL39" s="525">
        <f t="shared" si="147"/>
        <v>0</v>
      </c>
      <c r="DM39" s="523"/>
      <c r="DN39" s="524" t="e">
        <f t="shared" si="37"/>
        <v>#DIV/0!</v>
      </c>
      <c r="DO39" s="525">
        <f t="shared" si="148"/>
        <v>0</v>
      </c>
      <c r="DP39" s="523"/>
      <c r="DQ39" s="524" t="e">
        <f t="shared" si="38"/>
        <v>#DIV/0!</v>
      </c>
      <c r="DR39" s="525">
        <f t="shared" si="149"/>
        <v>0</v>
      </c>
      <c r="DS39" s="523"/>
      <c r="DT39" s="524" t="e">
        <f t="shared" si="39"/>
        <v>#DIV/0!</v>
      </c>
      <c r="DU39" s="525">
        <f t="shared" si="150"/>
        <v>0</v>
      </c>
      <c r="DV39" s="523"/>
      <c r="DW39" s="524" t="e">
        <f t="shared" si="40"/>
        <v>#DIV/0!</v>
      </c>
      <c r="DX39" s="525">
        <f t="shared" si="151"/>
        <v>0</v>
      </c>
      <c r="DY39" s="523"/>
      <c r="DZ39" s="524" t="e">
        <f t="shared" si="41"/>
        <v>#DIV/0!</v>
      </c>
      <c r="EA39" s="525">
        <f t="shared" si="152"/>
        <v>0</v>
      </c>
      <c r="EB39" s="523"/>
      <c r="EC39" s="524" t="e">
        <f t="shared" si="42"/>
        <v>#DIV/0!</v>
      </c>
      <c r="ED39" s="525">
        <f t="shared" si="153"/>
        <v>0</v>
      </c>
      <c r="EE39" s="523"/>
      <c r="EF39" s="524" t="e">
        <f t="shared" si="43"/>
        <v>#DIV/0!</v>
      </c>
      <c r="EG39" s="525">
        <f t="shared" si="154"/>
        <v>0</v>
      </c>
      <c r="EH39" s="523"/>
      <c r="EI39" s="524" t="e">
        <f t="shared" si="44"/>
        <v>#DIV/0!</v>
      </c>
      <c r="EJ39" s="525">
        <f t="shared" si="155"/>
        <v>0</v>
      </c>
      <c r="EK39" s="523"/>
      <c r="EL39" s="524" t="e">
        <f t="shared" si="45"/>
        <v>#DIV/0!</v>
      </c>
      <c r="EM39" s="525">
        <f t="shared" si="156"/>
        <v>0</v>
      </c>
      <c r="EN39" s="523"/>
      <c r="EO39" s="524" t="e">
        <f t="shared" si="46"/>
        <v>#DIV/0!</v>
      </c>
      <c r="EP39" s="525">
        <f t="shared" si="157"/>
        <v>0</v>
      </c>
      <c r="EQ39" s="523"/>
      <c r="ER39" s="524" t="e">
        <f t="shared" si="47"/>
        <v>#DIV/0!</v>
      </c>
      <c r="ES39" s="525">
        <f t="shared" si="158"/>
        <v>0</v>
      </c>
      <c r="ET39" s="523"/>
      <c r="EU39" s="524" t="e">
        <f t="shared" si="48"/>
        <v>#DIV/0!</v>
      </c>
      <c r="EV39" s="525">
        <f t="shared" si="159"/>
        <v>0</v>
      </c>
      <c r="EW39" s="523"/>
      <c r="EX39" s="524" t="e">
        <f t="shared" si="49"/>
        <v>#DIV/0!</v>
      </c>
      <c r="EY39" s="525">
        <f t="shared" si="160"/>
        <v>0</v>
      </c>
      <c r="EZ39" s="523"/>
      <c r="FA39" s="524" t="e">
        <f t="shared" si="50"/>
        <v>#DIV/0!</v>
      </c>
      <c r="FB39" s="525">
        <f t="shared" si="161"/>
        <v>0</v>
      </c>
      <c r="FC39" s="523"/>
      <c r="FD39" s="524" t="e">
        <f t="shared" si="51"/>
        <v>#DIV/0!</v>
      </c>
      <c r="FE39" s="525">
        <f t="shared" si="162"/>
        <v>0</v>
      </c>
      <c r="FF39" s="523"/>
      <c r="FG39" s="524" t="e">
        <f t="shared" si="52"/>
        <v>#DIV/0!</v>
      </c>
      <c r="FH39" s="525">
        <f t="shared" si="163"/>
        <v>0</v>
      </c>
      <c r="FI39" s="523"/>
      <c r="FJ39" s="524" t="e">
        <f t="shared" si="53"/>
        <v>#DIV/0!</v>
      </c>
      <c r="FK39" s="525">
        <f t="shared" si="164"/>
        <v>0</v>
      </c>
      <c r="FL39" s="523"/>
      <c r="FM39" s="524" t="e">
        <f t="shared" si="54"/>
        <v>#DIV/0!</v>
      </c>
      <c r="FN39" s="525">
        <f t="shared" si="165"/>
        <v>0</v>
      </c>
      <c r="FO39" s="523"/>
      <c r="FP39" s="524" t="e">
        <f t="shared" si="55"/>
        <v>#DIV/0!</v>
      </c>
      <c r="FQ39" s="525">
        <f t="shared" si="166"/>
        <v>0</v>
      </c>
      <c r="FR39" s="523"/>
      <c r="FS39" s="524" t="e">
        <f t="shared" si="56"/>
        <v>#DIV/0!</v>
      </c>
      <c r="FT39" s="525">
        <f t="shared" si="167"/>
        <v>0</v>
      </c>
      <c r="FU39" s="523"/>
      <c r="FV39" s="524" t="e">
        <f t="shared" si="57"/>
        <v>#DIV/0!</v>
      </c>
      <c r="FW39" s="525">
        <f t="shared" si="168"/>
        <v>0</v>
      </c>
      <c r="FX39" s="523"/>
      <c r="FY39" s="524" t="e">
        <f t="shared" si="58"/>
        <v>#DIV/0!</v>
      </c>
      <c r="FZ39" s="525">
        <f t="shared" si="169"/>
        <v>0</v>
      </c>
      <c r="GA39" s="523"/>
      <c r="GB39" s="524" t="e">
        <f t="shared" si="59"/>
        <v>#DIV/0!</v>
      </c>
      <c r="GC39" s="525">
        <f t="shared" si="170"/>
        <v>0</v>
      </c>
      <c r="GD39" s="523"/>
      <c r="GE39" s="524" t="e">
        <f t="shared" si="60"/>
        <v>#DIV/0!</v>
      </c>
      <c r="GF39" s="525">
        <f t="shared" si="171"/>
        <v>0</v>
      </c>
      <c r="GG39" s="523"/>
      <c r="GH39" s="524" t="e">
        <f t="shared" si="61"/>
        <v>#DIV/0!</v>
      </c>
      <c r="GI39" s="525">
        <f t="shared" si="172"/>
        <v>0</v>
      </c>
      <c r="GJ39" s="523"/>
      <c r="GK39" s="524" t="e">
        <f t="shared" si="62"/>
        <v>#DIV/0!</v>
      </c>
      <c r="GL39" s="525">
        <f t="shared" si="173"/>
        <v>0</v>
      </c>
      <c r="GM39" s="523"/>
      <c r="GN39" s="524" t="e">
        <f t="shared" si="63"/>
        <v>#DIV/0!</v>
      </c>
      <c r="GO39" s="525">
        <f t="shared" si="174"/>
        <v>0</v>
      </c>
      <c r="GP39" s="523"/>
      <c r="GQ39" s="524" t="e">
        <f t="shared" si="64"/>
        <v>#DIV/0!</v>
      </c>
      <c r="GR39" s="525">
        <f t="shared" si="175"/>
        <v>0</v>
      </c>
      <c r="GS39" s="523"/>
      <c r="GT39" s="524" t="e">
        <f t="shared" si="65"/>
        <v>#DIV/0!</v>
      </c>
      <c r="GU39" s="525">
        <f t="shared" si="176"/>
        <v>0</v>
      </c>
      <c r="GV39" s="523"/>
      <c r="GW39" s="524" t="e">
        <f t="shared" si="66"/>
        <v>#DIV/0!</v>
      </c>
      <c r="GX39" s="525">
        <f t="shared" si="177"/>
        <v>0</v>
      </c>
      <c r="GY39" s="523"/>
      <c r="GZ39" s="524" t="e">
        <f t="shared" si="67"/>
        <v>#DIV/0!</v>
      </c>
      <c r="HA39" s="525">
        <f t="shared" si="178"/>
        <v>0</v>
      </c>
      <c r="HB39" s="523"/>
      <c r="HC39" s="524" t="e">
        <f t="shared" si="68"/>
        <v>#DIV/0!</v>
      </c>
      <c r="HD39" s="525">
        <f t="shared" si="179"/>
        <v>0</v>
      </c>
      <c r="HE39" s="523"/>
      <c r="HF39" s="524" t="e">
        <f t="shared" si="69"/>
        <v>#DIV/0!</v>
      </c>
      <c r="HG39" s="525">
        <f t="shared" si="180"/>
        <v>0</v>
      </c>
      <c r="HH39" s="523"/>
      <c r="HI39" s="524" t="e">
        <f t="shared" si="70"/>
        <v>#DIV/0!</v>
      </c>
      <c r="HJ39" s="525">
        <f t="shared" si="181"/>
        <v>0</v>
      </c>
      <c r="HK39" s="523"/>
      <c r="HL39" s="524" t="e">
        <f t="shared" si="71"/>
        <v>#DIV/0!</v>
      </c>
      <c r="HM39" s="525">
        <f t="shared" si="182"/>
        <v>0</v>
      </c>
      <c r="HN39" s="523"/>
      <c r="HO39" s="524" t="e">
        <f t="shared" si="72"/>
        <v>#DIV/0!</v>
      </c>
      <c r="HP39" s="525">
        <f t="shared" si="183"/>
        <v>0</v>
      </c>
      <c r="HQ39" s="523"/>
      <c r="HR39" s="524" t="e">
        <f t="shared" si="73"/>
        <v>#DIV/0!</v>
      </c>
      <c r="HS39" s="525">
        <f t="shared" si="184"/>
        <v>0</v>
      </c>
      <c r="HT39" s="523"/>
      <c r="HU39" s="524" t="e">
        <f t="shared" si="74"/>
        <v>#DIV/0!</v>
      </c>
      <c r="HV39" s="525">
        <f t="shared" si="185"/>
        <v>0</v>
      </c>
      <c r="HW39" s="523"/>
      <c r="HX39" s="524" t="e">
        <f t="shared" si="75"/>
        <v>#DIV/0!</v>
      </c>
      <c r="HY39" s="525">
        <f t="shared" si="186"/>
        <v>0</v>
      </c>
      <c r="HZ39" s="523"/>
      <c r="IA39" s="524" t="e">
        <f t="shared" si="76"/>
        <v>#DIV/0!</v>
      </c>
      <c r="IB39" s="525">
        <f t="shared" si="187"/>
        <v>0</v>
      </c>
      <c r="IC39" s="523"/>
      <c r="ID39" s="524" t="e">
        <f t="shared" si="77"/>
        <v>#DIV/0!</v>
      </c>
      <c r="IE39" s="525">
        <f t="shared" si="188"/>
        <v>0</v>
      </c>
      <c r="IF39" s="523"/>
      <c r="IG39" s="524" t="e">
        <f t="shared" si="78"/>
        <v>#DIV/0!</v>
      </c>
      <c r="IH39" s="525">
        <f t="shared" si="189"/>
        <v>0</v>
      </c>
      <c r="II39" s="523"/>
      <c r="IJ39" s="524" t="e">
        <f t="shared" si="79"/>
        <v>#DIV/0!</v>
      </c>
      <c r="IK39" s="525">
        <f t="shared" si="190"/>
        <v>0</v>
      </c>
      <c r="IL39" s="523"/>
      <c r="IM39" s="524" t="e">
        <f t="shared" si="80"/>
        <v>#DIV/0!</v>
      </c>
      <c r="IN39" s="525">
        <f t="shared" si="191"/>
        <v>0</v>
      </c>
      <c r="IO39" s="523"/>
      <c r="IP39" s="524" t="e">
        <f t="shared" si="81"/>
        <v>#DIV/0!</v>
      </c>
      <c r="IQ39" s="525">
        <f t="shared" si="192"/>
        <v>0</v>
      </c>
      <c r="IR39" s="523"/>
      <c r="IS39" s="524" t="e">
        <f t="shared" si="82"/>
        <v>#DIV/0!</v>
      </c>
      <c r="IT39" s="525">
        <f t="shared" si="193"/>
        <v>0</v>
      </c>
      <c r="IU39" s="523"/>
      <c r="IV39" s="524" t="e">
        <f t="shared" si="83"/>
        <v>#DIV/0!</v>
      </c>
      <c r="IW39" s="525">
        <f t="shared" si="194"/>
        <v>0</v>
      </c>
      <c r="IX39" s="523"/>
      <c r="IY39" s="524" t="e">
        <f t="shared" si="84"/>
        <v>#DIV/0!</v>
      </c>
      <c r="IZ39" s="525">
        <f t="shared" si="195"/>
        <v>0</v>
      </c>
      <c r="JA39" s="523"/>
      <c r="JB39" s="524" t="e">
        <f t="shared" si="85"/>
        <v>#DIV/0!</v>
      </c>
      <c r="JC39" s="525">
        <f t="shared" si="196"/>
        <v>0</v>
      </c>
      <c r="JD39" s="523"/>
      <c r="JE39" s="524" t="e">
        <f t="shared" si="86"/>
        <v>#DIV/0!</v>
      </c>
      <c r="JF39" s="525">
        <f t="shared" si="197"/>
        <v>0</v>
      </c>
      <c r="JG39" s="523"/>
      <c r="JH39" s="524" t="e">
        <f t="shared" si="87"/>
        <v>#DIV/0!</v>
      </c>
      <c r="JI39" s="525">
        <f t="shared" si="198"/>
        <v>0</v>
      </c>
      <c r="JJ39" s="523"/>
      <c r="JK39" s="525" t="str">
        <f t="shared" si="88"/>
        <v>0</v>
      </c>
      <c r="JL39" s="525" t="str">
        <f t="shared" si="89"/>
        <v>0</v>
      </c>
      <c r="JM39" s="523"/>
      <c r="JN39" s="525" t="str">
        <f t="shared" si="90"/>
        <v>0</v>
      </c>
      <c r="JO39" s="525" t="str">
        <f t="shared" si="91"/>
        <v>0</v>
      </c>
      <c r="JP39" s="523"/>
      <c r="JQ39" s="525" t="str">
        <f t="shared" si="92"/>
        <v>0</v>
      </c>
      <c r="JR39" s="525" t="str">
        <f t="shared" si="93"/>
        <v>0</v>
      </c>
      <c r="JS39" s="523"/>
      <c r="JT39" s="525" t="str">
        <f t="shared" si="94"/>
        <v>0</v>
      </c>
      <c r="JU39" s="525" t="str">
        <f t="shared" si="95"/>
        <v>0</v>
      </c>
      <c r="JV39" s="523"/>
      <c r="JW39" s="525" t="str">
        <f t="shared" si="96"/>
        <v>0</v>
      </c>
      <c r="JX39" s="525" t="str">
        <f t="shared" si="97"/>
        <v>0</v>
      </c>
      <c r="JY39" s="523"/>
      <c r="JZ39" s="525" t="str">
        <f t="shared" si="98"/>
        <v>0</v>
      </c>
      <c r="KA39" s="525" t="str">
        <f t="shared" si="99"/>
        <v>0</v>
      </c>
      <c r="KB39" s="523"/>
      <c r="KC39" s="525" t="str">
        <f t="shared" si="100"/>
        <v>0</v>
      </c>
      <c r="KD39" s="525" t="str">
        <f t="shared" si="101"/>
        <v>0</v>
      </c>
      <c r="KE39" s="523"/>
      <c r="KF39" s="525" t="str">
        <f t="shared" si="102"/>
        <v>0</v>
      </c>
      <c r="KG39" s="525" t="str">
        <f t="shared" si="103"/>
        <v>0</v>
      </c>
      <c r="KH39" s="523"/>
      <c r="KI39" s="525" t="str">
        <f t="shared" si="104"/>
        <v>0</v>
      </c>
      <c r="KJ39" s="525" t="str">
        <f t="shared" si="105"/>
        <v>0</v>
      </c>
      <c r="KK39" s="523"/>
      <c r="KL39" s="525" t="str">
        <f t="shared" si="106"/>
        <v>0</v>
      </c>
      <c r="KM39" s="525" t="str">
        <f t="shared" si="107"/>
        <v>0</v>
      </c>
      <c r="KN39" s="523"/>
      <c r="KO39" s="525" t="str">
        <f t="shared" si="108"/>
        <v>0</v>
      </c>
      <c r="KP39" s="525" t="str">
        <f t="shared" si="109"/>
        <v>0</v>
      </c>
      <c r="KQ39" s="523"/>
      <c r="KR39" s="525" t="str">
        <f t="shared" si="110"/>
        <v>0</v>
      </c>
      <c r="KS39" s="525" t="str">
        <f t="shared" si="111"/>
        <v>0</v>
      </c>
      <c r="KT39" s="525">
        <f t="shared" si="201"/>
        <v>0</v>
      </c>
      <c r="KU39" s="525">
        <f t="shared" si="202"/>
        <v>0</v>
      </c>
      <c r="KV39" s="261">
        <f t="shared" si="199"/>
        <v>0</v>
      </c>
    </row>
    <row r="40" spans="1:308" ht="15" customHeight="1" thickBot="1">
      <c r="A40" s="265"/>
      <c r="B40" s="266"/>
      <c r="C40" s="267"/>
      <c r="D40" s="267"/>
      <c r="E40" s="556"/>
      <c r="F40" s="523"/>
      <c r="G40" s="524"/>
      <c r="H40" s="525"/>
      <c r="I40" s="523"/>
      <c r="J40" s="524"/>
      <c r="K40" s="525"/>
      <c r="L40" s="523"/>
      <c r="M40" s="524"/>
      <c r="N40" s="525"/>
      <c r="O40" s="523"/>
      <c r="P40" s="524"/>
      <c r="Q40" s="525"/>
      <c r="R40" s="523"/>
      <c r="S40" s="524"/>
      <c r="T40" s="525"/>
      <c r="U40" s="523"/>
      <c r="V40" s="524"/>
      <c r="W40" s="525"/>
      <c r="X40" s="523"/>
      <c r="Y40" s="524"/>
      <c r="Z40" s="525"/>
      <c r="AA40" s="523"/>
      <c r="AB40" s="524"/>
      <c r="AC40" s="525"/>
      <c r="AD40" s="523"/>
      <c r="AE40" s="524"/>
      <c r="AF40" s="525"/>
      <c r="AG40" s="523"/>
      <c r="AH40" s="524"/>
      <c r="AI40" s="525"/>
      <c r="AJ40" s="523"/>
      <c r="AK40" s="524"/>
      <c r="AL40" s="525"/>
      <c r="AM40" s="523"/>
      <c r="AN40" s="524"/>
      <c r="AO40" s="525"/>
      <c r="AP40" s="523"/>
      <c r="AQ40" s="524"/>
      <c r="AR40" s="525"/>
      <c r="AS40" s="523"/>
      <c r="AT40" s="524"/>
      <c r="AU40" s="525"/>
      <c r="AV40" s="523"/>
      <c r="AW40" s="524"/>
      <c r="AX40" s="525"/>
      <c r="AY40" s="523"/>
      <c r="AZ40" s="524"/>
      <c r="BA40" s="525"/>
      <c r="BB40" s="523"/>
      <c r="BC40" s="524"/>
      <c r="BD40" s="525"/>
      <c r="BE40" s="523"/>
      <c r="BF40" s="524"/>
      <c r="BG40" s="525"/>
      <c r="BH40" s="523"/>
      <c r="BI40" s="524"/>
      <c r="BJ40" s="525"/>
      <c r="BK40" s="523"/>
      <c r="BL40" s="524"/>
      <c r="BM40" s="525"/>
      <c r="BN40" s="523"/>
      <c r="BO40" s="524"/>
      <c r="BP40" s="525"/>
      <c r="BQ40" s="523"/>
      <c r="BR40" s="524"/>
      <c r="BS40" s="525"/>
      <c r="BT40" s="523"/>
      <c r="BU40" s="524"/>
      <c r="BV40" s="525"/>
      <c r="BW40" s="523"/>
      <c r="BX40" s="524"/>
      <c r="BY40" s="525"/>
      <c r="BZ40" s="523"/>
      <c r="CA40" s="524"/>
      <c r="CB40" s="525"/>
      <c r="CC40" s="523"/>
      <c r="CD40" s="524"/>
      <c r="CE40" s="525"/>
      <c r="CF40" s="523"/>
      <c r="CG40" s="524"/>
      <c r="CH40" s="525"/>
      <c r="CI40" s="523"/>
      <c r="CJ40" s="524"/>
      <c r="CK40" s="525"/>
      <c r="CL40" s="523"/>
      <c r="CM40" s="524"/>
      <c r="CN40" s="525"/>
      <c r="CO40" s="523"/>
      <c r="CP40" s="524"/>
      <c r="CQ40" s="525"/>
      <c r="CR40" s="523"/>
      <c r="CS40" s="524"/>
      <c r="CT40" s="525"/>
      <c r="CU40" s="523"/>
      <c r="CV40" s="524"/>
      <c r="CW40" s="525"/>
      <c r="CX40" s="523"/>
      <c r="CY40" s="524"/>
      <c r="CZ40" s="525"/>
      <c r="DA40" s="523"/>
      <c r="DB40" s="524"/>
      <c r="DC40" s="525"/>
      <c r="DD40" s="523"/>
      <c r="DE40" s="524"/>
      <c r="DF40" s="525"/>
      <c r="DG40" s="523"/>
      <c r="DH40" s="524"/>
      <c r="DI40" s="525"/>
      <c r="DJ40" s="523"/>
      <c r="DK40" s="524"/>
      <c r="DL40" s="525"/>
      <c r="DM40" s="523"/>
      <c r="DN40" s="524"/>
      <c r="DO40" s="525"/>
      <c r="DP40" s="523"/>
      <c r="DQ40" s="524"/>
      <c r="DR40" s="525"/>
      <c r="DS40" s="523"/>
      <c r="DT40" s="524"/>
      <c r="DU40" s="525"/>
      <c r="DV40" s="523"/>
      <c r="DW40" s="524"/>
      <c r="DX40" s="525"/>
      <c r="DY40" s="523"/>
      <c r="DZ40" s="524"/>
      <c r="EA40" s="525"/>
      <c r="EB40" s="523"/>
      <c r="EC40" s="524"/>
      <c r="ED40" s="525"/>
      <c r="EE40" s="523"/>
      <c r="EF40" s="524"/>
      <c r="EG40" s="525"/>
      <c r="EH40" s="523"/>
      <c r="EI40" s="524"/>
      <c r="EJ40" s="525"/>
      <c r="EK40" s="523"/>
      <c r="EL40" s="524"/>
      <c r="EM40" s="525"/>
      <c r="EN40" s="523"/>
      <c r="EO40" s="524"/>
      <c r="EP40" s="525"/>
      <c r="EQ40" s="523"/>
      <c r="ER40" s="524"/>
      <c r="ES40" s="525"/>
      <c r="ET40" s="523"/>
      <c r="EU40" s="524"/>
      <c r="EV40" s="525"/>
      <c r="EW40" s="523"/>
      <c r="EX40" s="524"/>
      <c r="EY40" s="525"/>
      <c r="EZ40" s="523"/>
      <c r="FA40" s="524"/>
      <c r="FB40" s="525"/>
      <c r="FC40" s="523"/>
      <c r="FD40" s="524"/>
      <c r="FE40" s="525"/>
      <c r="FF40" s="523"/>
      <c r="FG40" s="524"/>
      <c r="FH40" s="525"/>
      <c r="FI40" s="523"/>
      <c r="FJ40" s="524"/>
      <c r="FK40" s="525"/>
      <c r="FL40" s="523"/>
      <c r="FM40" s="524"/>
      <c r="FN40" s="525"/>
      <c r="FO40" s="523"/>
      <c r="FP40" s="524"/>
      <c r="FQ40" s="525"/>
      <c r="FR40" s="523"/>
      <c r="FS40" s="524"/>
      <c r="FT40" s="525"/>
      <c r="FU40" s="523"/>
      <c r="FV40" s="524"/>
      <c r="FW40" s="525"/>
      <c r="FX40" s="523"/>
      <c r="FY40" s="524"/>
      <c r="FZ40" s="525"/>
      <c r="GA40" s="523"/>
      <c r="GB40" s="524"/>
      <c r="GC40" s="525"/>
      <c r="GD40" s="523"/>
      <c r="GE40" s="524"/>
      <c r="GF40" s="525"/>
      <c r="GG40" s="523"/>
      <c r="GH40" s="524"/>
      <c r="GI40" s="525"/>
      <c r="GJ40" s="523"/>
      <c r="GK40" s="524"/>
      <c r="GL40" s="525"/>
      <c r="GM40" s="523"/>
      <c r="GN40" s="524"/>
      <c r="GO40" s="525"/>
      <c r="GP40" s="523"/>
      <c r="GQ40" s="524"/>
      <c r="GR40" s="525"/>
      <c r="GS40" s="523"/>
      <c r="GT40" s="524"/>
      <c r="GU40" s="525"/>
      <c r="GV40" s="523"/>
      <c r="GW40" s="524"/>
      <c r="GX40" s="525"/>
      <c r="GY40" s="523"/>
      <c r="GZ40" s="524"/>
      <c r="HA40" s="525"/>
      <c r="HB40" s="523"/>
      <c r="HC40" s="524"/>
      <c r="HD40" s="525"/>
      <c r="HE40" s="523"/>
      <c r="HF40" s="524"/>
      <c r="HG40" s="525"/>
      <c r="HH40" s="523"/>
      <c r="HI40" s="524"/>
      <c r="HJ40" s="525"/>
      <c r="HK40" s="523"/>
      <c r="HL40" s="524"/>
      <c r="HM40" s="525"/>
      <c r="HN40" s="523"/>
      <c r="HO40" s="524"/>
      <c r="HP40" s="525"/>
      <c r="HQ40" s="523"/>
      <c r="HR40" s="524"/>
      <c r="HS40" s="525"/>
      <c r="HT40" s="523"/>
      <c r="HU40" s="524"/>
      <c r="HV40" s="525"/>
      <c r="HW40" s="523"/>
      <c r="HX40" s="524"/>
      <c r="HY40" s="525"/>
      <c r="HZ40" s="523"/>
      <c r="IA40" s="524"/>
      <c r="IB40" s="525"/>
      <c r="IC40" s="523"/>
      <c r="ID40" s="524"/>
      <c r="IE40" s="525"/>
      <c r="IF40" s="523"/>
      <c r="IG40" s="524"/>
      <c r="IH40" s="525"/>
      <c r="II40" s="523"/>
      <c r="IJ40" s="524"/>
      <c r="IK40" s="525"/>
      <c r="IL40" s="523"/>
      <c r="IM40" s="524"/>
      <c r="IN40" s="525"/>
      <c r="IO40" s="523"/>
      <c r="IP40" s="524"/>
      <c r="IQ40" s="525"/>
      <c r="IR40" s="523"/>
      <c r="IS40" s="524"/>
      <c r="IT40" s="525"/>
      <c r="IU40" s="523"/>
      <c r="IV40" s="524"/>
      <c r="IW40" s="525"/>
      <c r="IX40" s="523"/>
      <c r="IY40" s="524"/>
      <c r="IZ40" s="525"/>
      <c r="JA40" s="523"/>
      <c r="JB40" s="524"/>
      <c r="JC40" s="525"/>
      <c r="JD40" s="523"/>
      <c r="JE40" s="524"/>
      <c r="JF40" s="525"/>
      <c r="JG40" s="523"/>
      <c r="JH40" s="524"/>
      <c r="JI40" s="525"/>
      <c r="JJ40" s="523"/>
      <c r="JK40" s="525"/>
      <c r="JL40" s="525"/>
      <c r="JM40" s="523"/>
      <c r="JN40" s="525"/>
      <c r="JO40" s="525"/>
      <c r="JP40" s="523"/>
      <c r="JQ40" s="525"/>
      <c r="JR40" s="525"/>
      <c r="JS40" s="523"/>
      <c r="JT40" s="525"/>
      <c r="JU40" s="525"/>
      <c r="JV40" s="523"/>
      <c r="JW40" s="525"/>
      <c r="JX40" s="525"/>
      <c r="JY40" s="523"/>
      <c r="JZ40" s="525"/>
      <c r="KA40" s="525"/>
      <c r="KB40" s="523"/>
      <c r="KC40" s="525"/>
      <c r="KD40" s="525"/>
      <c r="KE40" s="523"/>
      <c r="KF40" s="525"/>
      <c r="KG40" s="525"/>
      <c r="KH40" s="523"/>
      <c r="KI40" s="525"/>
      <c r="KJ40" s="525"/>
      <c r="KK40" s="523"/>
      <c r="KL40" s="525"/>
      <c r="KM40" s="525"/>
      <c r="KN40" s="523"/>
      <c r="KO40" s="525"/>
      <c r="KP40" s="525"/>
      <c r="KQ40" s="523"/>
      <c r="KR40" s="525"/>
      <c r="KS40" s="525"/>
      <c r="KT40" s="525"/>
      <c r="KU40" s="525"/>
      <c r="KV40" s="261"/>
    </row>
    <row r="41" spans="1:308" s="528" customFormat="1" ht="15" customHeight="1" thickTop="1" thickBot="1">
      <c r="A41" s="721" t="s">
        <v>28</v>
      </c>
      <c r="B41" s="722"/>
      <c r="C41" s="723"/>
      <c r="D41" s="557">
        <f>SUM(D9:D40)</f>
        <v>1169.921</v>
      </c>
      <c r="E41" s="556">
        <v>0</v>
      </c>
      <c r="F41" s="526">
        <f>SUM(F9:F39)</f>
        <v>0</v>
      </c>
      <c r="G41" s="526">
        <f>IFERROR((F41/$L$41),0)</f>
        <v>0</v>
      </c>
      <c r="H41" s="526">
        <f>IFERROR(((F41*H$8)/$L$41),0)</f>
        <v>0</v>
      </c>
      <c r="I41" s="526">
        <f>SUM(I9:I39)</f>
        <v>3953.4883720930234</v>
      </c>
      <c r="J41" s="526">
        <f>IFERROR((I41/$L$41),0)</f>
        <v>0</v>
      </c>
      <c r="K41" s="526">
        <f>IFERROR(((I41*K$8)/$L$41),0)</f>
        <v>0</v>
      </c>
      <c r="L41" s="526">
        <f>SUM(L9:L39)</f>
        <v>0</v>
      </c>
      <c r="M41" s="526">
        <f>IFERROR((L41/$L$41),0)</f>
        <v>0</v>
      </c>
      <c r="N41" s="526">
        <f>IFERROR(((L41*N$8)/$L$41),0)</f>
        <v>0</v>
      </c>
      <c r="O41" s="526">
        <f>SUM(O9:O39)</f>
        <v>173.88480000000001</v>
      </c>
      <c r="P41" s="526">
        <f>IFERROR((O41/$L$41),0)</f>
        <v>0</v>
      </c>
      <c r="Q41" s="526">
        <f>IFERROR(((O41*Q$8)/$L$41),0)</f>
        <v>0</v>
      </c>
      <c r="R41" s="526">
        <f>SUM(R9:R39)</f>
        <v>0</v>
      </c>
      <c r="S41" s="526">
        <f>IFERROR((R41/$L$41),0)</f>
        <v>0</v>
      </c>
      <c r="T41" s="526">
        <f>IFERROR(((R41*T$8)/$L$41),0)</f>
        <v>0</v>
      </c>
      <c r="U41" s="526">
        <f>SUM(U9:U39)</f>
        <v>176.7149</v>
      </c>
      <c r="V41" s="526">
        <f>IFERROR((U41/$L$41),0)</f>
        <v>0</v>
      </c>
      <c r="W41" s="526">
        <f>IFERROR(((U41*W$8)/$L$41),0)</f>
        <v>0</v>
      </c>
      <c r="X41" s="526">
        <f>SUM(X9:X39)</f>
        <v>0</v>
      </c>
      <c r="Y41" s="526">
        <f>IFERROR((X41/$L$41),0)</f>
        <v>0</v>
      </c>
      <c r="Z41" s="526">
        <f>IFERROR(((X41*Z$8)/$L$41),0)</f>
        <v>0</v>
      </c>
      <c r="AA41" s="526">
        <f>SUM(AA9:AA39)</f>
        <v>265.625</v>
      </c>
      <c r="AB41" s="526">
        <f>IFERROR((AA41/$L$41),0)</f>
        <v>0</v>
      </c>
      <c r="AC41" s="526">
        <f>IFERROR(((AA41*AC$8)/$L$41),0)</f>
        <v>0</v>
      </c>
      <c r="AD41" s="526">
        <f>SUM(AD9:AD39)</f>
        <v>0</v>
      </c>
      <c r="AE41" s="526">
        <f>IFERROR((AD41/$L$41),0)</f>
        <v>0</v>
      </c>
      <c r="AF41" s="526">
        <f>IFERROR(((AD41*AF$8)/$L$41),0)</f>
        <v>0</v>
      </c>
      <c r="AG41" s="526">
        <f>SUM(AG9:AG39)</f>
        <v>0</v>
      </c>
      <c r="AH41" s="526">
        <f>IFERROR((AG41/$L$41),0)</f>
        <v>0</v>
      </c>
      <c r="AI41" s="526">
        <f>IFERROR(((AG41*AI$8)/$L$41),0)</f>
        <v>0</v>
      </c>
      <c r="AJ41" s="526">
        <f>SUM(AJ9:AJ39)</f>
        <v>0</v>
      </c>
      <c r="AK41" s="526">
        <f>IFERROR((AJ41/$L$41),0)</f>
        <v>0</v>
      </c>
      <c r="AL41" s="526">
        <f>IFERROR(((AJ41*AL$8)/$L$41),0)</f>
        <v>0</v>
      </c>
      <c r="AM41" s="526">
        <f>SUM(AM9:AM39)</f>
        <v>0</v>
      </c>
      <c r="AN41" s="526">
        <f>IFERROR((AM41/$L$41),0)</f>
        <v>0</v>
      </c>
      <c r="AO41" s="526">
        <f>IFERROR(((AM41*AO$8)/$L$41),0)</f>
        <v>0</v>
      </c>
      <c r="AP41" s="526">
        <f>SUM(AP9:AP39)</f>
        <v>0</v>
      </c>
      <c r="AQ41" s="526">
        <f>IFERROR((AP41/$L$41),0)</f>
        <v>0</v>
      </c>
      <c r="AR41" s="526">
        <f>IFERROR(((AP41*AR$8)/$L$41),0)</f>
        <v>0</v>
      </c>
      <c r="AS41" s="526">
        <f>SUM(AS9:AS39)</f>
        <v>0</v>
      </c>
      <c r="AT41" s="526">
        <f>IFERROR((AS41/$L$41),0)</f>
        <v>0</v>
      </c>
      <c r="AU41" s="526">
        <f>IFERROR(((AS41*AU$8)/$L$41),0)</f>
        <v>0</v>
      </c>
      <c r="AV41" s="526">
        <f>SUM(AV9:AV39)</f>
        <v>0</v>
      </c>
      <c r="AW41" s="526">
        <f>IFERROR((AV41/$L$41),0)</f>
        <v>0</v>
      </c>
      <c r="AX41" s="526">
        <f>IFERROR(((AV41*AX$8)/$L$41),0)</f>
        <v>0</v>
      </c>
      <c r="AY41" s="526">
        <f>SUM(AY9:AY39)</f>
        <v>3.4368000000000052</v>
      </c>
      <c r="AZ41" s="526">
        <f>IFERROR((AY41/$L$41),0)</f>
        <v>0</v>
      </c>
      <c r="BA41" s="526">
        <f>IFERROR(((AY41*BA$8)/$L$41),0)</f>
        <v>0</v>
      </c>
      <c r="BB41" s="526">
        <f>SUM(BB9:BB39)</f>
        <v>0</v>
      </c>
      <c r="BC41" s="526">
        <f>IFERROR((BB41/$L$41),0)</f>
        <v>0</v>
      </c>
      <c r="BD41" s="526">
        <f>IFERROR(((BB41*BD$8)/$L$41),0)</f>
        <v>0</v>
      </c>
      <c r="BE41" s="526">
        <f>SUM(BE9:BE39)</f>
        <v>0</v>
      </c>
      <c r="BF41" s="526">
        <f>IFERROR((BE41/$L$41),0)</f>
        <v>0</v>
      </c>
      <c r="BG41" s="526">
        <f>IFERROR(((BE41*BG$8)/$L$41),0)</f>
        <v>0</v>
      </c>
      <c r="BH41" s="526">
        <f>SUM(BH9:BH39)</f>
        <v>0</v>
      </c>
      <c r="BI41" s="526">
        <f>IFERROR((BH41/$L$41),0)</f>
        <v>0</v>
      </c>
      <c r="BJ41" s="526">
        <f>IFERROR(((BH41*BJ$8)/$L$41),0)</f>
        <v>0</v>
      </c>
      <c r="BK41" s="526">
        <f>SUM(BK9:BK39)</f>
        <v>0</v>
      </c>
      <c r="BL41" s="526">
        <f>IFERROR((BK41/$L$41),0)</f>
        <v>0</v>
      </c>
      <c r="BM41" s="526">
        <f>IFERROR(((BK41*BM$8)/$L$41),0)</f>
        <v>0</v>
      </c>
      <c r="BN41" s="526">
        <f>SUM(BN9:BN39)</f>
        <v>0</v>
      </c>
      <c r="BO41" s="526">
        <f>IFERROR((BN41/$L$41),0)</f>
        <v>0</v>
      </c>
      <c r="BP41" s="526">
        <f>IFERROR(((BN41*BP$8)/$L$41),0)</f>
        <v>0</v>
      </c>
      <c r="BQ41" s="526">
        <f>SUM(BQ9:BQ39)</f>
        <v>2600.0000000000005</v>
      </c>
      <c r="BR41" s="526">
        <f>IFERROR((BQ41/$L$41),0)</f>
        <v>0</v>
      </c>
      <c r="BS41" s="526">
        <f>IFERROR(((BQ41*BS$8)/$L$41),0)</f>
        <v>0</v>
      </c>
      <c r="BT41" s="526">
        <f>SUM(BT9:BT39)</f>
        <v>0</v>
      </c>
      <c r="BU41" s="526">
        <f>IFERROR((BT41/$L$41),0)</f>
        <v>0</v>
      </c>
      <c r="BV41" s="526">
        <f>IFERROR(((BT41*BV$8)/$L$41),0)</f>
        <v>0</v>
      </c>
      <c r="BW41" s="526">
        <f>SUM(BW9:BW39)</f>
        <v>0</v>
      </c>
      <c r="BX41" s="526">
        <f>IFERROR((BW41/$L$41),0)</f>
        <v>0</v>
      </c>
      <c r="BY41" s="526">
        <f>IFERROR(((BW41*BY$8)/$L$41),0)</f>
        <v>0</v>
      </c>
      <c r="BZ41" s="526">
        <f>SUM(BZ9:BZ39)</f>
        <v>0</v>
      </c>
      <c r="CA41" s="526">
        <f>IFERROR((BZ41/$L$41),0)</f>
        <v>0</v>
      </c>
      <c r="CB41" s="526">
        <f>IFERROR(((BZ41*CB$8)/$L$41),0)</f>
        <v>0</v>
      </c>
      <c r="CC41" s="526">
        <f>SUM(CC9:CC39)</f>
        <v>19</v>
      </c>
      <c r="CD41" s="526">
        <f>IFERROR((CC41/$L$41),0)</f>
        <v>0</v>
      </c>
      <c r="CE41" s="526">
        <f>IFERROR(((CC41*CE$8)/$L$41),0)</f>
        <v>0</v>
      </c>
      <c r="CF41" s="526">
        <f>SUM(CF9:CF39)</f>
        <v>21</v>
      </c>
      <c r="CG41" s="526">
        <f>IFERROR((CF41/$L$41),0)</f>
        <v>0</v>
      </c>
      <c r="CH41" s="526">
        <f>IFERROR(((CF41*CH$8)/$L$41),0)</f>
        <v>0</v>
      </c>
      <c r="CI41" s="526">
        <f>SUM(CI9:CI39)</f>
        <v>0</v>
      </c>
      <c r="CJ41" s="526">
        <f>IFERROR((CI41/$L$41),0)</f>
        <v>0</v>
      </c>
      <c r="CK41" s="526">
        <f>IFERROR(((CI41*CK$8)/$L$41),0)</f>
        <v>0</v>
      </c>
      <c r="CL41" s="526">
        <f>SUM(CL9:CL39)</f>
        <v>0</v>
      </c>
      <c r="CM41" s="526">
        <f>IFERROR((CL41/$L$41),0)</f>
        <v>0</v>
      </c>
      <c r="CN41" s="526">
        <f>IFERROR(((CL41*CN$8)/$L$41),0)</f>
        <v>0</v>
      </c>
      <c r="CO41" s="526">
        <f>SUM(CO9:CO39)</f>
        <v>0</v>
      </c>
      <c r="CP41" s="526">
        <f>IFERROR((CO41/$L$41),0)</f>
        <v>0</v>
      </c>
      <c r="CQ41" s="526">
        <f>IFERROR(((CO41*CQ$8)/$L$41),0)</f>
        <v>0</v>
      </c>
      <c r="CR41" s="526">
        <f>SUM(CR9:CR39)</f>
        <v>3</v>
      </c>
      <c r="CS41" s="526">
        <f>IFERROR((CR41/$L$41),0)</f>
        <v>0</v>
      </c>
      <c r="CT41" s="526">
        <f>IFERROR(((CR41*CT$8)/$L$41),0)</f>
        <v>0</v>
      </c>
      <c r="CU41" s="526">
        <f>SUM(CU9:CU39)</f>
        <v>0</v>
      </c>
      <c r="CV41" s="526">
        <f>IFERROR((CU41/$L$41),0)</f>
        <v>0</v>
      </c>
      <c r="CW41" s="526">
        <f>IFERROR(((CU41*CW$8)/$L$41),0)</f>
        <v>0</v>
      </c>
      <c r="CX41" s="526">
        <f>SUM(CX9:CX39)</f>
        <v>0</v>
      </c>
      <c r="CY41" s="526">
        <f>IFERROR((CX41/$L$41),0)</f>
        <v>0</v>
      </c>
      <c r="CZ41" s="526">
        <f>IFERROR(((CX41*CZ$8)/$L$41),0)</f>
        <v>0</v>
      </c>
      <c r="DA41" s="526">
        <f>SUM(DA9:DA39)</f>
        <v>1642.4388837209299</v>
      </c>
      <c r="DB41" s="526">
        <f>IFERROR((DA41/$L$41),0)</f>
        <v>0</v>
      </c>
      <c r="DC41" s="526">
        <f>IFERROR(((DA41*DC$8)/$L$41),0)</f>
        <v>0</v>
      </c>
      <c r="DD41" s="526">
        <f>SUM(DD9:DD39)</f>
        <v>0</v>
      </c>
      <c r="DE41" s="526">
        <f>IFERROR((DD41/$L$41),0)</f>
        <v>0</v>
      </c>
      <c r="DF41" s="526">
        <f>IFERROR(((DD41*DF$8)/$L$41),0)</f>
        <v>0</v>
      </c>
      <c r="DG41" s="526">
        <f>SUM(DG14:DG39)</f>
        <v>0</v>
      </c>
      <c r="DH41" s="526">
        <f>IFERROR((DG41/$L$41),0)</f>
        <v>0</v>
      </c>
      <c r="DI41" s="526">
        <f>IFERROR(((DG41*DI$8)/$L$41),0)</f>
        <v>0</v>
      </c>
      <c r="DJ41" s="526">
        <f>SUM(DJ9:DJ39)</f>
        <v>0</v>
      </c>
      <c r="DK41" s="526">
        <f>IFERROR((DJ41/$L$41),0)</f>
        <v>0</v>
      </c>
      <c r="DL41" s="526">
        <f>IFERROR(((DJ41*DL$8)/$L$41),0)</f>
        <v>0</v>
      </c>
      <c r="DM41" s="526">
        <f>SUM(DM9:DM39)</f>
        <v>0</v>
      </c>
      <c r="DN41" s="526">
        <f>IFERROR((DM41/$L$41),0)</f>
        <v>0</v>
      </c>
      <c r="DO41" s="526">
        <f>IFERROR(((DM41*DO$8)/$L$41),0)</f>
        <v>0</v>
      </c>
      <c r="DP41" s="526">
        <f>SUM(DP9:DP39)</f>
        <v>0</v>
      </c>
      <c r="DQ41" s="526">
        <f>IFERROR((DP41/$L$41),0)</f>
        <v>0</v>
      </c>
      <c r="DR41" s="526">
        <f>IFERROR(((DP41*DR$8)/$L$41),0)</f>
        <v>0</v>
      </c>
      <c r="DS41" s="526">
        <f>SUM(DS9:DS39)</f>
        <v>0</v>
      </c>
      <c r="DT41" s="526">
        <f>IFERROR((DS41/$L$41),0)</f>
        <v>0</v>
      </c>
      <c r="DU41" s="526">
        <f>IFERROR(((DS41*DU$8)/$L$41),0)</f>
        <v>0</v>
      </c>
      <c r="DV41" s="526">
        <f>SUM(DV9:DV39)</f>
        <v>0</v>
      </c>
      <c r="DW41" s="526">
        <f>IFERROR((DV41/$L$41),0)</f>
        <v>0</v>
      </c>
      <c r="DX41" s="526">
        <f>IFERROR(((DV41*DX$8)/$L$41),0)</f>
        <v>0</v>
      </c>
      <c r="DY41" s="526">
        <f>SUM(DY9:DY39)</f>
        <v>0</v>
      </c>
      <c r="DZ41" s="526">
        <f>IFERROR((DY41/$L$41),0)</f>
        <v>0</v>
      </c>
      <c r="EA41" s="526">
        <f>IFERROR(((DY41*EA$8)/$L$41),0)</f>
        <v>0</v>
      </c>
      <c r="EB41" s="526">
        <f>SUM(EB9:EB39)</f>
        <v>0</v>
      </c>
      <c r="EC41" s="526">
        <f>IFERROR((EB41/$L$41),0)</f>
        <v>0</v>
      </c>
      <c r="ED41" s="526">
        <f>IFERROR(((EB41*ED$8)/$L$41),0)</f>
        <v>0</v>
      </c>
      <c r="EE41" s="526">
        <f>SUM(EE9:EE39)</f>
        <v>457.84883720930225</v>
      </c>
      <c r="EF41" s="526">
        <f>IFERROR((EE41/$L$41),0)</f>
        <v>0</v>
      </c>
      <c r="EG41" s="526">
        <f>IFERROR(((EE41*EG$8)/$L$41),0)</f>
        <v>0</v>
      </c>
      <c r="EH41" s="526">
        <f>SUM(EH9:EH39)</f>
        <v>1859.756470588236</v>
      </c>
      <c r="EI41" s="526">
        <f>IFERROR((EH41/$L$41),0)</f>
        <v>0</v>
      </c>
      <c r="EJ41" s="526">
        <f>IFERROR(((EH41*EJ$8)/$L$41),0)</f>
        <v>0</v>
      </c>
      <c r="EK41" s="526">
        <f>SUM(EK9:EK39)</f>
        <v>108.5</v>
      </c>
      <c r="EL41" s="526">
        <f>IFERROR((EK41/$L$41),0)</f>
        <v>0</v>
      </c>
      <c r="EM41" s="526">
        <f>IFERROR(((EK41*EM$8)/$L$41),0)</f>
        <v>0</v>
      </c>
      <c r="EN41" s="526">
        <f>SUM(EN9:EN39)</f>
        <v>1151.9761993902439</v>
      </c>
      <c r="EO41" s="526">
        <f>IFERROR((EN41/$L$41),0)</f>
        <v>0</v>
      </c>
      <c r="EP41" s="526">
        <f>IFERROR(((EN41*EP$8)/$L$41),0)</f>
        <v>0</v>
      </c>
      <c r="EQ41" s="526">
        <f>SUM(EQ9:EQ39)</f>
        <v>1149.185899651163</v>
      </c>
      <c r="ER41" s="526">
        <f>IFERROR((EQ41/$L$41),0)</f>
        <v>0</v>
      </c>
      <c r="ES41" s="526">
        <f>IFERROR(((EQ41*ES$8)/$L$41),0)</f>
        <v>0</v>
      </c>
      <c r="ET41" s="526">
        <f>SUM(ET9:ET39)</f>
        <v>755.81395348837214</v>
      </c>
      <c r="EU41" s="526">
        <f>IFERROR((ET41/$L$41),0)</f>
        <v>0</v>
      </c>
      <c r="EV41" s="526">
        <f>IFERROR(((ET41*EV$8)/$L$41),0)</f>
        <v>0</v>
      </c>
      <c r="EW41" s="526">
        <f>SUM(EW9:EW39)</f>
        <v>6.25</v>
      </c>
      <c r="EX41" s="526">
        <f>IFERROR((EW41/$L$41),0)</f>
        <v>0</v>
      </c>
      <c r="EY41" s="526">
        <f>IFERROR(((EW41*EY$8)/$L$41),0)</f>
        <v>0</v>
      </c>
      <c r="EZ41" s="526">
        <f>SUM(EZ9:EZ39)</f>
        <v>0</v>
      </c>
      <c r="FA41" s="526">
        <f>IFERROR((EZ41/$L$41),0)</f>
        <v>0</v>
      </c>
      <c r="FB41" s="526">
        <f>IFERROR(((EZ41*FB$8)/$L$41),0)</f>
        <v>0</v>
      </c>
      <c r="FC41" s="526">
        <f>SUM(FC9:FC39)</f>
        <v>0</v>
      </c>
      <c r="FD41" s="526">
        <f>IFERROR((FC41/$L$41),0)</f>
        <v>0</v>
      </c>
      <c r="FE41" s="526">
        <f>IFERROR(((FC41*FE$8)/$L$41),0)</f>
        <v>0</v>
      </c>
      <c r="FF41" s="526">
        <f>SUM(FF9:FF39)</f>
        <v>0</v>
      </c>
      <c r="FG41" s="526">
        <f>IFERROR((FF41/$L$41),0)</f>
        <v>0</v>
      </c>
      <c r="FH41" s="526">
        <f>IFERROR(((FF41*FH$8)/$L$41),0)</f>
        <v>0</v>
      </c>
      <c r="FI41" s="526">
        <f>SUM(FI9:FI39)</f>
        <v>0</v>
      </c>
      <c r="FJ41" s="526">
        <f>IFERROR((FI41/$L$41),0)</f>
        <v>0</v>
      </c>
      <c r="FK41" s="526">
        <f>IFERROR(((FI41*FK$8)/$L$41),0)</f>
        <v>0</v>
      </c>
      <c r="FL41" s="526">
        <f>SUM(FL9:FL39)</f>
        <v>0</v>
      </c>
      <c r="FM41" s="526">
        <f>IFERROR((FL41/$L$41),0)</f>
        <v>0</v>
      </c>
      <c r="FN41" s="526">
        <f>IFERROR(((FL41*FN$8)/$L$41),0)</f>
        <v>0</v>
      </c>
      <c r="FO41" s="526">
        <f>SUM(FO9:FO39)</f>
        <v>0</v>
      </c>
      <c r="FP41" s="526">
        <f>IFERROR((FO41/$L$41),0)</f>
        <v>0</v>
      </c>
      <c r="FQ41" s="526">
        <f>IFERROR(((FO41*FQ$8)/$L$41),0)</f>
        <v>0</v>
      </c>
      <c r="FR41" s="526">
        <f>SUM(FR9:FR39)</f>
        <v>0</v>
      </c>
      <c r="FS41" s="526">
        <f>IFERROR((FR41/$L$41),0)</f>
        <v>0</v>
      </c>
      <c r="FT41" s="526">
        <f>IFERROR(((FR41*FT$8)/$L$41),0)</f>
        <v>0</v>
      </c>
      <c r="FU41" s="526">
        <f>SUM(FU9:FU39)</f>
        <v>0</v>
      </c>
      <c r="FV41" s="526">
        <f>IFERROR((FU41/$L$41),0)</f>
        <v>0</v>
      </c>
      <c r="FW41" s="526">
        <f>IFERROR(((FU41*FW$8)/$L$41),0)</f>
        <v>0</v>
      </c>
      <c r="FX41" s="526">
        <f>SUM(FX9:FX39)</f>
        <v>0</v>
      </c>
      <c r="FY41" s="526">
        <f>IFERROR((FX41/$L$41),0)</f>
        <v>0</v>
      </c>
      <c r="FZ41" s="526">
        <f>IFERROR(((FX41*FZ$8)/$L$41),0)</f>
        <v>0</v>
      </c>
      <c r="GA41" s="526">
        <f>SUM(GA9:GA39)</f>
        <v>0</v>
      </c>
      <c r="GB41" s="526">
        <f>IFERROR((GA41/$L$41),0)</f>
        <v>0</v>
      </c>
      <c r="GC41" s="526">
        <f>IFERROR(((GA41*GC$8)/$L$41),0)</f>
        <v>0</v>
      </c>
      <c r="GD41" s="526">
        <f>SUM(GD9:GD39)</f>
        <v>0</v>
      </c>
      <c r="GE41" s="526">
        <f>IFERROR((GD41/$L$41),0)</f>
        <v>0</v>
      </c>
      <c r="GF41" s="526">
        <f>IFERROR(((GD41*GF$8)/$L$41),0)</f>
        <v>0</v>
      </c>
      <c r="GG41" s="526">
        <f>SUM(GG9:GG39)</f>
        <v>0</v>
      </c>
      <c r="GH41" s="526">
        <f>IFERROR((GG41/$L$41),0)</f>
        <v>0</v>
      </c>
      <c r="GI41" s="526">
        <f>IFERROR(((GG41*GI$8)/$L$41),0)</f>
        <v>0</v>
      </c>
      <c r="GJ41" s="526">
        <f>SUM(GJ9:GJ39)</f>
        <v>0</v>
      </c>
      <c r="GK41" s="526">
        <f>IFERROR((GJ41/$L$41),0)</f>
        <v>0</v>
      </c>
      <c r="GL41" s="526">
        <f>IFERROR(((GJ41*GL$8)/$L$41),0)</f>
        <v>0</v>
      </c>
      <c r="GM41" s="526">
        <f>SUM(GM9:GM39)</f>
        <v>0</v>
      </c>
      <c r="GN41" s="526">
        <f>IFERROR((GM41/$L$41),0)</f>
        <v>0</v>
      </c>
      <c r="GO41" s="526">
        <f>IFERROR(((GM41*GO$8)/$L$41),0)</f>
        <v>0</v>
      </c>
      <c r="GP41" s="526">
        <f>SUM(GP9:GP39)</f>
        <v>0</v>
      </c>
      <c r="GQ41" s="526">
        <f>IFERROR((GP41/$L$41),0)</f>
        <v>0</v>
      </c>
      <c r="GR41" s="526">
        <f>IFERROR(((GP41*GR$8)/$L$41),0)</f>
        <v>0</v>
      </c>
      <c r="GS41" s="526">
        <f>SUM(GS9:GS39)</f>
        <v>0</v>
      </c>
      <c r="GT41" s="526">
        <f>IFERROR((GS41/$L$41),0)</f>
        <v>0</v>
      </c>
      <c r="GU41" s="526">
        <f>IFERROR(((GS41*GU$8)/$L$41),0)</f>
        <v>0</v>
      </c>
      <c r="GV41" s="526">
        <f>SUM(GV9:GV39)</f>
        <v>0</v>
      </c>
      <c r="GW41" s="526">
        <f>IFERROR((GV41/$L$41),0)</f>
        <v>0</v>
      </c>
      <c r="GX41" s="526">
        <f>IFERROR(((GV41*GX$8)/$L$41),0)</f>
        <v>0</v>
      </c>
      <c r="GY41" s="526">
        <f>SUM(GY9:GY39)</f>
        <v>0</v>
      </c>
      <c r="GZ41" s="526">
        <f>IFERROR((GY41/$L$41),0)</f>
        <v>0</v>
      </c>
      <c r="HA41" s="526">
        <f>IFERROR(((GY41*HA$8)/$L$41),0)</f>
        <v>0</v>
      </c>
      <c r="HB41" s="526">
        <f>SUM(HB9:HB39)</f>
        <v>0</v>
      </c>
      <c r="HC41" s="526">
        <f>IFERROR((HB41/$L$41),0)</f>
        <v>0</v>
      </c>
      <c r="HD41" s="526">
        <f>IFERROR(((HB41*HD$8)/$L$41),0)</f>
        <v>0</v>
      </c>
      <c r="HE41" s="526">
        <f>SUM(HE9:HE39)</f>
        <v>0</v>
      </c>
      <c r="HF41" s="526">
        <f>IFERROR((HE41/$L$41),0)</f>
        <v>0</v>
      </c>
      <c r="HG41" s="526">
        <f>IFERROR(((HE41*HG$8)/$L$41),0)</f>
        <v>0</v>
      </c>
      <c r="HH41" s="526">
        <f>SUM(HH9:HH39)</f>
        <v>0</v>
      </c>
      <c r="HI41" s="526">
        <f>IFERROR((HH41/$L$41),0)</f>
        <v>0</v>
      </c>
      <c r="HJ41" s="526">
        <f>IFERROR(((HH41*HJ$8)/$L$41),0)</f>
        <v>0</v>
      </c>
      <c r="HK41" s="526">
        <f>SUM(HK9:HK39)</f>
        <v>0</v>
      </c>
      <c r="HL41" s="526">
        <f>IFERROR((HK41/$L$41),0)</f>
        <v>0</v>
      </c>
      <c r="HM41" s="526">
        <f>IFERROR(((HK41*HM$8)/$L$41),0)</f>
        <v>0</v>
      </c>
      <c r="HN41" s="526">
        <f>SUM(HN9:HN39)</f>
        <v>0</v>
      </c>
      <c r="HO41" s="526">
        <f>IFERROR((HN41/$L$41),0)</f>
        <v>0</v>
      </c>
      <c r="HP41" s="526">
        <f>IFERROR(((HN41*HP$8)/$L$41),0)</f>
        <v>0</v>
      </c>
      <c r="HQ41" s="526">
        <f>SUM(HQ9:HQ39)</f>
        <v>0</v>
      </c>
      <c r="HR41" s="526">
        <f>IFERROR((HQ41/$L$41),0)</f>
        <v>0</v>
      </c>
      <c r="HS41" s="526">
        <f>IFERROR(((HQ41*HS$8)/$L$41),0)</f>
        <v>0</v>
      </c>
      <c r="HT41" s="526">
        <f>SUM(HT9:HT39)</f>
        <v>0</v>
      </c>
      <c r="HU41" s="526">
        <f>IFERROR((HT41/$L$41),0)</f>
        <v>0</v>
      </c>
      <c r="HV41" s="526">
        <f>IFERROR(((HT41*HV$8)/$L$41),0)</f>
        <v>0</v>
      </c>
      <c r="HW41" s="526">
        <f>SUM(HW9:HW39)</f>
        <v>0</v>
      </c>
      <c r="HX41" s="526">
        <f>IFERROR((HW41/$L$41),0)</f>
        <v>0</v>
      </c>
      <c r="HY41" s="526">
        <f>IFERROR(((HW41*HY$8)/$L$41),0)</f>
        <v>0</v>
      </c>
      <c r="HZ41" s="526">
        <f>SUM(HZ9:HZ39)</f>
        <v>0</v>
      </c>
      <c r="IA41" s="526">
        <f>IFERROR((HZ41/$L$41),0)</f>
        <v>0</v>
      </c>
      <c r="IB41" s="526">
        <f>IFERROR(((HZ41*IB$8)/$L$41),0)</f>
        <v>0</v>
      </c>
      <c r="IC41" s="526">
        <f>SUM(IC9:IC39)</f>
        <v>0</v>
      </c>
      <c r="ID41" s="526">
        <f>IFERROR((IC41/$L$41),0)</f>
        <v>0</v>
      </c>
      <c r="IE41" s="526">
        <f>IFERROR(((IC41*IE$8)/$L$41),0)</f>
        <v>0</v>
      </c>
      <c r="IF41" s="526">
        <f>SUM(IF9:IF39)</f>
        <v>0</v>
      </c>
      <c r="IG41" s="526">
        <f>IFERROR((IF41/$L$41),0)</f>
        <v>0</v>
      </c>
      <c r="IH41" s="526">
        <f>IFERROR(((IF41*IH$8)/$L$41),0)</f>
        <v>0</v>
      </c>
      <c r="II41" s="526">
        <f>SUM(II9:II39)</f>
        <v>0</v>
      </c>
      <c r="IJ41" s="526">
        <f>IFERROR((II41/$L$41),0)</f>
        <v>0</v>
      </c>
      <c r="IK41" s="526">
        <f>IFERROR(((II41*IK$8)/$L$41),0)</f>
        <v>0</v>
      </c>
      <c r="IL41" s="526">
        <f>SUM(IL9:IL39)</f>
        <v>0</v>
      </c>
      <c r="IM41" s="526">
        <f>IFERROR((IL41/$L$41),0)</f>
        <v>0</v>
      </c>
      <c r="IN41" s="526">
        <f>IFERROR(((IL41*IN$8)/$L$41),0)</f>
        <v>0</v>
      </c>
      <c r="IO41" s="526">
        <f>SUM(IO9:IO39)</f>
        <v>0</v>
      </c>
      <c r="IP41" s="526">
        <f>IFERROR((IO41/$L$41),0)</f>
        <v>0</v>
      </c>
      <c r="IQ41" s="526">
        <f>IFERROR(((IO41*IQ$8)/$L$41),0)</f>
        <v>0</v>
      </c>
      <c r="IR41" s="526">
        <f>SUM(IR9:IR39)</f>
        <v>0</v>
      </c>
      <c r="IS41" s="526">
        <f>IFERROR((IR41/$L$41),0)</f>
        <v>0</v>
      </c>
      <c r="IT41" s="526">
        <f>IFERROR(((IR41*IT$8)/$L$41),0)</f>
        <v>0</v>
      </c>
      <c r="IU41" s="526">
        <f>SUM(IU9:IU39)</f>
        <v>0</v>
      </c>
      <c r="IV41" s="526">
        <f>IFERROR((IU41/$L$41),0)</f>
        <v>0</v>
      </c>
      <c r="IW41" s="526">
        <f>IFERROR(((IU41*IW$8)/$L$41),0)</f>
        <v>0</v>
      </c>
      <c r="IX41" s="526">
        <f>SUM(IX9:IX39)</f>
        <v>0</v>
      </c>
      <c r="IY41" s="526">
        <f>IFERROR((IX41/$L$41),0)</f>
        <v>0</v>
      </c>
      <c r="IZ41" s="526">
        <f>IFERROR(((IX41*IZ$8)/$L$41),0)</f>
        <v>0</v>
      </c>
      <c r="JA41" s="526">
        <f>SUM(JA9:JA39)</f>
        <v>0</v>
      </c>
      <c r="JB41" s="526">
        <f>IFERROR((JA41/$L$41),0)</f>
        <v>0</v>
      </c>
      <c r="JC41" s="526">
        <f>IFERROR(((JA41*JC$8)/$L$41),0)</f>
        <v>0</v>
      </c>
      <c r="JD41" s="526">
        <f>SUM(JD9:JD39)</f>
        <v>0</v>
      </c>
      <c r="JE41" s="526">
        <f>IFERROR((JD41/$L$41),0)</f>
        <v>0</v>
      </c>
      <c r="JF41" s="526">
        <f>IFERROR(((JD41*JF$8)/$L$41),0)</f>
        <v>0</v>
      </c>
      <c r="JG41" s="526">
        <f>SUM(JG9:JG39)</f>
        <v>0</v>
      </c>
      <c r="JH41" s="526">
        <f>IFERROR((JG41/$L$41),0)</f>
        <v>0</v>
      </c>
      <c r="JI41" s="526">
        <f>IFERROR(((JG41*JI$8)/$L$41),0)</f>
        <v>0</v>
      </c>
      <c r="JJ41" s="526">
        <f>SUM(JJ9:JJ39)</f>
        <v>0</v>
      </c>
      <c r="JK41" s="526">
        <f>IFERROR((JJ41/$L$41),0)</f>
        <v>0</v>
      </c>
      <c r="JL41" s="526">
        <f>IFERROR(((JJ41*JL$8)/$L$41),0)</f>
        <v>0</v>
      </c>
      <c r="JM41" s="526">
        <f>SUM(JM9:JM39)</f>
        <v>0</v>
      </c>
      <c r="JN41" s="526">
        <f>IFERROR((JM41/$L$41),0)</f>
        <v>0</v>
      </c>
      <c r="JO41" s="526">
        <f>IFERROR(((JM41*JO$8)/$L$41),0)</f>
        <v>0</v>
      </c>
      <c r="JP41" s="526">
        <f>SUM(JP9:JP39)</f>
        <v>0</v>
      </c>
      <c r="JQ41" s="526">
        <f>IFERROR((JP41/$L$41),0)</f>
        <v>0</v>
      </c>
      <c r="JR41" s="526">
        <f>IFERROR(((JP41*JR$8)/$L$41),0)</f>
        <v>0</v>
      </c>
      <c r="JS41" s="526">
        <f>SUM(JS9:JS39)</f>
        <v>0</v>
      </c>
      <c r="JT41" s="526">
        <f>IFERROR((JS41/$L$41),0)</f>
        <v>0</v>
      </c>
      <c r="JU41" s="526">
        <f>IFERROR(((JS41*JU$8)/$L$41),0)</f>
        <v>0</v>
      </c>
      <c r="JV41" s="526">
        <f>SUM(JV9:JV39)</f>
        <v>0</v>
      </c>
      <c r="JW41" s="526">
        <f>IFERROR((JV41/$L$41),0)</f>
        <v>0</v>
      </c>
      <c r="JX41" s="526">
        <f>IFERROR(((JV41*JX$8)/$L$41),0)</f>
        <v>0</v>
      </c>
      <c r="JY41" s="526">
        <f>SUM(JY9:JY39)</f>
        <v>0</v>
      </c>
      <c r="JZ41" s="526">
        <f>IFERROR((JY41/$L$41),0)</f>
        <v>0</v>
      </c>
      <c r="KA41" s="526">
        <f>IFERROR(((JY41*KA$8)/$L$41),0)</f>
        <v>0</v>
      </c>
      <c r="KB41" s="526">
        <f>SUM(KB9:KB39)</f>
        <v>0</v>
      </c>
      <c r="KC41" s="526">
        <f>IFERROR((KB41/$L$41),0)</f>
        <v>0</v>
      </c>
      <c r="KD41" s="526">
        <f>IFERROR(((KB41*KD$8)/$L$41),0)</f>
        <v>0</v>
      </c>
      <c r="KE41" s="526">
        <f>SUM(KE9:KE39)</f>
        <v>0</v>
      </c>
      <c r="KF41" s="526">
        <f>IFERROR((KE41/$L$41),0)</f>
        <v>0</v>
      </c>
      <c r="KG41" s="526">
        <f>IFERROR(((KE41*KG$8)/$L$41),0)</f>
        <v>0</v>
      </c>
      <c r="KH41" s="526">
        <f>SUM(KH9:KH39)</f>
        <v>0</v>
      </c>
      <c r="KI41" s="526">
        <f>IFERROR((KH41/$L$41),0)</f>
        <v>0</v>
      </c>
      <c r="KJ41" s="526">
        <f>IFERROR(((KH41*KJ$8)/$L$41),0)</f>
        <v>0</v>
      </c>
      <c r="KK41" s="526">
        <f>SUM(KK9:KK39)</f>
        <v>0</v>
      </c>
      <c r="KL41" s="526">
        <f>IFERROR((KK41/$L$41),0)</f>
        <v>0</v>
      </c>
      <c r="KM41" s="526">
        <f>IFERROR(((KK41*KM$8)/$L$41),0)</f>
        <v>0</v>
      </c>
      <c r="KN41" s="526">
        <f>SUM(KN9:KN39)</f>
        <v>0</v>
      </c>
      <c r="KO41" s="526">
        <f>IFERROR((KN41/$L$41),0)</f>
        <v>0</v>
      </c>
      <c r="KP41" s="526">
        <f>IFERROR(((KN41*KP$8)/$L$41),0)</f>
        <v>0</v>
      </c>
      <c r="KQ41" s="526">
        <f>SUM(KQ9:KQ39)</f>
        <v>0</v>
      </c>
      <c r="KR41" s="526">
        <f>IFERROR((KQ41/$L$41),0)</f>
        <v>0</v>
      </c>
      <c r="KS41" s="526">
        <f>IFERROR(((KQ41*KS$8)/$L$41),0)</f>
        <v>0</v>
      </c>
      <c r="KT41" s="527">
        <f t="shared" si="201"/>
        <v>0</v>
      </c>
      <c r="KU41" s="527">
        <f t="shared" si="202"/>
        <v>0</v>
      </c>
      <c r="KV41" s="261">
        <f>+F41+I41+L41+O41+R41+U41+X41+AA41+AD41+AG41+AJ41+AM41+AP41+AS41+AV41+AY41+BB41+BE41+BH41+BK41+BN41+BQ41+BT41+BW41+BZ41+CC41+CF41+CI41+CL41+CO41+CR41+CU41+CX41+DA41+DD41+DJ41+DM41+DP41+DS41+DV41+DY41+EB41+GG41+GJ41+GM41+GP41+GS41+HN41+II41+IR41+GV41+IU41++HT41+HW41+HZ41+IC41+JA41+JJ41+JM41+HB41+EE41+GD41+EH41+EK41+EN41+EQ41</f>
        <v>13585.856162652899</v>
      </c>
    </row>
    <row r="43" spans="1:308" ht="15" customHeight="1">
      <c r="A43" s="268" t="s">
        <v>137</v>
      </c>
      <c r="B43" s="269" t="s">
        <v>138</v>
      </c>
      <c r="C43" s="270" t="s">
        <v>147</v>
      </c>
      <c r="D43" s="258"/>
      <c r="E43" s="258"/>
    </row>
    <row r="44" spans="1:308" ht="15" customHeight="1">
      <c r="A44" s="271"/>
      <c r="B44" s="269" t="s">
        <v>139</v>
      </c>
      <c r="C44" s="270" t="s">
        <v>145</v>
      </c>
      <c r="D44" s="258"/>
      <c r="E44" s="258"/>
    </row>
    <row r="45" spans="1:308" ht="15" customHeight="1">
      <c r="A45" s="271"/>
      <c r="B45" s="272" t="s">
        <v>140</v>
      </c>
      <c r="C45" s="270" t="s">
        <v>141</v>
      </c>
      <c r="D45" s="258"/>
      <c r="E45" s="258"/>
    </row>
  </sheetData>
  <mergeCells count="210">
    <mergeCell ref="KK7:KL7"/>
    <mergeCell ref="KN7:KO7"/>
    <mergeCell ref="KQ7:KR7"/>
    <mergeCell ref="A41:C41"/>
    <mergeCell ref="JS7:JT7"/>
    <mergeCell ref="JV7:JW7"/>
    <mergeCell ref="JY7:JZ7"/>
    <mergeCell ref="KB7:KC7"/>
    <mergeCell ref="KE7:KF7"/>
    <mergeCell ref="KH7:KI7"/>
    <mergeCell ref="JA7:JB7"/>
    <mergeCell ref="JD7:JE7"/>
    <mergeCell ref="JG7:JH7"/>
    <mergeCell ref="JJ7:JK7"/>
    <mergeCell ref="JM7:JN7"/>
    <mergeCell ref="JP7:JQ7"/>
    <mergeCell ref="II7:IJ7"/>
    <mergeCell ref="IL7:IM7"/>
    <mergeCell ref="IO7:IP7"/>
    <mergeCell ref="IR7:IS7"/>
    <mergeCell ref="IU7:IV7"/>
    <mergeCell ref="IX7:IY7"/>
    <mergeCell ref="HQ7:HR7"/>
    <mergeCell ref="HT7:HU7"/>
    <mergeCell ref="HW7:HX7"/>
    <mergeCell ref="HZ7:IA7"/>
    <mergeCell ref="IC7:ID7"/>
    <mergeCell ref="IF7:IG7"/>
    <mergeCell ref="GY7:GZ7"/>
    <mergeCell ref="HB7:HC7"/>
    <mergeCell ref="HE7:HF7"/>
    <mergeCell ref="HH7:HI7"/>
    <mergeCell ref="HK7:HL7"/>
    <mergeCell ref="HN7:HO7"/>
    <mergeCell ref="GG7:GH7"/>
    <mergeCell ref="GJ7:GK7"/>
    <mergeCell ref="GM7:GN7"/>
    <mergeCell ref="GP7:GQ7"/>
    <mergeCell ref="GS7:GT7"/>
    <mergeCell ref="GV7:GW7"/>
    <mergeCell ref="FO7:FP7"/>
    <mergeCell ref="FR7:FS7"/>
    <mergeCell ref="FU7:FV7"/>
    <mergeCell ref="FX7:FY7"/>
    <mergeCell ref="GA7:GB7"/>
    <mergeCell ref="GD7:GE7"/>
    <mergeCell ref="EW7:EX7"/>
    <mergeCell ref="EZ7:FA7"/>
    <mergeCell ref="FC7:FD7"/>
    <mergeCell ref="FF7:FG7"/>
    <mergeCell ref="FI7:FJ7"/>
    <mergeCell ref="FL7:FM7"/>
    <mergeCell ref="EE7:EF7"/>
    <mergeCell ref="EH7:EI7"/>
    <mergeCell ref="EK7:EL7"/>
    <mergeCell ref="EN7:EO7"/>
    <mergeCell ref="EQ7:ER7"/>
    <mergeCell ref="ET7:EU7"/>
    <mergeCell ref="DM7:DN7"/>
    <mergeCell ref="DP7:DQ7"/>
    <mergeCell ref="DS7:DT7"/>
    <mergeCell ref="DV7:DW7"/>
    <mergeCell ref="DY7:DZ7"/>
    <mergeCell ref="EB7:EC7"/>
    <mergeCell ref="CU7:CV7"/>
    <mergeCell ref="CX7:CY7"/>
    <mergeCell ref="DA7:DB7"/>
    <mergeCell ref="DD7:DE7"/>
    <mergeCell ref="DG7:DH7"/>
    <mergeCell ref="DJ7:DK7"/>
    <mergeCell ref="CC7:CD7"/>
    <mergeCell ref="CF7:CG7"/>
    <mergeCell ref="CI7:CJ7"/>
    <mergeCell ref="CL7:CM7"/>
    <mergeCell ref="CO7:CP7"/>
    <mergeCell ref="CR7:CS7"/>
    <mergeCell ref="BK7:BL7"/>
    <mergeCell ref="BN7:BO7"/>
    <mergeCell ref="BQ7:BR7"/>
    <mergeCell ref="BT7:BU7"/>
    <mergeCell ref="BW7:BX7"/>
    <mergeCell ref="BZ7:CA7"/>
    <mergeCell ref="AS7:AT7"/>
    <mergeCell ref="AV7:AW7"/>
    <mergeCell ref="AY7:AZ7"/>
    <mergeCell ref="BB7:BC7"/>
    <mergeCell ref="BE7:BF7"/>
    <mergeCell ref="BH7:BI7"/>
    <mergeCell ref="AA7:AB7"/>
    <mergeCell ref="AD7:AE7"/>
    <mergeCell ref="AG7:AH7"/>
    <mergeCell ref="AJ7:AK7"/>
    <mergeCell ref="AM7:AN7"/>
    <mergeCell ref="AP7:AQ7"/>
    <mergeCell ref="KK6:KM6"/>
    <mergeCell ref="KN6:KP6"/>
    <mergeCell ref="KQ6:KS6"/>
    <mergeCell ref="F7:G7"/>
    <mergeCell ref="I7:J7"/>
    <mergeCell ref="L7:M7"/>
    <mergeCell ref="O7:P7"/>
    <mergeCell ref="R7:S7"/>
    <mergeCell ref="U7:V7"/>
    <mergeCell ref="X7:Y7"/>
    <mergeCell ref="JS6:JU6"/>
    <mergeCell ref="JV6:JX6"/>
    <mergeCell ref="JY6:KA6"/>
    <mergeCell ref="KB6:KD6"/>
    <mergeCell ref="KE6:KG6"/>
    <mergeCell ref="KH6:KJ6"/>
    <mergeCell ref="JA6:JC6"/>
    <mergeCell ref="JD6:JF6"/>
    <mergeCell ref="JG6:JI6"/>
    <mergeCell ref="JJ6:JL6"/>
    <mergeCell ref="JM6:JO6"/>
    <mergeCell ref="JP6:JR6"/>
    <mergeCell ref="II6:IK6"/>
    <mergeCell ref="IL6:IN6"/>
    <mergeCell ref="IO6:IQ6"/>
    <mergeCell ref="IR6:IT6"/>
    <mergeCell ref="IU6:IW6"/>
    <mergeCell ref="IX6:IZ6"/>
    <mergeCell ref="HQ6:HS6"/>
    <mergeCell ref="HT6:HV6"/>
    <mergeCell ref="HW6:HY6"/>
    <mergeCell ref="HZ6:IB6"/>
    <mergeCell ref="IC6:IE6"/>
    <mergeCell ref="IF6:IH6"/>
    <mergeCell ref="GY6:HA6"/>
    <mergeCell ref="HB6:HD6"/>
    <mergeCell ref="HE6:HG6"/>
    <mergeCell ref="HH6:HJ6"/>
    <mergeCell ref="HK6:HM6"/>
    <mergeCell ref="HN6:HP6"/>
    <mergeCell ref="GG6:GI6"/>
    <mergeCell ref="GJ6:GL6"/>
    <mergeCell ref="GM6:GO6"/>
    <mergeCell ref="GP6:GR6"/>
    <mergeCell ref="GS6:GU6"/>
    <mergeCell ref="GV6:GX6"/>
    <mergeCell ref="FO6:FQ6"/>
    <mergeCell ref="FR6:FT6"/>
    <mergeCell ref="FU6:FW6"/>
    <mergeCell ref="FX6:FZ6"/>
    <mergeCell ref="GA6:GC6"/>
    <mergeCell ref="GD6:GF6"/>
    <mergeCell ref="EW6:EY6"/>
    <mergeCell ref="EZ6:FB6"/>
    <mergeCell ref="FC6:FE6"/>
    <mergeCell ref="FF6:FH6"/>
    <mergeCell ref="FI6:FK6"/>
    <mergeCell ref="FL6:FN6"/>
    <mergeCell ref="EE6:EG6"/>
    <mergeCell ref="EH6:EJ6"/>
    <mergeCell ref="EK6:EM6"/>
    <mergeCell ref="EN6:EP6"/>
    <mergeCell ref="EQ6:ES6"/>
    <mergeCell ref="ET6:EV6"/>
    <mergeCell ref="DM6:DO6"/>
    <mergeCell ref="DP6:DR6"/>
    <mergeCell ref="DS6:DU6"/>
    <mergeCell ref="DV6:DX6"/>
    <mergeCell ref="DY6:EA6"/>
    <mergeCell ref="EB6:ED6"/>
    <mergeCell ref="CU6:CW6"/>
    <mergeCell ref="CX6:CZ6"/>
    <mergeCell ref="DA6:DC6"/>
    <mergeCell ref="DD6:DF6"/>
    <mergeCell ref="DG6:DI6"/>
    <mergeCell ref="DJ6:DL6"/>
    <mergeCell ref="CC6:CE6"/>
    <mergeCell ref="CF6:CH6"/>
    <mergeCell ref="CI6:CK6"/>
    <mergeCell ref="CL6:CN6"/>
    <mergeCell ref="CO6:CQ6"/>
    <mergeCell ref="CR6:CT6"/>
    <mergeCell ref="BQ6:BS6"/>
    <mergeCell ref="BT6:BV6"/>
    <mergeCell ref="BW6:BY6"/>
    <mergeCell ref="BZ6:CB6"/>
    <mergeCell ref="AS6:AU6"/>
    <mergeCell ref="AV6:AX6"/>
    <mergeCell ref="AY6:BA6"/>
    <mergeCell ref="BB6:BD6"/>
    <mergeCell ref="BE6:BG6"/>
    <mergeCell ref="BH6:BJ6"/>
    <mergeCell ref="F5:GC5"/>
    <mergeCell ref="GD5:KS5"/>
    <mergeCell ref="KT5:KT8"/>
    <mergeCell ref="KU5:KU8"/>
    <mergeCell ref="A6:A8"/>
    <mergeCell ref="B6:B8"/>
    <mergeCell ref="C6:C8"/>
    <mergeCell ref="D6:D8"/>
    <mergeCell ref="E6:E8"/>
    <mergeCell ref="F6:H6"/>
    <mergeCell ref="AA6:AC6"/>
    <mergeCell ref="AD6:AF6"/>
    <mergeCell ref="AG6:AI6"/>
    <mergeCell ref="AJ6:AL6"/>
    <mergeCell ref="AM6:AO6"/>
    <mergeCell ref="AP6:AR6"/>
    <mergeCell ref="I6:K6"/>
    <mergeCell ref="L6:N6"/>
    <mergeCell ref="O6:Q6"/>
    <mergeCell ref="R6:T6"/>
    <mergeCell ref="U6:W6"/>
    <mergeCell ref="X6:Z6"/>
    <mergeCell ref="BK6:BM6"/>
    <mergeCell ref="BN6:BP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T1" activePane="topRight" state="frozen"/>
      <selection pane="topRight" activeCell="AE7" sqref="AE7"/>
    </sheetView>
  </sheetViews>
  <sheetFormatPr defaultRowHeight="12.75"/>
  <cols>
    <col min="1" max="1" width="17.5703125" bestFit="1" customWidth="1"/>
    <col min="2" max="13" width="9.140625" customWidth="1"/>
    <col min="14" max="14" width="9.42578125" customWidth="1"/>
    <col min="15" max="21" width="9.140625" customWidth="1"/>
    <col min="22" max="22" width="9.28515625" customWidth="1"/>
    <col min="23" max="31" width="9.140625" customWidth="1"/>
    <col min="32" max="32" width="9.140625" hidden="1" customWidth="1"/>
    <col min="34" max="34" width="10.85546875" bestFit="1" customWidth="1"/>
    <col min="35" max="35" width="16.28515625" bestFit="1" customWidth="1"/>
  </cols>
  <sheetData>
    <row r="1" spans="1:35">
      <c r="B1">
        <v>4060</v>
      </c>
      <c r="C1">
        <v>4940</v>
      </c>
      <c r="D1">
        <v>5220</v>
      </c>
      <c r="E1">
        <v>4830</v>
      </c>
      <c r="F1">
        <v>4860</v>
      </c>
      <c r="G1">
        <v>4810</v>
      </c>
      <c r="H1">
        <v>5070</v>
      </c>
      <c r="I1">
        <v>4990</v>
      </c>
      <c r="J1">
        <v>3500</v>
      </c>
      <c r="K1">
        <v>4500</v>
      </c>
      <c r="L1">
        <v>4760</v>
      </c>
      <c r="M1">
        <v>4350</v>
      </c>
      <c r="N1">
        <v>5020</v>
      </c>
      <c r="O1">
        <v>4530</v>
      </c>
      <c r="P1">
        <v>3330</v>
      </c>
      <c r="Q1">
        <v>4530</v>
      </c>
      <c r="R1">
        <v>4010</v>
      </c>
      <c r="S1">
        <v>4850</v>
      </c>
      <c r="T1">
        <v>4170</v>
      </c>
      <c r="U1">
        <v>3750</v>
      </c>
      <c r="V1">
        <v>4030</v>
      </c>
      <c r="W1">
        <v>4710</v>
      </c>
      <c r="X1">
        <v>3910</v>
      </c>
      <c r="Y1">
        <v>4610</v>
      </c>
      <c r="Z1">
        <v>4290</v>
      </c>
      <c r="AA1">
        <v>3900</v>
      </c>
      <c r="AB1">
        <v>4320</v>
      </c>
      <c r="AC1">
        <v>5050</v>
      </c>
      <c r="AD1">
        <v>5010</v>
      </c>
      <c r="AE1">
        <v>4850</v>
      </c>
    </row>
    <row r="2" spans="1:35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57" t="s">
        <v>255</v>
      </c>
      <c r="AH2" s="458" t="s">
        <v>256</v>
      </c>
      <c r="AI2" s="484" t="s">
        <v>276</v>
      </c>
    </row>
    <row r="3" spans="1:35">
      <c r="A3" s="439" t="s">
        <v>196</v>
      </c>
      <c r="B3" s="5">
        <f>4027/1000</f>
        <v>4.0270000000000001</v>
      </c>
      <c r="C3" s="5">
        <f>3856/1000</f>
        <v>3.8559999999999999</v>
      </c>
      <c r="D3" s="5">
        <v>3.6080000000000001</v>
      </c>
      <c r="E3" s="5">
        <f>3188/1000</f>
        <v>3.1880000000000002</v>
      </c>
      <c r="F3" s="5">
        <f>2230/1000</f>
        <v>2.23</v>
      </c>
      <c r="G3" s="5">
        <f>3697/1000</f>
        <v>3.6970000000000001</v>
      </c>
      <c r="H3" s="5">
        <f>4938/1000</f>
        <v>4.9379999999999997</v>
      </c>
      <c r="I3" s="5">
        <f>2653/1000</f>
        <v>2.653</v>
      </c>
      <c r="J3" s="5">
        <f>2639/1000</f>
        <v>2.6389999999999998</v>
      </c>
      <c r="K3" s="5">
        <f>5727/1000</f>
        <v>5.7270000000000003</v>
      </c>
      <c r="L3" s="5">
        <f>3284/1000</f>
        <v>3.2839999999999998</v>
      </c>
      <c r="M3" s="5">
        <f>4624/1000</f>
        <v>4.6239999999999997</v>
      </c>
      <c r="N3" s="5">
        <f>4624/1000</f>
        <v>4.6239999999999997</v>
      </c>
      <c r="O3" s="5">
        <f>1236/1000</f>
        <v>1.236</v>
      </c>
      <c r="P3" s="5">
        <f>3010/1000</f>
        <v>3.01</v>
      </c>
      <c r="Q3" s="5">
        <f>1236/1000</f>
        <v>1.236</v>
      </c>
      <c r="R3" s="5">
        <f>1236/1000</f>
        <v>1.236</v>
      </c>
      <c r="S3" s="5">
        <f>4590/1000</f>
        <v>4.59</v>
      </c>
      <c r="T3" s="5">
        <v>5.0590000000000002</v>
      </c>
      <c r="U3" s="5">
        <f>4636/1000</f>
        <v>4.6360000000000001</v>
      </c>
      <c r="V3" s="5">
        <f>3337/1000</f>
        <v>3.3370000000000002</v>
      </c>
      <c r="W3" s="5">
        <f>3331/1000</f>
        <v>3.331</v>
      </c>
      <c r="X3" s="5">
        <f>4441/1000</f>
        <v>4.4409999999999998</v>
      </c>
      <c r="Y3" s="5">
        <f>2516/1000</f>
        <v>2.516</v>
      </c>
      <c r="Z3" s="5">
        <f>1901/1000</f>
        <v>1.901</v>
      </c>
      <c r="AA3" s="5">
        <f>2448/1000</f>
        <v>2.448</v>
      </c>
      <c r="AB3" s="5">
        <f>2589/1000</f>
        <v>2.589</v>
      </c>
      <c r="AC3" s="5">
        <f>2644/1000</f>
        <v>2.6440000000000001</v>
      </c>
      <c r="AD3" s="5">
        <f>3322/1000</f>
        <v>3.3220000000000001</v>
      </c>
      <c r="AE3" s="5">
        <f>4809/1000</f>
        <v>4.8090000000000002</v>
      </c>
      <c r="AF3" s="5"/>
      <c r="AG3" s="5">
        <f>+AE3</f>
        <v>4.8090000000000002</v>
      </c>
      <c r="AH3" s="459">
        <f>+AG3/Efficiency1!$K$162</f>
        <v>3.5125284798881635E-3</v>
      </c>
      <c r="AI3" s="724">
        <f>SUM(AH3:AH4)</f>
        <v>3.9953276741501878E-3</v>
      </c>
    </row>
    <row r="4" spans="1:35">
      <c r="A4" s="439" t="s">
        <v>197</v>
      </c>
      <c r="B4" s="5">
        <f>704/1000</f>
        <v>0.70399999999999996</v>
      </c>
      <c r="C4" s="5">
        <f>887/1000</f>
        <v>0.88700000000000001</v>
      </c>
      <c r="D4" s="5">
        <f>1644/1000</f>
        <v>1.6439999999999999</v>
      </c>
      <c r="E4" s="5">
        <f>773/1000</f>
        <v>0.77300000000000002</v>
      </c>
      <c r="F4" s="5">
        <f>853/1000</f>
        <v>0.85299999999999998</v>
      </c>
      <c r="G4" s="5">
        <f>1234/1000</f>
        <v>1.234</v>
      </c>
      <c r="H4" s="5">
        <f>473/1000</f>
        <v>0.47299999999999998</v>
      </c>
      <c r="I4" s="5">
        <f>858/1000</f>
        <v>0.85799999999999998</v>
      </c>
      <c r="J4" s="5">
        <f>1154/1000</f>
        <v>1.1539999999999999</v>
      </c>
      <c r="K4" s="5">
        <f>1175/1000</f>
        <v>1.175</v>
      </c>
      <c r="L4" s="5">
        <f>1692/1000</f>
        <v>1.6919999999999999</v>
      </c>
      <c r="M4" s="5">
        <f>1107/1000</f>
        <v>1.107</v>
      </c>
      <c r="N4" s="440">
        <f>769/1000</f>
        <v>0.76900000000000002</v>
      </c>
      <c r="O4" s="440">
        <f>967/1000</f>
        <v>0.96699999999999997</v>
      </c>
      <c r="P4" s="5">
        <f>167/1000</f>
        <v>0.16700000000000001</v>
      </c>
      <c r="Q4" s="5">
        <f>167/1000</f>
        <v>0.16700000000000001</v>
      </c>
      <c r="R4" s="5">
        <f>1701/1000</f>
        <v>1.7010000000000001</v>
      </c>
      <c r="S4" s="5">
        <f>1446/1000</f>
        <v>1.446</v>
      </c>
      <c r="T4" s="5">
        <f>519/1000</f>
        <v>0.51900000000000002</v>
      </c>
      <c r="U4" s="5">
        <f>520/1000</f>
        <v>0.52</v>
      </c>
      <c r="V4" s="5">
        <f>594/1000</f>
        <v>0.59399999999999997</v>
      </c>
      <c r="W4" s="440">
        <f>1782/1000</f>
        <v>1.782</v>
      </c>
      <c r="X4" s="5">
        <f>546/1000</f>
        <v>0.54600000000000004</v>
      </c>
      <c r="Y4" s="5">
        <f>1476/1000</f>
        <v>1.476</v>
      </c>
      <c r="Z4" s="5">
        <f>1386/1000</f>
        <v>1.3859999999999999</v>
      </c>
      <c r="AA4" s="5">
        <f>528/1000</f>
        <v>0.52800000000000002</v>
      </c>
      <c r="AB4" s="5">
        <f>2018/1000</f>
        <v>2.0179999999999998</v>
      </c>
      <c r="AC4" s="5">
        <f>528/1000</f>
        <v>0.52800000000000002</v>
      </c>
      <c r="AD4" s="5">
        <f>1125/1000</f>
        <v>1.125</v>
      </c>
      <c r="AE4" s="5">
        <f>661/1000</f>
        <v>0.66100000000000003</v>
      </c>
      <c r="AF4" s="5"/>
      <c r="AG4" s="5">
        <f>+AE4</f>
        <v>0.66100000000000003</v>
      </c>
      <c r="AH4" s="459">
        <f>+AG4/Efficiency1!$K$162</f>
        <v>4.8279919426202455E-4</v>
      </c>
      <c r="AI4" s="725"/>
    </row>
    <row r="5" spans="1:35">
      <c r="A5" s="485"/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7"/>
      <c r="O5" s="487"/>
      <c r="P5" s="486"/>
      <c r="Q5" s="486"/>
      <c r="R5" s="486"/>
      <c r="S5" s="486"/>
      <c r="T5" s="486"/>
      <c r="U5" s="486"/>
      <c r="V5" s="486"/>
      <c r="W5" s="487"/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8"/>
    </row>
    <row r="6" spans="1:35">
      <c r="A6" s="439" t="s">
        <v>198</v>
      </c>
      <c r="B6" s="440" t="s">
        <v>588</v>
      </c>
      <c r="C6" s="5" t="s">
        <v>590</v>
      </c>
      <c r="D6" s="5" t="s">
        <v>592</v>
      </c>
      <c r="E6" s="5" t="s">
        <v>594</v>
      </c>
      <c r="F6" s="5" t="s">
        <v>597</v>
      </c>
      <c r="G6" s="5" t="s">
        <v>600</v>
      </c>
      <c r="H6" s="5" t="s">
        <v>606</v>
      </c>
      <c r="I6" s="5" t="s">
        <v>609</v>
      </c>
      <c r="J6" s="5" t="s">
        <v>610</v>
      </c>
      <c r="K6" s="5" t="s">
        <v>615</v>
      </c>
      <c r="L6" s="5" t="s">
        <v>617</v>
      </c>
      <c r="M6" s="5" t="s">
        <v>619</v>
      </c>
      <c r="N6" s="5" t="s">
        <v>626</v>
      </c>
      <c r="O6" s="5" t="s">
        <v>620</v>
      </c>
      <c r="P6" s="5"/>
      <c r="Q6" s="5"/>
      <c r="R6" s="5" t="s">
        <v>768</v>
      </c>
      <c r="S6" s="5" t="s">
        <v>811</v>
      </c>
      <c r="T6" s="5" t="s">
        <v>809</v>
      </c>
      <c r="U6" s="5" t="s">
        <v>804</v>
      </c>
      <c r="V6" s="5" t="s">
        <v>802</v>
      </c>
      <c r="W6" s="440" t="s">
        <v>799</v>
      </c>
      <c r="X6" s="5" t="s">
        <v>796</v>
      </c>
      <c r="Y6" s="5" t="s">
        <v>795</v>
      </c>
      <c r="Z6" s="5" t="s">
        <v>792</v>
      </c>
      <c r="AA6" s="5" t="s">
        <v>790</v>
      </c>
      <c r="AB6" s="440" t="s">
        <v>787</v>
      </c>
      <c r="AC6" s="5" t="s">
        <v>771</v>
      </c>
      <c r="AD6" s="5" t="s">
        <v>769</v>
      </c>
      <c r="AE6" s="5" t="s">
        <v>818</v>
      </c>
      <c r="AF6" s="5"/>
      <c r="AG6" s="5">
        <f t="shared" ref="AG6:AG37" si="0">+SUM(B6:AC6)</f>
        <v>0</v>
      </c>
      <c r="AH6" s="489" t="e">
        <f t="shared" ref="AH6:AH36" si="1">+AG6/$AG$39</f>
        <v>#DIV/0!</v>
      </c>
    </row>
    <row r="7" spans="1:35">
      <c r="A7" s="439" t="s">
        <v>220</v>
      </c>
      <c r="B7" s="5" t="s">
        <v>587</v>
      </c>
      <c r="C7" s="5" t="s">
        <v>589</v>
      </c>
      <c r="D7" s="5" t="s">
        <v>593</v>
      </c>
      <c r="E7" s="5" t="s">
        <v>595</v>
      </c>
      <c r="F7" s="5" t="s">
        <v>598</v>
      </c>
      <c r="G7" s="5" t="s">
        <v>601</v>
      </c>
      <c r="H7" s="5" t="s">
        <v>607</v>
      </c>
      <c r="I7" s="5" t="s">
        <v>608</v>
      </c>
      <c r="J7" s="5" t="s">
        <v>611</v>
      </c>
      <c r="K7" s="5" t="s">
        <v>614</v>
      </c>
      <c r="L7" s="5" t="s">
        <v>616</v>
      </c>
      <c r="M7" s="5" t="s">
        <v>618</v>
      </c>
      <c r="N7" s="5" t="s">
        <v>623</v>
      </c>
      <c r="O7" s="5" t="s">
        <v>621</v>
      </c>
      <c r="P7" s="5"/>
      <c r="Q7" s="5"/>
      <c r="R7" s="471"/>
      <c r="S7" s="5" t="s">
        <v>813</v>
      </c>
      <c r="T7" s="5" t="s">
        <v>810</v>
      </c>
      <c r="U7" s="5" t="s">
        <v>805</v>
      </c>
      <c r="V7" s="5" t="s">
        <v>801</v>
      </c>
      <c r="W7" s="5" t="s">
        <v>800</v>
      </c>
      <c r="X7" s="5" t="s">
        <v>797</v>
      </c>
      <c r="Y7" s="5"/>
      <c r="Z7" s="5" t="s">
        <v>611</v>
      </c>
      <c r="AA7" s="5" t="s">
        <v>788</v>
      </c>
      <c r="AB7" s="440" t="s">
        <v>774</v>
      </c>
      <c r="AC7" s="5" t="s">
        <v>770</v>
      </c>
      <c r="AD7" s="5" t="s">
        <v>768</v>
      </c>
      <c r="AE7" s="5" t="s">
        <v>817</v>
      </c>
      <c r="AF7" s="5"/>
      <c r="AG7" s="5">
        <f t="shared" si="0"/>
        <v>0</v>
      </c>
      <c r="AH7" s="459" t="e">
        <f t="shared" si="1"/>
        <v>#DIV/0!</v>
      </c>
    </row>
    <row r="8" spans="1:35">
      <c r="A8" s="441" t="s">
        <v>199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59" t="e">
        <f t="shared" si="1"/>
        <v>#DIV/0!</v>
      </c>
    </row>
    <row r="9" spans="1:35">
      <c r="A9" s="439" t="s">
        <v>200</v>
      </c>
      <c r="B9" s="5"/>
      <c r="C9" s="5"/>
      <c r="D9" s="5"/>
      <c r="E9" s="5"/>
      <c r="F9" s="5"/>
      <c r="G9" s="5"/>
      <c r="H9" s="5" t="s">
        <v>604</v>
      </c>
      <c r="I9" s="5" t="s">
        <v>599</v>
      </c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</v>
      </c>
      <c r="AH9" s="459" t="e">
        <f t="shared" si="1"/>
        <v>#DIV/0!</v>
      </c>
    </row>
    <row r="10" spans="1:35">
      <c r="A10" s="439" t="s">
        <v>201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 t="s">
        <v>812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 t="s">
        <v>612</v>
      </c>
      <c r="AE10" s="5"/>
      <c r="AF10" s="5"/>
      <c r="AG10" s="5">
        <f t="shared" si="0"/>
        <v>0</v>
      </c>
      <c r="AH10" s="459" t="e">
        <f t="shared" si="1"/>
        <v>#DIV/0!</v>
      </c>
    </row>
    <row r="11" spans="1:35">
      <c r="A11" s="439" t="s">
        <v>202</v>
      </c>
      <c r="B11" s="5"/>
      <c r="C11" s="5"/>
      <c r="D11" s="5"/>
      <c r="E11" s="5" t="s">
        <v>596</v>
      </c>
      <c r="F11" s="5"/>
      <c r="G11" s="5"/>
      <c r="H11" s="5" t="s">
        <v>603</v>
      </c>
      <c r="I11" s="5" t="s">
        <v>602</v>
      </c>
      <c r="J11" s="5" t="s">
        <v>612</v>
      </c>
      <c r="K11" s="5" t="s">
        <v>613</v>
      </c>
      <c r="L11" s="5"/>
      <c r="M11" s="5"/>
      <c r="N11" s="5" t="s">
        <v>624</v>
      </c>
      <c r="O11" s="5" t="s">
        <v>622</v>
      </c>
      <c r="P11" s="5"/>
      <c r="Q11" s="5"/>
      <c r="R11" s="5"/>
      <c r="S11" s="5" t="s">
        <v>596</v>
      </c>
      <c r="T11" s="5" t="s">
        <v>808</v>
      </c>
      <c r="U11" s="5" t="s">
        <v>806</v>
      </c>
      <c r="V11" s="5"/>
      <c r="W11" s="5"/>
      <c r="X11" s="5"/>
      <c r="Y11" s="5" t="s">
        <v>794</v>
      </c>
      <c r="Z11" s="5"/>
      <c r="AA11" s="5" t="s">
        <v>789</v>
      </c>
      <c r="AB11" s="5" t="s">
        <v>602</v>
      </c>
      <c r="AC11" s="5" t="s">
        <v>772</v>
      </c>
      <c r="AD11" s="5"/>
      <c r="AE11" s="5"/>
      <c r="AF11" s="5"/>
      <c r="AG11" s="5">
        <f t="shared" si="0"/>
        <v>0</v>
      </c>
      <c r="AH11" s="459" t="e">
        <f t="shared" si="1"/>
        <v>#DIV/0!</v>
      </c>
    </row>
    <row r="12" spans="1:35">
      <c r="A12" s="439" t="s">
        <v>203</v>
      </c>
      <c r="B12" s="5"/>
      <c r="C12" s="5" t="s">
        <v>591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 t="s">
        <v>807</v>
      </c>
      <c r="V12" s="5"/>
      <c r="W12" s="5" t="s">
        <v>798</v>
      </c>
      <c r="X12" s="5"/>
      <c r="Y12" s="5"/>
      <c r="Z12" s="5"/>
      <c r="AA12" s="5"/>
      <c r="AB12" s="5"/>
      <c r="AC12" s="5"/>
      <c r="AD12" s="5"/>
      <c r="AE12" s="5"/>
      <c r="AF12" s="5"/>
      <c r="AG12" s="5">
        <f t="shared" si="0"/>
        <v>0</v>
      </c>
      <c r="AH12" s="459" t="e">
        <f t="shared" si="1"/>
        <v>#DIV/0!</v>
      </c>
    </row>
    <row r="13" spans="1:35">
      <c r="A13" s="439" t="s">
        <v>204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440"/>
      <c r="AC13" s="5"/>
      <c r="AD13" s="5"/>
      <c r="AE13" s="5"/>
      <c r="AF13" s="5"/>
      <c r="AG13" s="5">
        <f t="shared" si="0"/>
        <v>0</v>
      </c>
      <c r="AH13" s="459" t="e">
        <f t="shared" si="1"/>
        <v>#DIV/0!</v>
      </c>
    </row>
    <row r="14" spans="1:35">
      <c r="A14" s="439" t="s">
        <v>205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</v>
      </c>
      <c r="AH14" s="459" t="e">
        <f t="shared" si="1"/>
        <v>#DIV/0!</v>
      </c>
    </row>
    <row r="15" spans="1:35">
      <c r="A15" s="439" t="s">
        <v>277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59" t="e">
        <f t="shared" si="1"/>
        <v>#DIV/0!</v>
      </c>
    </row>
    <row r="16" spans="1:35">
      <c r="A16" s="439" t="s">
        <v>278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59" t="e">
        <f t="shared" si="1"/>
        <v>#DIV/0!</v>
      </c>
    </row>
    <row r="17" spans="1:34">
      <c r="A17" s="439" t="s">
        <v>206</v>
      </c>
      <c r="B17" s="5"/>
      <c r="C17" s="5"/>
      <c r="D17" s="5"/>
      <c r="E17" s="5"/>
      <c r="F17" s="5"/>
      <c r="G17" s="5"/>
      <c r="H17" s="5" t="s">
        <v>605</v>
      </c>
      <c r="I17" s="5"/>
      <c r="J17" s="5"/>
      <c r="K17" s="5"/>
      <c r="L17" s="5"/>
      <c r="M17" s="5" t="s">
        <v>625</v>
      </c>
      <c r="N17" s="5" t="s">
        <v>602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 t="s">
        <v>791</v>
      </c>
      <c r="AB17" s="5"/>
      <c r="AC17" s="5" t="s">
        <v>773</v>
      </c>
      <c r="AD17" s="5"/>
      <c r="AE17" s="5"/>
      <c r="AF17" s="5"/>
      <c r="AG17" s="5">
        <f t="shared" si="0"/>
        <v>0</v>
      </c>
      <c r="AH17" s="459" t="e">
        <f t="shared" si="1"/>
        <v>#DIV/0!</v>
      </c>
    </row>
    <row r="18" spans="1:34">
      <c r="A18" s="439" t="s">
        <v>207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440"/>
      <c r="P18" s="5"/>
      <c r="Q18" s="5"/>
      <c r="R18" s="5" t="s">
        <v>814</v>
      </c>
      <c r="S18" s="5"/>
      <c r="T18" s="5"/>
      <c r="U18" s="5"/>
      <c r="V18" s="5"/>
      <c r="W18" s="5"/>
      <c r="X18" s="5"/>
      <c r="Y18" s="5" t="s">
        <v>793</v>
      </c>
      <c r="Z18" s="5"/>
      <c r="AA18" s="5"/>
      <c r="AB18" s="5"/>
      <c r="AC18" s="5"/>
      <c r="AD18" s="5"/>
      <c r="AE18" s="5"/>
      <c r="AF18" s="5"/>
      <c r="AG18" s="5">
        <f t="shared" si="0"/>
        <v>0</v>
      </c>
      <c r="AH18" s="459" t="e">
        <f t="shared" si="1"/>
        <v>#DIV/0!</v>
      </c>
    </row>
    <row r="19" spans="1:34">
      <c r="A19" s="439" t="s">
        <v>279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f t="shared" si="0"/>
        <v>0</v>
      </c>
      <c r="AH19" s="459" t="e">
        <f t="shared" si="1"/>
        <v>#DIV/0!</v>
      </c>
    </row>
    <row r="20" spans="1:34">
      <c r="A20" s="439" t="s">
        <v>280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59" t="e">
        <f t="shared" si="1"/>
        <v>#DIV/0!</v>
      </c>
    </row>
    <row r="21" spans="1:34">
      <c r="A21" s="439" t="s">
        <v>208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59" t="e">
        <f t="shared" si="1"/>
        <v>#DIV/0!</v>
      </c>
    </row>
    <row r="22" spans="1:34">
      <c r="A22" s="439" t="s">
        <v>286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59" t="e">
        <f t="shared" si="1"/>
        <v>#DIV/0!</v>
      </c>
    </row>
    <row r="23" spans="1:34">
      <c r="A23" s="439" t="s">
        <v>209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 t="s">
        <v>602</v>
      </c>
      <c r="AD23" s="5"/>
      <c r="AE23" s="5"/>
      <c r="AF23" s="5"/>
      <c r="AG23" s="5">
        <f t="shared" si="0"/>
        <v>0</v>
      </c>
      <c r="AH23" s="459" t="e">
        <f t="shared" si="1"/>
        <v>#DIV/0!</v>
      </c>
    </row>
    <row r="24" spans="1:34">
      <c r="A24" s="439" t="s">
        <v>281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0</v>
      </c>
      <c r="AH24" s="459" t="e">
        <f t="shared" si="1"/>
        <v>#DIV/0!</v>
      </c>
    </row>
    <row r="25" spans="1:34">
      <c r="A25" s="439" t="s">
        <v>210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59" t="e">
        <f t="shared" si="1"/>
        <v>#DIV/0!</v>
      </c>
    </row>
    <row r="26" spans="1:34">
      <c r="A26" s="439" t="s">
        <v>211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59" t="e">
        <f t="shared" si="1"/>
        <v>#DIV/0!</v>
      </c>
    </row>
    <row r="27" spans="1:34">
      <c r="A27" s="439" t="s">
        <v>212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59" t="e">
        <f t="shared" si="1"/>
        <v>#DIV/0!</v>
      </c>
    </row>
    <row r="28" spans="1:34">
      <c r="A28" s="439" t="s">
        <v>213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59" t="e">
        <f t="shared" si="1"/>
        <v>#DIV/0!</v>
      </c>
    </row>
    <row r="29" spans="1:34">
      <c r="A29" s="439" t="s">
        <v>282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59" t="e">
        <f t="shared" si="1"/>
        <v>#DIV/0!</v>
      </c>
    </row>
    <row r="30" spans="1:34">
      <c r="A30" s="439" t="s">
        <v>283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 t="s">
        <v>803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59" t="e">
        <f t="shared" si="1"/>
        <v>#DIV/0!</v>
      </c>
    </row>
    <row r="31" spans="1:34">
      <c r="A31" s="439" t="s">
        <v>214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59" t="e">
        <f t="shared" si="1"/>
        <v>#DIV/0!</v>
      </c>
    </row>
    <row r="32" spans="1:34">
      <c r="A32" s="439" t="s">
        <v>215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59" t="e">
        <f t="shared" si="1"/>
        <v>#DIV/0!</v>
      </c>
    </row>
    <row r="33" spans="1:34">
      <c r="A33" s="439" t="s">
        <v>216</v>
      </c>
      <c r="B33" s="5"/>
      <c r="C33" s="5"/>
      <c r="D33" s="5"/>
      <c r="E33" s="5"/>
      <c r="F33" s="5"/>
      <c r="G33" s="5"/>
      <c r="H33" s="5"/>
      <c r="I33" s="5"/>
      <c r="J33" s="5"/>
      <c r="K33" s="5" t="s">
        <v>591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0"/>
        <v>0</v>
      </c>
      <c r="AH33" s="459" t="e">
        <f t="shared" si="1"/>
        <v>#DIV/0!</v>
      </c>
    </row>
    <row r="34" spans="1:34">
      <c r="A34" s="442" t="s">
        <v>217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59" t="e">
        <f t="shared" si="1"/>
        <v>#DIV/0!</v>
      </c>
    </row>
    <row r="35" spans="1:34">
      <c r="A35" s="442" t="s">
        <v>218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59" t="e">
        <f t="shared" si="1"/>
        <v>#DIV/0!</v>
      </c>
    </row>
    <row r="36" spans="1:34">
      <c r="A36" s="442" t="s">
        <v>219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59" t="e">
        <f t="shared" si="1"/>
        <v>#DIV/0!</v>
      </c>
    </row>
    <row r="37" spans="1:34">
      <c r="A37" s="442" t="s">
        <v>379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59" t="e">
        <f>+AG37/$AG$39</f>
        <v>#DIV/0!</v>
      </c>
    </row>
    <row r="38" spans="1:34">
      <c r="A38" s="490" t="s">
        <v>284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91">
        <f>+AG39/Efficiency1!$K$162</f>
        <v>0</v>
      </c>
    </row>
    <row r="39" spans="1:34">
      <c r="A39" s="442" t="s">
        <v>2</v>
      </c>
      <c r="B39" s="5">
        <f>SUM(B3:B37)</f>
        <v>4.7309999999999999</v>
      </c>
      <c r="C39" s="5">
        <f t="shared" ref="C39:AC39" si="2">SUM(C3:C37)</f>
        <v>4.7430000000000003</v>
      </c>
      <c r="D39" s="5">
        <f t="shared" si="2"/>
        <v>5.2519999999999998</v>
      </c>
      <c r="E39" s="5">
        <f t="shared" si="2"/>
        <v>3.9610000000000003</v>
      </c>
      <c r="F39" s="5">
        <f>SUM(F3:F37)</f>
        <v>3.0830000000000002</v>
      </c>
      <c r="G39" s="5">
        <f>SUM(G3:G37)</f>
        <v>4.931</v>
      </c>
      <c r="H39" s="5">
        <f t="shared" si="2"/>
        <v>5.4109999999999996</v>
      </c>
      <c r="I39" s="5">
        <f t="shared" si="2"/>
        <v>3.5110000000000001</v>
      </c>
      <c r="J39" s="5">
        <f t="shared" si="2"/>
        <v>3.7929999999999997</v>
      </c>
      <c r="K39" s="5">
        <f t="shared" si="2"/>
        <v>6.9020000000000001</v>
      </c>
      <c r="L39" s="5">
        <f t="shared" si="2"/>
        <v>4.976</v>
      </c>
      <c r="M39" s="5">
        <f t="shared" si="2"/>
        <v>5.7309999999999999</v>
      </c>
      <c r="N39" s="5">
        <f t="shared" si="2"/>
        <v>5.3929999999999998</v>
      </c>
      <c r="O39" s="6">
        <f t="shared" si="2"/>
        <v>2.2029999999999998</v>
      </c>
      <c r="P39" s="5">
        <f t="shared" si="2"/>
        <v>3.1769999999999996</v>
      </c>
      <c r="Q39" s="5">
        <f t="shared" si="2"/>
        <v>1.403</v>
      </c>
      <c r="R39" s="5">
        <f>SUM(R3:R37)</f>
        <v>2.9370000000000003</v>
      </c>
      <c r="S39" s="5">
        <f t="shared" si="2"/>
        <v>6.0359999999999996</v>
      </c>
      <c r="T39" s="5">
        <f t="shared" si="2"/>
        <v>5.5780000000000003</v>
      </c>
      <c r="U39" s="5">
        <f t="shared" si="2"/>
        <v>5.1560000000000006</v>
      </c>
      <c r="V39" s="5">
        <f t="shared" si="2"/>
        <v>3.931</v>
      </c>
      <c r="W39" s="5">
        <f t="shared" si="2"/>
        <v>5.1129999999999995</v>
      </c>
      <c r="X39" s="5">
        <f t="shared" si="2"/>
        <v>4.9870000000000001</v>
      </c>
      <c r="Y39" s="5">
        <f t="shared" si="2"/>
        <v>3.992</v>
      </c>
      <c r="Z39" s="5">
        <f t="shared" si="2"/>
        <v>3.2869999999999999</v>
      </c>
      <c r="AA39" s="5">
        <f t="shared" si="2"/>
        <v>2.976</v>
      </c>
      <c r="AB39" s="5">
        <f t="shared" si="2"/>
        <v>4.6069999999999993</v>
      </c>
      <c r="AC39" s="5">
        <f t="shared" si="2"/>
        <v>3.1720000000000002</v>
      </c>
      <c r="AD39" s="5">
        <f>SUM(AD3:AD37)</f>
        <v>4.4470000000000001</v>
      </c>
      <c r="AE39" s="5">
        <f t="shared" ref="AE39:AF39" si="3">SUM(AE3:AE37)</f>
        <v>5.4700000000000006</v>
      </c>
      <c r="AF39" s="5">
        <f t="shared" si="3"/>
        <v>0</v>
      </c>
      <c r="AG39" s="16">
        <f>SUM(AG6:AG38)</f>
        <v>0</v>
      </c>
      <c r="AH39" s="460" t="e">
        <f>SUM(AH6:AH37)</f>
        <v>#DIV/0!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5"/>
  <sheetViews>
    <sheetView zoomScale="85" workbookViewId="0">
      <pane xSplit="5" ySplit="9" topLeftCell="AM24" activePane="bottomRight" state="frozen"/>
      <selection activeCell="DK16" sqref="DK16"/>
      <selection pane="topRight" activeCell="DK16" sqref="DK16"/>
      <selection pane="bottomLeft" activeCell="DK16" sqref="DK16"/>
      <selection pane="bottomRight" activeCell="AO27" sqref="AO27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7.85546875" hidden="1" customWidth="1"/>
    <col min="19" max="19" width="13.140625" customWidth="1"/>
    <col min="20" max="20" width="8.28515625" customWidth="1"/>
    <col min="21" max="21" width="14.42578125" customWidth="1"/>
    <col min="22" max="22" width="8" customWidth="1"/>
    <col min="23" max="23" width="12.7109375" hidden="1" customWidth="1"/>
    <col min="24" max="24" width="8.7109375" hidden="1" customWidth="1"/>
    <col min="25" max="25" width="12.140625" hidden="1" customWidth="1"/>
    <col min="26" max="26" width="21.42578125" hidden="1" customWidth="1"/>
    <col min="27" max="27" width="17.7109375" hidden="1" customWidth="1"/>
    <col min="28" max="28" width="12.28515625" hidden="1" customWidth="1"/>
    <col min="29" max="29" width="14.42578125" hidden="1" customWidth="1"/>
    <col min="30" max="30" width="9.42578125" hidden="1" customWidth="1"/>
    <col min="31" max="31" width="17.7109375" hidden="1" customWidth="1"/>
    <col min="32" max="32" width="9.28515625" hidden="1" customWidth="1"/>
    <col min="33" max="33" width="14.42578125" hidden="1" customWidth="1"/>
    <col min="34" max="34" width="8.140625" hidden="1" customWidth="1"/>
    <col min="35" max="35" width="11.42578125" hidden="1" customWidth="1"/>
    <col min="36" max="36" width="8.5703125" hidden="1" customWidth="1"/>
    <col min="37" max="37" width="11.42578125" hidden="1" customWidth="1"/>
    <col min="38" max="38" width="8" hidden="1" customWidth="1"/>
    <col min="39" max="39" width="13.7109375" customWidth="1"/>
    <col min="40" max="40" width="8.140625" customWidth="1"/>
    <col min="41" max="41" width="13.140625" customWidth="1"/>
    <col min="42" max="42" width="8.140625" customWidth="1"/>
    <col min="43" max="43" width="12.140625" hidden="1" customWidth="1"/>
    <col min="44" max="44" width="7.7109375" hidden="1" customWidth="1"/>
    <col min="45" max="45" width="12.140625" hidden="1" customWidth="1"/>
    <col min="46" max="46" width="7.7109375" hidden="1" customWidth="1"/>
    <col min="47" max="47" width="13.28515625" hidden="1" customWidth="1"/>
    <col min="48" max="48" width="8.85546875" hidden="1" customWidth="1"/>
    <col min="49" max="49" width="15.28515625" hidden="1" customWidth="1"/>
    <col min="50" max="50" width="7.7109375" hidden="1" customWidth="1"/>
    <col min="51" max="51" width="10.28515625" hidden="1" customWidth="1"/>
    <col min="52" max="52" width="8.140625" hidden="1" customWidth="1"/>
    <col min="53" max="53" width="11.42578125" hidden="1" customWidth="1"/>
    <col min="54" max="54" width="7.7109375" hidden="1" customWidth="1"/>
    <col min="55" max="55" width="13.140625" bestFit="1" customWidth="1"/>
    <col min="56" max="56" width="9.28515625" customWidth="1"/>
    <col min="57" max="57" width="14.42578125" customWidth="1"/>
    <col min="58" max="58" width="10" customWidth="1"/>
    <col min="59" max="59" width="15.42578125" hidden="1" customWidth="1"/>
    <col min="60" max="60" width="8.7109375" hidden="1" customWidth="1"/>
    <col min="61" max="61" width="12.85546875" hidden="1" customWidth="1"/>
    <col min="62" max="62" width="8.42578125" hidden="1" customWidth="1"/>
    <col min="63" max="63" width="17.7109375" bestFit="1" customWidth="1"/>
    <col min="64" max="64" width="14.42578125" bestFit="1" customWidth="1"/>
    <col min="65" max="65" width="8.85546875" bestFit="1" customWidth="1"/>
    <col min="66" max="66" width="10.28515625" bestFit="1" customWidth="1"/>
    <col min="67" max="67" width="13.28515625" bestFit="1" customWidth="1"/>
    <col min="68" max="68" width="10.42578125" bestFit="1" customWidth="1"/>
    <col min="70" max="70" width="15.42578125" bestFit="1" customWidth="1"/>
    <col min="71" max="71" width="10.42578125" bestFit="1" customWidth="1"/>
    <col min="74" max="74" width="10.42578125" bestFit="1" customWidth="1"/>
  </cols>
  <sheetData>
    <row r="1" spans="1:66" ht="15.75">
      <c r="A1" s="147"/>
      <c r="AE1" s="251"/>
    </row>
    <row r="2" spans="1:66" ht="15.75">
      <c r="A2" s="147"/>
      <c r="AE2" s="251"/>
      <c r="AI2" s="18"/>
    </row>
    <row r="3" spans="1:66" ht="15">
      <c r="A3" s="149"/>
      <c r="AE3" s="251"/>
    </row>
    <row r="4" spans="1:66" ht="15.75">
      <c r="A4" s="150" t="s">
        <v>288</v>
      </c>
      <c r="G4" s="13"/>
      <c r="AA4" s="13"/>
      <c r="AE4" s="251"/>
      <c r="AV4" s="18"/>
    </row>
    <row r="5" spans="1:66" ht="15.75">
      <c r="A5" s="150"/>
      <c r="G5" s="13"/>
      <c r="AA5" s="13"/>
      <c r="AE5" s="13"/>
    </row>
    <row r="6" spans="1:66" ht="18">
      <c r="A6" s="252"/>
      <c r="AA6" s="13"/>
      <c r="AE6" s="13"/>
      <c r="BD6" s="13"/>
      <c r="BE6" s="13"/>
      <c r="BF6" s="13"/>
      <c r="BL6" s="13"/>
    </row>
    <row r="7" spans="1:66" ht="16.5" thickBot="1">
      <c r="A7" s="253"/>
      <c r="B7" s="253"/>
      <c r="C7" s="253"/>
      <c r="D7" s="253"/>
      <c r="E7" s="253"/>
      <c r="F7" s="253"/>
      <c r="G7" s="253">
        <v>250</v>
      </c>
      <c r="K7" s="253">
        <v>250</v>
      </c>
      <c r="S7" s="253"/>
      <c r="T7" s="253"/>
      <c r="U7" s="254"/>
      <c r="V7" s="254"/>
      <c r="W7" s="253">
        <v>248.881</v>
      </c>
      <c r="X7" s="253"/>
      <c r="Y7" s="253"/>
      <c r="Z7" s="253"/>
      <c r="AA7" s="445">
        <v>250.69</v>
      </c>
      <c r="AB7" s="253"/>
      <c r="AC7" s="253"/>
      <c r="AD7" s="253"/>
      <c r="AE7" s="445">
        <v>251.53399999999999</v>
      </c>
      <c r="AF7" s="253"/>
      <c r="AG7" s="253"/>
      <c r="AH7" s="253"/>
      <c r="AI7" s="253">
        <v>238.345</v>
      </c>
      <c r="AJ7" s="253"/>
      <c r="AK7" s="253"/>
      <c r="AL7" s="253"/>
      <c r="AM7" s="253"/>
      <c r="AN7" s="253"/>
      <c r="AO7" s="253"/>
      <c r="AP7" s="253"/>
      <c r="AQ7" s="445">
        <v>251.53399999999999</v>
      </c>
      <c r="AR7" s="253"/>
      <c r="AS7" s="253"/>
      <c r="AT7" s="253"/>
      <c r="AU7" s="253">
        <v>248.881</v>
      </c>
      <c r="AV7" s="253"/>
      <c r="AW7" s="253"/>
      <c r="AX7" s="253"/>
      <c r="AY7" s="253"/>
      <c r="AZ7" s="253"/>
      <c r="BA7" s="253"/>
      <c r="BB7" s="253"/>
      <c r="BC7" s="254"/>
      <c r="BD7" s="254"/>
      <c r="BE7" s="253"/>
      <c r="BF7" s="253"/>
      <c r="BG7" s="253"/>
      <c r="BH7" s="253"/>
      <c r="BI7" s="253"/>
      <c r="BJ7" s="253"/>
      <c r="BK7" s="253"/>
      <c r="BL7" s="253"/>
      <c r="BM7" s="253"/>
      <c r="BN7" s="253"/>
    </row>
    <row r="8" spans="1:66" ht="38.25" customHeight="1" thickTop="1">
      <c r="A8" s="540" t="s">
        <v>29</v>
      </c>
      <c r="B8" s="540" t="s">
        <v>4</v>
      </c>
      <c r="C8" s="540" t="s">
        <v>5</v>
      </c>
      <c r="D8" s="542" t="s">
        <v>41</v>
      </c>
      <c r="E8" s="580" t="s">
        <v>39</v>
      </c>
      <c r="F8" s="581"/>
      <c r="G8" s="726" t="s">
        <v>377</v>
      </c>
      <c r="H8" s="727"/>
      <c r="I8" s="727"/>
      <c r="J8" s="728"/>
      <c r="K8" s="726" t="s">
        <v>482</v>
      </c>
      <c r="L8" s="727"/>
      <c r="M8" s="727"/>
      <c r="N8" s="728"/>
      <c r="O8" s="726" t="s">
        <v>42</v>
      </c>
      <c r="P8" s="727"/>
      <c r="Q8" s="727"/>
      <c r="R8" s="728"/>
      <c r="S8" s="726" t="s">
        <v>43</v>
      </c>
      <c r="T8" s="727"/>
      <c r="U8" s="727"/>
      <c r="V8" s="728"/>
      <c r="W8" s="580" t="s">
        <v>392</v>
      </c>
      <c r="X8" s="582"/>
      <c r="Y8" s="582"/>
      <c r="Z8" s="581"/>
      <c r="AA8" s="580" t="s">
        <v>172</v>
      </c>
      <c r="AB8" s="582"/>
      <c r="AC8" s="582"/>
      <c r="AD8" s="581"/>
      <c r="AE8" s="580" t="s">
        <v>227</v>
      </c>
      <c r="AF8" s="582"/>
      <c r="AG8" s="582"/>
      <c r="AH8" s="581"/>
      <c r="AI8" s="580" t="s">
        <v>381</v>
      </c>
      <c r="AJ8" s="582"/>
      <c r="AK8" s="582"/>
      <c r="AL8" s="581"/>
      <c r="AM8" s="726" t="s">
        <v>89</v>
      </c>
      <c r="AN8" s="727"/>
      <c r="AO8" s="727"/>
      <c r="AP8" s="728"/>
      <c r="AQ8" s="726" t="s">
        <v>419</v>
      </c>
      <c r="AR8" s="727"/>
      <c r="AS8" s="727"/>
      <c r="AT8" s="728"/>
      <c r="AU8" s="726" t="s">
        <v>470</v>
      </c>
      <c r="AV8" s="727"/>
      <c r="AW8" s="727"/>
      <c r="AX8" s="728"/>
      <c r="AY8" s="726" t="s">
        <v>146</v>
      </c>
      <c r="AZ8" s="727"/>
      <c r="BA8" s="727"/>
      <c r="BB8" s="728"/>
      <c r="BC8" s="726" t="s">
        <v>90</v>
      </c>
      <c r="BD8" s="727"/>
      <c r="BE8" s="727"/>
      <c r="BF8" s="728"/>
      <c r="BG8" s="580" t="s">
        <v>44</v>
      </c>
      <c r="BH8" s="582"/>
      <c r="BI8" s="582"/>
      <c r="BJ8" s="581"/>
      <c r="BK8" s="580" t="s">
        <v>45</v>
      </c>
      <c r="BL8" s="581"/>
      <c r="BM8" s="580" t="s">
        <v>46</v>
      </c>
      <c r="BN8" s="581"/>
    </row>
    <row r="9" spans="1:66">
      <c r="A9" s="541"/>
      <c r="B9" s="541"/>
      <c r="C9" s="541"/>
      <c r="D9" s="543"/>
      <c r="E9" s="2" t="s">
        <v>37</v>
      </c>
      <c r="F9" s="539" t="s">
        <v>38</v>
      </c>
      <c r="G9" s="8" t="s">
        <v>37</v>
      </c>
      <c r="H9" s="8" t="s">
        <v>11</v>
      </c>
      <c r="I9" s="543" t="s">
        <v>38</v>
      </c>
      <c r="J9" s="543" t="s">
        <v>11</v>
      </c>
      <c r="K9" s="8" t="s">
        <v>37</v>
      </c>
      <c r="L9" s="8" t="s">
        <v>11</v>
      </c>
      <c r="M9" s="543" t="s">
        <v>38</v>
      </c>
      <c r="N9" s="543" t="s">
        <v>11</v>
      </c>
      <c r="O9" s="8" t="s">
        <v>37</v>
      </c>
      <c r="P9" s="8" t="s">
        <v>11</v>
      </c>
      <c r="Q9" s="543" t="s">
        <v>38</v>
      </c>
      <c r="R9" s="543" t="s">
        <v>11</v>
      </c>
      <c r="S9" s="543" t="s">
        <v>37</v>
      </c>
      <c r="T9" s="543" t="s">
        <v>11</v>
      </c>
      <c r="U9" s="543" t="s">
        <v>38</v>
      </c>
      <c r="V9" s="543" t="s">
        <v>11</v>
      </c>
      <c r="W9" s="543" t="s">
        <v>37</v>
      </c>
      <c r="X9" s="543" t="s">
        <v>11</v>
      </c>
      <c r="Y9" s="543" t="s">
        <v>38</v>
      </c>
      <c r="Z9" s="543" t="s">
        <v>11</v>
      </c>
      <c r="AA9" s="543" t="s">
        <v>37</v>
      </c>
      <c r="AB9" s="543" t="s">
        <v>11</v>
      </c>
      <c r="AC9" s="543" t="s">
        <v>38</v>
      </c>
      <c r="AD9" s="543" t="s">
        <v>11</v>
      </c>
      <c r="AE9" s="543" t="s">
        <v>37</v>
      </c>
      <c r="AF9" s="543" t="s">
        <v>11</v>
      </c>
      <c r="AG9" s="543" t="s">
        <v>38</v>
      </c>
      <c r="AH9" s="543" t="s">
        <v>11</v>
      </c>
      <c r="AI9" s="543" t="s">
        <v>37</v>
      </c>
      <c r="AJ9" s="543" t="s">
        <v>11</v>
      </c>
      <c r="AK9" s="543" t="s">
        <v>38</v>
      </c>
      <c r="AL9" s="543" t="s">
        <v>11</v>
      </c>
      <c r="AM9" s="543" t="s">
        <v>37</v>
      </c>
      <c r="AN9" s="543" t="s">
        <v>11</v>
      </c>
      <c r="AO9" s="543" t="s">
        <v>38</v>
      </c>
      <c r="AP9" s="543" t="s">
        <v>11</v>
      </c>
      <c r="AQ9" s="543" t="s">
        <v>37</v>
      </c>
      <c r="AR9" s="543" t="s">
        <v>11</v>
      </c>
      <c r="AS9" s="543" t="s">
        <v>38</v>
      </c>
      <c r="AT9" s="543" t="s">
        <v>11</v>
      </c>
      <c r="AU9" s="543" t="s">
        <v>37</v>
      </c>
      <c r="AV9" s="543" t="s">
        <v>11</v>
      </c>
      <c r="AW9" s="543" t="s">
        <v>38</v>
      </c>
      <c r="AX9" s="543" t="s">
        <v>11</v>
      </c>
      <c r="AY9" s="543" t="s">
        <v>37</v>
      </c>
      <c r="AZ9" s="543" t="s">
        <v>11</v>
      </c>
      <c r="BA9" s="543" t="s">
        <v>38</v>
      </c>
      <c r="BB9" s="543" t="s">
        <v>11</v>
      </c>
      <c r="BC9" s="543" t="s">
        <v>37</v>
      </c>
      <c r="BD9" s="543" t="s">
        <v>11</v>
      </c>
      <c r="BE9" s="543" t="s">
        <v>38</v>
      </c>
      <c r="BF9" s="543" t="s">
        <v>11</v>
      </c>
      <c r="BG9" s="543" t="s">
        <v>37</v>
      </c>
      <c r="BH9" s="543" t="s">
        <v>11</v>
      </c>
      <c r="BI9" s="543" t="s">
        <v>38</v>
      </c>
      <c r="BJ9" s="543" t="s">
        <v>11</v>
      </c>
      <c r="BK9" s="543" t="s">
        <v>37</v>
      </c>
      <c r="BL9" s="543" t="s">
        <v>38</v>
      </c>
      <c r="BM9" s="543" t="s">
        <v>37</v>
      </c>
      <c r="BN9" s="543" t="s">
        <v>38</v>
      </c>
    </row>
    <row r="10" spans="1:66">
      <c r="A10" s="15">
        <f>+Chem!A9</f>
        <v>46113</v>
      </c>
      <c r="B10" s="5" t="str">
        <f>+Chem!B9</f>
        <v>Facial</v>
      </c>
      <c r="C10" s="309">
        <f>+Chem!C9</f>
        <v>11.5</v>
      </c>
      <c r="D10" s="7">
        <f>+Chem!D9</f>
        <v>36.92</v>
      </c>
      <c r="E10" s="6">
        <f>+Chem!E9</f>
        <v>34.951000000000001</v>
      </c>
      <c r="F10" s="6">
        <f>+E10</f>
        <v>34.951000000000001</v>
      </c>
      <c r="G10" s="95">
        <f>24.75*G7</f>
        <v>6187.5</v>
      </c>
      <c r="H10" s="9">
        <f t="shared" ref="H10:H40" si="0">G10/BK10*100</f>
        <v>15.708306384861048</v>
      </c>
      <c r="I10" s="7">
        <f>G10</f>
        <v>6187.5</v>
      </c>
      <c r="J10" s="9">
        <f t="shared" ref="J10:J40" si="1">I10/BL10*100</f>
        <v>15.708306384861048</v>
      </c>
      <c r="K10" s="95">
        <v>0</v>
      </c>
      <c r="L10" s="9">
        <f t="shared" ref="L10:L40" si="2">+K10/BK10*100</f>
        <v>0</v>
      </c>
      <c r="M10" s="9">
        <f>+K10</f>
        <v>0</v>
      </c>
      <c r="N10" s="9">
        <f t="shared" ref="N10:N40" si="3">+M10/BL10*100</f>
        <v>0</v>
      </c>
      <c r="O10" s="95"/>
      <c r="P10" s="9">
        <f t="shared" ref="P10:P40" si="4">+O10/BK10*100</f>
        <v>0</v>
      </c>
      <c r="Q10" s="9">
        <f>+O10</f>
        <v>0</v>
      </c>
      <c r="R10" s="9">
        <f t="shared" ref="R10:R40" si="5">+Q10/BL10*100</f>
        <v>0</v>
      </c>
      <c r="S10" s="9">
        <f>G10+K10+O10</f>
        <v>6187.5</v>
      </c>
      <c r="T10" s="9">
        <f t="shared" ref="T10:T40" si="6">S10/BK10*100</f>
        <v>15.708306384861048</v>
      </c>
      <c r="U10" s="9">
        <f>S10</f>
        <v>6187.5</v>
      </c>
      <c r="V10" s="9">
        <f t="shared" ref="V10:V40" si="7">U10/BL10*100</f>
        <v>15.708306384861048</v>
      </c>
      <c r="W10" s="95"/>
      <c r="X10" s="9">
        <f>W10/BK10*100</f>
        <v>0</v>
      </c>
      <c r="Y10" s="9">
        <f>W10</f>
        <v>0</v>
      </c>
      <c r="Z10" s="9">
        <f>Y10/BL10*100</f>
        <v>0</v>
      </c>
      <c r="AA10" s="95"/>
      <c r="AB10" s="9">
        <f t="shared" ref="AB10:AB40" si="8">AA10/BK10*100</f>
        <v>0</v>
      </c>
      <c r="AC10" s="9">
        <f>AA10</f>
        <v>0</v>
      </c>
      <c r="AD10" s="9">
        <f t="shared" ref="AD10:AD40" si="9">AC10/BL10*100</f>
        <v>0</v>
      </c>
      <c r="AE10" s="95"/>
      <c r="AF10" s="9">
        <f t="shared" ref="AF10:AF40" si="10">AE10/BK10*100</f>
        <v>0</v>
      </c>
      <c r="AG10" s="9">
        <f>AE10</f>
        <v>0</v>
      </c>
      <c r="AH10" s="9">
        <f t="shared" ref="AH10:AH40" si="11">AG10/BL10*100</f>
        <v>0</v>
      </c>
      <c r="AI10" s="95"/>
      <c r="AJ10" s="9">
        <f t="shared" ref="AJ10:AJ40" si="12">AI10/BK10*100</f>
        <v>0</v>
      </c>
      <c r="AK10" s="9">
        <f>AI10</f>
        <v>0</v>
      </c>
      <c r="AL10" s="9">
        <f t="shared" ref="AL10:AL40" si="13">AK10/BL10</f>
        <v>0</v>
      </c>
      <c r="AM10" s="9">
        <f>AA10+AE10+AI10+W10</f>
        <v>0</v>
      </c>
      <c r="AN10" s="9">
        <f t="shared" ref="AN10:AN39" si="14">AM10/BK10*100</f>
        <v>0</v>
      </c>
      <c r="AO10" s="9">
        <f>AM10</f>
        <v>0</v>
      </c>
      <c r="AP10" s="9">
        <f t="shared" ref="AP10:AP39" si="15">AO10/BL10*100</f>
        <v>0</v>
      </c>
      <c r="AQ10" s="95">
        <f>132*AQ7</f>
        <v>33202.487999999998</v>
      </c>
      <c r="AR10" s="9">
        <f t="shared" ref="AR10:AR39" si="16">+AQ10/BK10*100</f>
        <v>84.291693615138954</v>
      </c>
      <c r="AS10" s="9">
        <f>+AQ10</f>
        <v>33202.487999999998</v>
      </c>
      <c r="AT10" s="9">
        <f t="shared" ref="AT10:AT39" si="17">+AS10/BL10*100</f>
        <v>84.291693615138954</v>
      </c>
      <c r="AU10" s="95">
        <f>14*AV6</f>
        <v>0</v>
      </c>
      <c r="AV10" s="9">
        <f t="shared" ref="AV10:AV39" si="18">AU10/BK10*100</f>
        <v>0</v>
      </c>
      <c r="AW10" s="9">
        <f>AU10</f>
        <v>0</v>
      </c>
      <c r="AX10" s="9">
        <f t="shared" ref="AX10:AX39" si="19">AW10/BL10*100</f>
        <v>0</v>
      </c>
      <c r="AY10" s="95"/>
      <c r="AZ10" s="14">
        <f t="shared" ref="AZ10:AZ39" si="20">AY10/BK10*100</f>
        <v>0</v>
      </c>
      <c r="BA10" s="9">
        <f>AY10</f>
        <v>0</v>
      </c>
      <c r="BB10" s="9">
        <f t="shared" ref="BB10:BB39" si="21">BA10/BL10*100</f>
        <v>0</v>
      </c>
      <c r="BC10" s="9">
        <f>AQ10+AU10+AY10</f>
        <v>33202.487999999998</v>
      </c>
      <c r="BD10" s="9">
        <f t="shared" ref="BD10:BD39" si="22">BC10/BK10*100</f>
        <v>84.291693615138954</v>
      </c>
      <c r="BE10" s="9">
        <f>BC10</f>
        <v>33202.487999999998</v>
      </c>
      <c r="BF10" s="9">
        <f t="shared" ref="BF10:BF39" si="23">BE10/BL10*100</f>
        <v>84.291693615138954</v>
      </c>
      <c r="BG10" s="95">
        <v>0</v>
      </c>
      <c r="BH10" s="9">
        <f t="shared" ref="BH10:BH39" si="24">BG10/BK10*100</f>
        <v>0</v>
      </c>
      <c r="BI10" s="9">
        <f>BG10</f>
        <v>0</v>
      </c>
      <c r="BJ10" s="9">
        <f t="shared" ref="BJ10:BJ39" si="25">BI10/BL10*100</f>
        <v>0</v>
      </c>
      <c r="BK10" s="9">
        <f t="shared" ref="BK10:BK40" si="26">S10+AM10+BC10+BG10</f>
        <v>39389.987999999998</v>
      </c>
      <c r="BL10" s="9">
        <f>BK10</f>
        <v>39389.987999999998</v>
      </c>
      <c r="BM10" s="511">
        <f t="shared" ref="BM10:BM40" si="27">BK10/1000/E10</f>
        <v>1.1270060370232611</v>
      </c>
      <c r="BN10" s="9">
        <f t="shared" ref="BN10:BN40" si="28">(BL10/1000)/F10</f>
        <v>1.1270060370232611</v>
      </c>
    </row>
    <row r="11" spans="1:66">
      <c r="A11" s="15">
        <f>+Chem!A10</f>
        <v>46114</v>
      </c>
      <c r="B11" s="5" t="str">
        <f>+Chem!B10</f>
        <v>Facial</v>
      </c>
      <c r="C11" s="309">
        <f>+Chem!C10</f>
        <v>11.5</v>
      </c>
      <c r="D11" s="7">
        <f>+Chem!D10</f>
        <v>38.343000000000004</v>
      </c>
      <c r="E11" s="6">
        <f>+Chem!E10</f>
        <v>37.249000000000002</v>
      </c>
      <c r="F11" s="6">
        <f t="shared" ref="F11:F39" si="29">+E11+F10</f>
        <v>72.2</v>
      </c>
      <c r="G11" s="95">
        <f>27*G7</f>
        <v>6750</v>
      </c>
      <c r="H11" s="9">
        <f t="shared" si="0"/>
        <v>15.708306384861045</v>
      </c>
      <c r="I11" s="7">
        <f t="shared" ref="I11:I39" si="30">G11+I10</f>
        <v>12937.5</v>
      </c>
      <c r="J11" s="9">
        <f t="shared" si="1"/>
        <v>15.708306384861048</v>
      </c>
      <c r="K11" s="95"/>
      <c r="L11" s="9">
        <f t="shared" si="2"/>
        <v>0</v>
      </c>
      <c r="M11" s="9">
        <f t="shared" ref="M11:M39" si="31">+K11+M10</f>
        <v>0</v>
      </c>
      <c r="N11" s="9">
        <f t="shared" si="3"/>
        <v>0</v>
      </c>
      <c r="O11" s="95"/>
      <c r="P11" s="9">
        <f t="shared" si="4"/>
        <v>0</v>
      </c>
      <c r="Q11" s="9">
        <f t="shared" ref="Q11:Q39" si="32">+O11+Q10</f>
        <v>0</v>
      </c>
      <c r="R11" s="9">
        <f t="shared" si="5"/>
        <v>0</v>
      </c>
      <c r="S11" s="9">
        <f t="shared" ref="S11:S40" si="33">G11+K11+O11</f>
        <v>6750</v>
      </c>
      <c r="T11" s="9">
        <f t="shared" si="6"/>
        <v>15.708306384861045</v>
      </c>
      <c r="U11" s="9">
        <f t="shared" ref="U11:U39" si="34">S11+U10</f>
        <v>12937.5</v>
      </c>
      <c r="V11" s="9">
        <f t="shared" si="7"/>
        <v>15.708306384861048</v>
      </c>
      <c r="W11" s="95"/>
      <c r="X11" s="9"/>
      <c r="Y11" s="9"/>
      <c r="Z11" s="9"/>
      <c r="AA11" s="95"/>
      <c r="AB11" s="9">
        <f t="shared" si="8"/>
        <v>0</v>
      </c>
      <c r="AC11" s="9">
        <f t="shared" ref="AC11:AC39" si="35">AA11+AC10</f>
        <v>0</v>
      </c>
      <c r="AD11" s="9">
        <f t="shared" si="9"/>
        <v>0</v>
      </c>
      <c r="AE11" s="95"/>
      <c r="AF11" s="9">
        <f t="shared" si="10"/>
        <v>0</v>
      </c>
      <c r="AG11" s="9">
        <f t="shared" ref="AG11:AG39" si="36">AE11+AG10</f>
        <v>0</v>
      </c>
      <c r="AH11" s="9">
        <f t="shared" si="11"/>
        <v>0</v>
      </c>
      <c r="AI11" s="95"/>
      <c r="AJ11" s="9">
        <f t="shared" si="12"/>
        <v>0</v>
      </c>
      <c r="AK11" s="9">
        <f t="shared" ref="AK11:AK39" si="37">AI11+AK10</f>
        <v>0</v>
      </c>
      <c r="AL11" s="9">
        <f t="shared" si="13"/>
        <v>0</v>
      </c>
      <c r="AM11" s="9">
        <f t="shared" ref="AM11:AM40" si="38">AA11+AE11+AI11+W11</f>
        <v>0</v>
      </c>
      <c r="AN11" s="9">
        <f t="shared" si="14"/>
        <v>0</v>
      </c>
      <c r="AO11" s="9">
        <f t="shared" ref="AO11:AO39" si="39">AM11+AO10</f>
        <v>0</v>
      </c>
      <c r="AP11" s="9">
        <f t="shared" si="15"/>
        <v>0</v>
      </c>
      <c r="AQ11" s="95">
        <f>144*AQ7</f>
        <v>36220.896000000001</v>
      </c>
      <c r="AR11" s="9">
        <f t="shared" si="16"/>
        <v>84.291693615138954</v>
      </c>
      <c r="AS11" s="9">
        <f t="shared" ref="AS11:AS39" si="40">+AQ11+AS10</f>
        <v>69423.383999999991</v>
      </c>
      <c r="AT11" s="9">
        <f t="shared" si="17"/>
        <v>84.291693615138954</v>
      </c>
      <c r="AU11" s="95"/>
      <c r="AV11" s="9">
        <f t="shared" si="18"/>
        <v>0</v>
      </c>
      <c r="AW11" s="9">
        <f t="shared" ref="AW11:AW39" si="41">AU11+AW10</f>
        <v>0</v>
      </c>
      <c r="AX11" s="9">
        <f t="shared" si="19"/>
        <v>0</v>
      </c>
      <c r="AY11" s="95"/>
      <c r="AZ11" s="14">
        <f t="shared" si="20"/>
        <v>0</v>
      </c>
      <c r="BA11" s="9">
        <f t="shared" ref="BA11:BA39" si="42">AY11+BA10</f>
        <v>0</v>
      </c>
      <c r="BB11" s="9">
        <f t="shared" si="21"/>
        <v>0</v>
      </c>
      <c r="BC11" s="9">
        <f t="shared" ref="BC11:BC39" si="43">AQ11+AU11+AY11</f>
        <v>36220.896000000001</v>
      </c>
      <c r="BD11" s="9">
        <f t="shared" si="22"/>
        <v>84.291693615138954</v>
      </c>
      <c r="BE11" s="9">
        <f t="shared" ref="BE11:BE39" si="44">BC11+BE10</f>
        <v>69423.383999999991</v>
      </c>
      <c r="BF11" s="9">
        <f t="shared" si="23"/>
        <v>84.291693615138954</v>
      </c>
      <c r="BG11" s="95">
        <v>0</v>
      </c>
      <c r="BH11" s="9">
        <f t="shared" si="24"/>
        <v>0</v>
      </c>
      <c r="BI11" s="9">
        <f t="shared" ref="BI11:BI39" si="45">BG11+BI10</f>
        <v>0</v>
      </c>
      <c r="BJ11" s="9">
        <f t="shared" si="25"/>
        <v>0</v>
      </c>
      <c r="BK11" s="9">
        <f t="shared" si="26"/>
        <v>42970.896000000001</v>
      </c>
      <c r="BL11" s="9">
        <f t="shared" ref="BL11:BL39" si="46">BK11+BL10</f>
        <v>82360.883999999991</v>
      </c>
      <c r="BM11" s="511">
        <f t="shared" si="27"/>
        <v>1.153612070122688</v>
      </c>
      <c r="BN11" s="9">
        <f t="shared" si="28"/>
        <v>1.140732465373961</v>
      </c>
    </row>
    <row r="12" spans="1:66">
      <c r="A12" s="15">
        <f>+Chem!A11</f>
        <v>46115</v>
      </c>
      <c r="B12" s="5" t="str">
        <f>+Chem!B11</f>
        <v>Facial</v>
      </c>
      <c r="C12" s="309">
        <f>+Chem!C11</f>
        <v>11.5</v>
      </c>
      <c r="D12" s="7">
        <f>+Chem!D11</f>
        <v>37.472000000000001</v>
      </c>
      <c r="E12" s="6">
        <f>+Chem!E11</f>
        <v>37.430999999999997</v>
      </c>
      <c r="F12" s="6">
        <f t="shared" si="29"/>
        <v>109.631</v>
      </c>
      <c r="G12" s="95">
        <f>25.5*G7</f>
        <v>6375</v>
      </c>
      <c r="H12" s="9">
        <f t="shared" si="0"/>
        <v>15.708306384861048</v>
      </c>
      <c r="I12" s="7">
        <f t="shared" si="30"/>
        <v>19312.5</v>
      </c>
      <c r="J12" s="9">
        <f t="shared" si="1"/>
        <v>15.708306384861048</v>
      </c>
      <c r="K12" s="95"/>
      <c r="L12" s="9">
        <f t="shared" si="2"/>
        <v>0</v>
      </c>
      <c r="M12" s="9">
        <f t="shared" si="31"/>
        <v>0</v>
      </c>
      <c r="N12" s="9">
        <f t="shared" si="3"/>
        <v>0</v>
      </c>
      <c r="O12" s="95"/>
      <c r="P12" s="9">
        <f t="shared" si="4"/>
        <v>0</v>
      </c>
      <c r="Q12" s="9">
        <f t="shared" si="32"/>
        <v>0</v>
      </c>
      <c r="R12" s="9">
        <f t="shared" si="5"/>
        <v>0</v>
      </c>
      <c r="S12" s="9">
        <f t="shared" si="33"/>
        <v>6375</v>
      </c>
      <c r="T12" s="9">
        <f t="shared" si="6"/>
        <v>15.708306384861048</v>
      </c>
      <c r="U12" s="9">
        <f t="shared" si="34"/>
        <v>19312.5</v>
      </c>
      <c r="V12" s="9">
        <f t="shared" si="7"/>
        <v>15.708306384861048</v>
      </c>
      <c r="W12" s="95"/>
      <c r="X12" s="9"/>
      <c r="Y12" s="9"/>
      <c r="Z12" s="9"/>
      <c r="AA12" s="95"/>
      <c r="AB12" s="9">
        <f t="shared" si="8"/>
        <v>0</v>
      </c>
      <c r="AC12" s="9">
        <f t="shared" si="35"/>
        <v>0</v>
      </c>
      <c r="AD12" s="9">
        <f t="shared" si="9"/>
        <v>0</v>
      </c>
      <c r="AE12" s="95"/>
      <c r="AF12" s="9">
        <f t="shared" si="10"/>
        <v>0</v>
      </c>
      <c r="AG12" s="9">
        <f t="shared" si="36"/>
        <v>0</v>
      </c>
      <c r="AH12" s="9">
        <f t="shared" si="11"/>
        <v>0</v>
      </c>
      <c r="AI12" s="95"/>
      <c r="AJ12" s="9">
        <f t="shared" si="12"/>
        <v>0</v>
      </c>
      <c r="AK12" s="9">
        <f t="shared" si="37"/>
        <v>0</v>
      </c>
      <c r="AL12" s="9">
        <f t="shared" si="13"/>
        <v>0</v>
      </c>
      <c r="AM12" s="9">
        <f t="shared" si="38"/>
        <v>0</v>
      </c>
      <c r="AN12" s="9">
        <f t="shared" si="14"/>
        <v>0</v>
      </c>
      <c r="AO12" s="9">
        <f t="shared" si="39"/>
        <v>0</v>
      </c>
      <c r="AP12" s="9">
        <f t="shared" si="15"/>
        <v>0</v>
      </c>
      <c r="AQ12" s="95">
        <f>136*AQ7</f>
        <v>34208.623999999996</v>
      </c>
      <c r="AR12" s="9">
        <f t="shared" si="16"/>
        <v>84.291693615138954</v>
      </c>
      <c r="AS12" s="9">
        <f t="shared" si="40"/>
        <v>103632.00799999999</v>
      </c>
      <c r="AT12" s="9">
        <f t="shared" si="17"/>
        <v>84.291693615138954</v>
      </c>
      <c r="AU12" s="95"/>
      <c r="AV12" s="9">
        <f t="shared" si="18"/>
        <v>0</v>
      </c>
      <c r="AW12" s="9">
        <f t="shared" si="41"/>
        <v>0</v>
      </c>
      <c r="AX12" s="9">
        <f t="shared" si="19"/>
        <v>0</v>
      </c>
      <c r="AY12" s="95"/>
      <c r="AZ12" s="14">
        <f t="shared" si="20"/>
        <v>0</v>
      </c>
      <c r="BA12" s="9">
        <f t="shared" si="42"/>
        <v>0</v>
      </c>
      <c r="BB12" s="9">
        <f t="shared" si="21"/>
        <v>0</v>
      </c>
      <c r="BC12" s="9">
        <f t="shared" si="43"/>
        <v>34208.623999999996</v>
      </c>
      <c r="BD12" s="9">
        <f t="shared" si="22"/>
        <v>84.291693615138954</v>
      </c>
      <c r="BE12" s="9">
        <f t="shared" si="44"/>
        <v>103632.00799999999</v>
      </c>
      <c r="BF12" s="9">
        <f t="shared" si="23"/>
        <v>84.291693615138954</v>
      </c>
      <c r="BG12" s="95">
        <v>0</v>
      </c>
      <c r="BH12" s="9">
        <f t="shared" si="24"/>
        <v>0</v>
      </c>
      <c r="BI12" s="9">
        <f t="shared" si="45"/>
        <v>0</v>
      </c>
      <c r="BJ12" s="9">
        <f t="shared" si="25"/>
        <v>0</v>
      </c>
      <c r="BK12" s="9">
        <f t="shared" si="26"/>
        <v>40583.623999999996</v>
      </c>
      <c r="BL12" s="9">
        <f t="shared" si="46"/>
        <v>122944.50799999999</v>
      </c>
      <c r="BM12" s="511">
        <f t="shared" si="27"/>
        <v>1.084224947236248</v>
      </c>
      <c r="BN12" s="9">
        <f t="shared" si="28"/>
        <v>1.1214392644416267</v>
      </c>
    </row>
    <row r="13" spans="1:66">
      <c r="A13" s="15">
        <f>+Chem!A12</f>
        <v>46116</v>
      </c>
      <c r="B13" s="5" t="str">
        <f>+Chem!B12</f>
        <v>Facial</v>
      </c>
      <c r="C13" s="309" t="str">
        <f>+Chem!C12</f>
        <v>11,5/14/13</v>
      </c>
      <c r="D13" s="7">
        <f>+Chem!D12</f>
        <v>42.465000000000003</v>
      </c>
      <c r="E13" s="6">
        <f>+Chem!E12</f>
        <v>41.97</v>
      </c>
      <c r="F13" s="6">
        <f t="shared" si="29"/>
        <v>151.601</v>
      </c>
      <c r="G13" s="95">
        <f>29.75*G7</f>
        <v>7437.5</v>
      </c>
      <c r="H13" s="9">
        <f t="shared" si="0"/>
        <v>16.651915215410742</v>
      </c>
      <c r="I13" s="7">
        <f t="shared" si="30"/>
        <v>26750</v>
      </c>
      <c r="J13" s="9">
        <f t="shared" si="1"/>
        <v>15.959759688379579</v>
      </c>
      <c r="K13" s="95"/>
      <c r="L13" s="9">
        <f t="shared" si="2"/>
        <v>0</v>
      </c>
      <c r="M13" s="9">
        <f t="shared" si="31"/>
        <v>0</v>
      </c>
      <c r="N13" s="9">
        <f t="shared" si="3"/>
        <v>0</v>
      </c>
      <c r="O13" s="95"/>
      <c r="P13" s="9">
        <f t="shared" si="4"/>
        <v>0</v>
      </c>
      <c r="Q13" s="9">
        <f t="shared" si="32"/>
        <v>0</v>
      </c>
      <c r="R13" s="9">
        <f t="shared" si="5"/>
        <v>0</v>
      </c>
      <c r="S13" s="9">
        <f t="shared" si="33"/>
        <v>7437.5</v>
      </c>
      <c r="T13" s="9">
        <f t="shared" si="6"/>
        <v>16.651915215410742</v>
      </c>
      <c r="U13" s="9">
        <f t="shared" si="34"/>
        <v>26750</v>
      </c>
      <c r="V13" s="9">
        <f t="shared" si="7"/>
        <v>15.959759688379579</v>
      </c>
      <c r="W13" s="95"/>
      <c r="X13" s="9"/>
      <c r="Y13" s="9"/>
      <c r="Z13" s="9"/>
      <c r="AA13" s="95"/>
      <c r="AB13" s="9">
        <f t="shared" si="8"/>
        <v>0</v>
      </c>
      <c r="AC13" s="9">
        <f t="shared" si="35"/>
        <v>0</v>
      </c>
      <c r="AD13" s="9">
        <f t="shared" si="9"/>
        <v>0</v>
      </c>
      <c r="AE13" s="95"/>
      <c r="AF13" s="9">
        <f t="shared" si="10"/>
        <v>0</v>
      </c>
      <c r="AG13" s="9">
        <f t="shared" si="36"/>
        <v>0</v>
      </c>
      <c r="AH13" s="9">
        <f t="shared" si="11"/>
        <v>0</v>
      </c>
      <c r="AI13" s="95"/>
      <c r="AJ13" s="9">
        <f t="shared" si="12"/>
        <v>0</v>
      </c>
      <c r="AK13" s="9">
        <f t="shared" si="37"/>
        <v>0</v>
      </c>
      <c r="AL13" s="9">
        <f t="shared" si="13"/>
        <v>0</v>
      </c>
      <c r="AM13" s="9">
        <f t="shared" si="38"/>
        <v>0</v>
      </c>
      <c r="AN13" s="9">
        <f t="shared" si="14"/>
        <v>0</v>
      </c>
      <c r="AO13" s="9">
        <f t="shared" si="39"/>
        <v>0</v>
      </c>
      <c r="AP13" s="9">
        <f t="shared" si="15"/>
        <v>0</v>
      </c>
      <c r="AQ13" s="95">
        <f>148*AQ7</f>
        <v>37227.031999999999</v>
      </c>
      <c r="AR13" s="9">
        <f t="shared" si="16"/>
        <v>83.348084784589261</v>
      </c>
      <c r="AS13" s="9">
        <f t="shared" si="40"/>
        <v>140859.03999999998</v>
      </c>
      <c r="AT13" s="9">
        <f t="shared" si="17"/>
        <v>84.040240311620423</v>
      </c>
      <c r="AU13" s="95"/>
      <c r="AV13" s="9">
        <f t="shared" si="18"/>
        <v>0</v>
      </c>
      <c r="AW13" s="9">
        <f t="shared" si="41"/>
        <v>0</v>
      </c>
      <c r="AX13" s="9">
        <f t="shared" si="19"/>
        <v>0</v>
      </c>
      <c r="AY13" s="95"/>
      <c r="AZ13" s="14">
        <f t="shared" si="20"/>
        <v>0</v>
      </c>
      <c r="BA13" s="9">
        <f t="shared" si="42"/>
        <v>0</v>
      </c>
      <c r="BB13" s="9">
        <f t="shared" si="21"/>
        <v>0</v>
      </c>
      <c r="BC13" s="9">
        <f t="shared" si="43"/>
        <v>37227.031999999999</v>
      </c>
      <c r="BD13" s="9">
        <f t="shared" si="22"/>
        <v>83.348084784589261</v>
      </c>
      <c r="BE13" s="9">
        <f t="shared" si="44"/>
        <v>140859.03999999998</v>
      </c>
      <c r="BF13" s="9">
        <f t="shared" si="23"/>
        <v>84.040240311620423</v>
      </c>
      <c r="BG13" s="95">
        <v>0</v>
      </c>
      <c r="BH13" s="9">
        <f t="shared" si="24"/>
        <v>0</v>
      </c>
      <c r="BI13" s="9">
        <f t="shared" si="45"/>
        <v>0</v>
      </c>
      <c r="BJ13" s="9">
        <f t="shared" si="25"/>
        <v>0</v>
      </c>
      <c r="BK13" s="9">
        <f t="shared" si="26"/>
        <v>44664.531999999999</v>
      </c>
      <c r="BL13" s="9">
        <f t="shared" si="46"/>
        <v>167609.03999999998</v>
      </c>
      <c r="BM13" s="511">
        <f t="shared" si="27"/>
        <v>1.0642013819394807</v>
      </c>
      <c r="BN13" s="9">
        <f t="shared" si="28"/>
        <v>1.1055932348731208</v>
      </c>
    </row>
    <row r="14" spans="1:66">
      <c r="A14" s="15">
        <f>+Chem!A13</f>
        <v>46117</v>
      </c>
      <c r="B14" s="5" t="str">
        <f>+Chem!B13</f>
        <v>Facial</v>
      </c>
      <c r="C14" s="309" t="str">
        <f>+Chem!C13</f>
        <v>11,5</v>
      </c>
      <c r="D14" s="7">
        <f>+Chem!D13</f>
        <v>39.04</v>
      </c>
      <c r="E14" s="6">
        <f>+Chem!E13</f>
        <v>39.289000000000001</v>
      </c>
      <c r="F14" s="6">
        <f t="shared" si="29"/>
        <v>190.89</v>
      </c>
      <c r="G14" s="96">
        <f>27*G7</f>
        <v>6750</v>
      </c>
      <c r="H14" s="86">
        <f t="shared" si="0"/>
        <v>15.708306384861045</v>
      </c>
      <c r="I14" s="7">
        <f t="shared" si="30"/>
        <v>33500</v>
      </c>
      <c r="J14" s="86">
        <f t="shared" si="1"/>
        <v>15.908448181881868</v>
      </c>
      <c r="K14" s="96"/>
      <c r="L14" s="86">
        <f t="shared" si="2"/>
        <v>0</v>
      </c>
      <c r="M14" s="86">
        <f t="shared" si="31"/>
        <v>0</v>
      </c>
      <c r="N14" s="86">
        <f t="shared" si="3"/>
        <v>0</v>
      </c>
      <c r="O14" s="96"/>
      <c r="P14" s="86">
        <f t="shared" si="4"/>
        <v>0</v>
      </c>
      <c r="Q14" s="86">
        <f t="shared" si="32"/>
        <v>0</v>
      </c>
      <c r="R14" s="86">
        <f t="shared" si="5"/>
        <v>0</v>
      </c>
      <c r="S14" s="9">
        <f t="shared" si="33"/>
        <v>6750</v>
      </c>
      <c r="T14" s="86">
        <f t="shared" si="6"/>
        <v>15.708306384861045</v>
      </c>
      <c r="U14" s="86">
        <f t="shared" si="34"/>
        <v>33500</v>
      </c>
      <c r="V14" s="86">
        <f t="shared" si="7"/>
        <v>15.908448181881868</v>
      </c>
      <c r="W14" s="96"/>
      <c r="X14" s="86"/>
      <c r="Y14" s="86"/>
      <c r="Z14" s="86"/>
      <c r="AA14" s="96"/>
      <c r="AB14" s="86">
        <f t="shared" si="8"/>
        <v>0</v>
      </c>
      <c r="AC14" s="86">
        <f t="shared" si="35"/>
        <v>0</v>
      </c>
      <c r="AD14" s="86">
        <f t="shared" si="9"/>
        <v>0</v>
      </c>
      <c r="AE14" s="96"/>
      <c r="AF14" s="86">
        <f t="shared" si="10"/>
        <v>0</v>
      </c>
      <c r="AG14" s="86">
        <f t="shared" si="36"/>
        <v>0</v>
      </c>
      <c r="AH14" s="86">
        <f t="shared" si="11"/>
        <v>0</v>
      </c>
      <c r="AI14" s="96"/>
      <c r="AJ14" s="86">
        <f t="shared" si="12"/>
        <v>0</v>
      </c>
      <c r="AK14" s="86">
        <f t="shared" si="37"/>
        <v>0</v>
      </c>
      <c r="AL14" s="86">
        <f t="shared" si="13"/>
        <v>0</v>
      </c>
      <c r="AM14" s="9">
        <f t="shared" si="38"/>
        <v>0</v>
      </c>
      <c r="AN14" s="86">
        <f t="shared" si="14"/>
        <v>0</v>
      </c>
      <c r="AO14" s="86">
        <f t="shared" si="39"/>
        <v>0</v>
      </c>
      <c r="AP14" s="86">
        <f t="shared" si="15"/>
        <v>0</v>
      </c>
      <c r="AQ14" s="96">
        <f>144*AQ7</f>
        <v>36220.896000000001</v>
      </c>
      <c r="AR14" s="86">
        <f t="shared" si="16"/>
        <v>84.291693615138954</v>
      </c>
      <c r="AS14" s="86">
        <f t="shared" si="40"/>
        <v>177079.93599999999</v>
      </c>
      <c r="AT14" s="86">
        <f t="shared" si="17"/>
        <v>84.09155181811812</v>
      </c>
      <c r="AU14" s="96"/>
      <c r="AV14" s="86">
        <f t="shared" si="18"/>
        <v>0</v>
      </c>
      <c r="AW14" s="86">
        <f t="shared" si="41"/>
        <v>0</v>
      </c>
      <c r="AX14" s="86">
        <f t="shared" si="19"/>
        <v>0</v>
      </c>
      <c r="AY14" s="96"/>
      <c r="AZ14" s="87">
        <f t="shared" si="20"/>
        <v>0</v>
      </c>
      <c r="BA14" s="86">
        <f t="shared" si="42"/>
        <v>0</v>
      </c>
      <c r="BB14" s="86">
        <f t="shared" si="21"/>
        <v>0</v>
      </c>
      <c r="BC14" s="86">
        <f t="shared" si="43"/>
        <v>36220.896000000001</v>
      </c>
      <c r="BD14" s="86">
        <f t="shared" si="22"/>
        <v>84.291693615138954</v>
      </c>
      <c r="BE14" s="86">
        <f t="shared" si="44"/>
        <v>177079.93599999999</v>
      </c>
      <c r="BF14" s="86">
        <f t="shared" si="23"/>
        <v>84.09155181811812</v>
      </c>
      <c r="BG14" s="96">
        <v>0</v>
      </c>
      <c r="BH14" s="86">
        <f t="shared" si="24"/>
        <v>0</v>
      </c>
      <c r="BI14" s="86">
        <f t="shared" si="45"/>
        <v>0</v>
      </c>
      <c r="BJ14" s="86">
        <f t="shared" si="25"/>
        <v>0</v>
      </c>
      <c r="BK14" s="86">
        <f t="shared" si="26"/>
        <v>42970.896000000001</v>
      </c>
      <c r="BL14" s="86">
        <f t="shared" si="46"/>
        <v>210579.93599999999</v>
      </c>
      <c r="BM14" s="511">
        <f t="shared" si="27"/>
        <v>1.0937131512637126</v>
      </c>
      <c r="BN14" s="86">
        <f t="shared" si="28"/>
        <v>1.1031480748074807</v>
      </c>
    </row>
    <row r="15" spans="1:66">
      <c r="A15" s="15">
        <f>+Chem!A14</f>
        <v>46118</v>
      </c>
      <c r="B15" s="5" t="str">
        <f>+Chem!B14</f>
        <v>Facial</v>
      </c>
      <c r="C15" s="309" t="str">
        <f>+Chem!C14</f>
        <v>11,5/12/14</v>
      </c>
      <c r="D15" s="7">
        <f>+Chem!D14</f>
        <v>41.542000000000002</v>
      </c>
      <c r="E15" s="6">
        <f>+Chem!E14</f>
        <v>39.037999999999997</v>
      </c>
      <c r="F15" s="6">
        <f t="shared" si="29"/>
        <v>229.928</v>
      </c>
      <c r="G15" s="96">
        <f>30*G7</f>
        <v>7500</v>
      </c>
      <c r="H15" s="86">
        <f t="shared" si="0"/>
        <v>15.810212689099631</v>
      </c>
      <c r="I15" s="7">
        <f t="shared" si="30"/>
        <v>41000</v>
      </c>
      <c r="J15" s="86">
        <f t="shared" si="1"/>
        <v>15.890387148276552</v>
      </c>
      <c r="K15" s="96"/>
      <c r="L15" s="86">
        <f t="shared" si="2"/>
        <v>0</v>
      </c>
      <c r="M15" s="86">
        <f t="shared" si="31"/>
        <v>0</v>
      </c>
      <c r="N15" s="86">
        <f t="shared" si="3"/>
        <v>0</v>
      </c>
      <c r="O15" s="96"/>
      <c r="P15" s="86">
        <f t="shared" si="4"/>
        <v>0</v>
      </c>
      <c r="Q15" s="86">
        <f t="shared" si="32"/>
        <v>0</v>
      </c>
      <c r="R15" s="86">
        <f t="shared" si="5"/>
        <v>0</v>
      </c>
      <c r="S15" s="9">
        <f t="shared" si="33"/>
        <v>7500</v>
      </c>
      <c r="T15" s="86">
        <f t="shared" si="6"/>
        <v>15.810212689099631</v>
      </c>
      <c r="U15" s="86">
        <f t="shared" si="34"/>
        <v>41000</v>
      </c>
      <c r="V15" s="86">
        <f t="shared" si="7"/>
        <v>15.890387148276552</v>
      </c>
      <c r="W15" s="96"/>
      <c r="X15" s="86"/>
      <c r="Y15" s="86"/>
      <c r="Z15" s="86"/>
      <c r="AA15" s="96"/>
      <c r="AB15" s="86">
        <f t="shared" si="8"/>
        <v>0</v>
      </c>
      <c r="AC15" s="86">
        <f t="shared" si="35"/>
        <v>0</v>
      </c>
      <c r="AD15" s="86">
        <f t="shared" si="9"/>
        <v>0</v>
      </c>
      <c r="AE15" s="96"/>
      <c r="AF15" s="86">
        <f t="shared" si="10"/>
        <v>0</v>
      </c>
      <c r="AG15" s="86">
        <f t="shared" si="36"/>
        <v>0</v>
      </c>
      <c r="AH15" s="86">
        <f t="shared" si="11"/>
        <v>0</v>
      </c>
      <c r="AI15" s="96"/>
      <c r="AJ15" s="86">
        <f t="shared" si="12"/>
        <v>0</v>
      </c>
      <c r="AK15" s="86">
        <f t="shared" si="37"/>
        <v>0</v>
      </c>
      <c r="AL15" s="86">
        <f t="shared" si="13"/>
        <v>0</v>
      </c>
      <c r="AM15" s="9">
        <f t="shared" si="38"/>
        <v>0</v>
      </c>
      <c r="AN15" s="86">
        <f t="shared" si="14"/>
        <v>0</v>
      </c>
      <c r="AO15" s="86">
        <f t="shared" si="39"/>
        <v>0</v>
      </c>
      <c r="AP15" s="86">
        <f t="shared" si="15"/>
        <v>0</v>
      </c>
      <c r="AQ15" s="96">
        <f>44*AQ7</f>
        <v>11067.495999999999</v>
      </c>
      <c r="AR15" s="86">
        <f t="shared" si="16"/>
        <v>23.330595426101254</v>
      </c>
      <c r="AS15" s="86">
        <f t="shared" si="40"/>
        <v>188147.43199999997</v>
      </c>
      <c r="AT15" s="86">
        <f t="shared" si="17"/>
        <v>72.920378913025274</v>
      </c>
      <c r="AU15" s="96">
        <f>116*AU7</f>
        <v>28870.196</v>
      </c>
      <c r="AV15" s="86">
        <f t="shared" si="18"/>
        <v>60.859191884799124</v>
      </c>
      <c r="AW15" s="86">
        <f t="shared" si="41"/>
        <v>28870.196</v>
      </c>
      <c r="AX15" s="86">
        <f t="shared" si="19"/>
        <v>11.189233938698175</v>
      </c>
      <c r="AY15" s="96"/>
      <c r="AZ15" s="87">
        <f t="shared" si="20"/>
        <v>0</v>
      </c>
      <c r="BA15" s="86">
        <f t="shared" si="42"/>
        <v>0</v>
      </c>
      <c r="BB15" s="86">
        <f t="shared" si="21"/>
        <v>0</v>
      </c>
      <c r="BC15" s="86">
        <f t="shared" si="43"/>
        <v>39937.691999999995</v>
      </c>
      <c r="BD15" s="86">
        <f t="shared" si="22"/>
        <v>84.189787310900371</v>
      </c>
      <c r="BE15" s="86">
        <f t="shared" si="44"/>
        <v>217017.62799999997</v>
      </c>
      <c r="BF15" s="86">
        <f t="shared" si="23"/>
        <v>84.109612851723455</v>
      </c>
      <c r="BG15" s="96">
        <v>0</v>
      </c>
      <c r="BH15" s="86">
        <f t="shared" si="24"/>
        <v>0</v>
      </c>
      <c r="BI15" s="86">
        <f t="shared" si="45"/>
        <v>0</v>
      </c>
      <c r="BJ15" s="86">
        <f t="shared" si="25"/>
        <v>0</v>
      </c>
      <c r="BK15" s="86">
        <f t="shared" si="26"/>
        <v>47437.691999999995</v>
      </c>
      <c r="BL15" s="86">
        <f t="shared" si="46"/>
        <v>258017.62799999997</v>
      </c>
      <c r="BM15" s="511">
        <f t="shared" si="27"/>
        <v>1.2151670679850404</v>
      </c>
      <c r="BN15" s="86">
        <f t="shared" si="28"/>
        <v>1.1221670609930063</v>
      </c>
    </row>
    <row r="16" spans="1:66">
      <c r="A16" s="15">
        <f>+Chem!A15</f>
        <v>46119</v>
      </c>
      <c r="B16" s="5" t="str">
        <f>+Chem!B15</f>
        <v>Facial</v>
      </c>
      <c r="C16" s="309" t="str">
        <f>+Chem!C15</f>
        <v>14/16</v>
      </c>
      <c r="D16" s="7">
        <f>+Chem!D15</f>
        <v>43.432000000000002</v>
      </c>
      <c r="E16" s="6">
        <f>+Chem!E15</f>
        <v>39.841000000000001</v>
      </c>
      <c r="F16" s="6">
        <f t="shared" si="29"/>
        <v>269.76900000000001</v>
      </c>
      <c r="G16" s="96"/>
      <c r="H16" s="86">
        <f t="shared" si="0"/>
        <v>0</v>
      </c>
      <c r="I16" s="7">
        <f t="shared" si="30"/>
        <v>41000</v>
      </c>
      <c r="J16" s="86">
        <f t="shared" si="1"/>
        <v>13.588441811919157</v>
      </c>
      <c r="K16" s="96">
        <f>27.5*K7</f>
        <v>6875</v>
      </c>
      <c r="L16" s="86">
        <f t="shared" si="2"/>
        <v>15.728886435106343</v>
      </c>
      <c r="M16" s="86">
        <f t="shared" si="31"/>
        <v>6875</v>
      </c>
      <c r="N16" s="86">
        <f t="shared" si="3"/>
        <v>2.2785496940718097</v>
      </c>
      <c r="O16" s="96"/>
      <c r="P16" s="86">
        <f t="shared" si="4"/>
        <v>0</v>
      </c>
      <c r="Q16" s="86">
        <f t="shared" si="32"/>
        <v>0</v>
      </c>
      <c r="R16" s="86">
        <f t="shared" si="5"/>
        <v>0</v>
      </c>
      <c r="S16" s="9">
        <f t="shared" si="33"/>
        <v>6875</v>
      </c>
      <c r="T16" s="86">
        <f t="shared" si="6"/>
        <v>15.728886435106343</v>
      </c>
      <c r="U16" s="86">
        <f t="shared" si="34"/>
        <v>47875</v>
      </c>
      <c r="V16" s="86">
        <f t="shared" si="7"/>
        <v>15.866991505990969</v>
      </c>
      <c r="W16" s="96"/>
      <c r="X16" s="86"/>
      <c r="Y16" s="86"/>
      <c r="Z16" s="86"/>
      <c r="AA16" s="96"/>
      <c r="AB16" s="86">
        <f t="shared" si="8"/>
        <v>0</v>
      </c>
      <c r="AC16" s="86">
        <f t="shared" si="35"/>
        <v>0</v>
      </c>
      <c r="AD16" s="86">
        <f t="shared" si="9"/>
        <v>0</v>
      </c>
      <c r="AE16" s="96"/>
      <c r="AF16" s="86">
        <f t="shared" si="10"/>
        <v>0</v>
      </c>
      <c r="AG16" s="86">
        <f t="shared" si="36"/>
        <v>0</v>
      </c>
      <c r="AH16" s="86">
        <f t="shared" si="11"/>
        <v>0</v>
      </c>
      <c r="AI16" s="96"/>
      <c r="AJ16" s="86">
        <f t="shared" si="12"/>
        <v>0</v>
      </c>
      <c r="AK16" s="86">
        <f t="shared" si="37"/>
        <v>0</v>
      </c>
      <c r="AL16" s="86">
        <f t="shared" si="13"/>
        <v>0</v>
      </c>
      <c r="AM16" s="9">
        <f t="shared" si="38"/>
        <v>0</v>
      </c>
      <c r="AN16" s="86">
        <f t="shared" si="14"/>
        <v>0</v>
      </c>
      <c r="AO16" s="86">
        <f t="shared" si="39"/>
        <v>0</v>
      </c>
      <c r="AP16" s="86">
        <f t="shared" si="15"/>
        <v>0</v>
      </c>
      <c r="AQ16" s="96"/>
      <c r="AR16" s="86">
        <f t="shared" si="16"/>
        <v>0</v>
      </c>
      <c r="AS16" s="86">
        <f t="shared" si="40"/>
        <v>188147.43199999997</v>
      </c>
      <c r="AT16" s="86">
        <f t="shared" si="17"/>
        <v>62.356839799854058</v>
      </c>
      <c r="AU16" s="96">
        <f>148*AU7</f>
        <v>36834.387999999999</v>
      </c>
      <c r="AV16" s="86">
        <f t="shared" si="18"/>
        <v>84.271113564893653</v>
      </c>
      <c r="AW16" s="86">
        <f t="shared" si="41"/>
        <v>65704.584000000003</v>
      </c>
      <c r="AX16" s="86">
        <f t="shared" si="19"/>
        <v>21.776168694154986</v>
      </c>
      <c r="AY16" s="96"/>
      <c r="AZ16" s="87">
        <f t="shared" si="20"/>
        <v>0</v>
      </c>
      <c r="BA16" s="86">
        <f t="shared" si="42"/>
        <v>0</v>
      </c>
      <c r="BB16" s="86">
        <f t="shared" si="21"/>
        <v>0</v>
      </c>
      <c r="BC16" s="86">
        <f t="shared" si="43"/>
        <v>36834.387999999999</v>
      </c>
      <c r="BD16" s="86">
        <f t="shared" si="22"/>
        <v>84.271113564893653</v>
      </c>
      <c r="BE16" s="86">
        <f t="shared" si="44"/>
        <v>253852.01599999997</v>
      </c>
      <c r="BF16" s="86">
        <f t="shared" si="23"/>
        <v>84.133008494009047</v>
      </c>
      <c r="BG16" s="96">
        <v>0</v>
      </c>
      <c r="BH16" s="86">
        <f t="shared" si="24"/>
        <v>0</v>
      </c>
      <c r="BI16" s="86">
        <f t="shared" si="45"/>
        <v>0</v>
      </c>
      <c r="BJ16" s="86">
        <f t="shared" si="25"/>
        <v>0</v>
      </c>
      <c r="BK16" s="86">
        <f t="shared" si="26"/>
        <v>43709.387999999999</v>
      </c>
      <c r="BL16" s="86">
        <f t="shared" si="46"/>
        <v>301727.01599999995</v>
      </c>
      <c r="BM16" s="511">
        <f t="shared" si="27"/>
        <v>1.0970956552295372</v>
      </c>
      <c r="BN16" s="86">
        <f t="shared" si="28"/>
        <v>1.118464375076454</v>
      </c>
    </row>
    <row r="17" spans="1:75">
      <c r="A17" s="15">
        <f>+Chem!A16</f>
        <v>46120</v>
      </c>
      <c r="B17" s="5" t="str">
        <f>+Chem!B16</f>
        <v>Facial</v>
      </c>
      <c r="C17" s="309" t="str">
        <f>+Chem!C16</f>
        <v>14/16/15</v>
      </c>
      <c r="D17" s="7">
        <f>+Chem!D16</f>
        <v>43.382000000000005</v>
      </c>
      <c r="E17" s="6">
        <f>+Chem!E16</f>
        <v>44.162999999999997</v>
      </c>
      <c r="F17" s="6">
        <f t="shared" si="29"/>
        <v>313.93200000000002</v>
      </c>
      <c r="G17" s="96"/>
      <c r="H17" s="86">
        <f t="shared" si="0"/>
        <v>0</v>
      </c>
      <c r="I17" s="7">
        <f t="shared" si="30"/>
        <v>41000</v>
      </c>
      <c r="J17" s="86">
        <f t="shared" si="1"/>
        <v>11.826402442298638</v>
      </c>
      <c r="K17" s="96">
        <f>28.5*K7</f>
        <v>7125</v>
      </c>
      <c r="L17" s="86">
        <f t="shared" si="2"/>
        <v>15.849213540891819</v>
      </c>
      <c r="M17" s="86">
        <f t="shared" si="31"/>
        <v>14000</v>
      </c>
      <c r="N17" s="86">
        <f t="shared" si="3"/>
        <v>4.0382837607849007</v>
      </c>
      <c r="O17" s="96"/>
      <c r="P17" s="86">
        <f t="shared" si="4"/>
        <v>0</v>
      </c>
      <c r="Q17" s="86">
        <f t="shared" si="32"/>
        <v>0</v>
      </c>
      <c r="R17" s="86">
        <f t="shared" si="5"/>
        <v>0</v>
      </c>
      <c r="S17" s="9">
        <f t="shared" si="33"/>
        <v>7125</v>
      </c>
      <c r="T17" s="86">
        <f t="shared" si="6"/>
        <v>15.849213540891819</v>
      </c>
      <c r="U17" s="86">
        <f t="shared" si="34"/>
        <v>55000</v>
      </c>
      <c r="V17" s="86">
        <f t="shared" si="7"/>
        <v>15.864686203083538</v>
      </c>
      <c r="W17" s="96"/>
      <c r="X17" s="86"/>
      <c r="Y17" s="86"/>
      <c r="Z17" s="86"/>
      <c r="AA17" s="96"/>
      <c r="AB17" s="86">
        <f t="shared" si="8"/>
        <v>0</v>
      </c>
      <c r="AC17" s="86">
        <f t="shared" si="35"/>
        <v>0</v>
      </c>
      <c r="AD17" s="86">
        <f t="shared" si="9"/>
        <v>0</v>
      </c>
      <c r="AE17" s="96"/>
      <c r="AF17" s="86">
        <f t="shared" si="10"/>
        <v>0</v>
      </c>
      <c r="AG17" s="86">
        <f t="shared" si="36"/>
        <v>0</v>
      </c>
      <c r="AH17" s="86">
        <f t="shared" si="11"/>
        <v>0</v>
      </c>
      <c r="AI17" s="96"/>
      <c r="AJ17" s="86">
        <f t="shared" si="12"/>
        <v>0</v>
      </c>
      <c r="AK17" s="86">
        <f t="shared" si="37"/>
        <v>0</v>
      </c>
      <c r="AL17" s="86">
        <f t="shared" si="13"/>
        <v>0</v>
      </c>
      <c r="AM17" s="9">
        <f t="shared" si="38"/>
        <v>0</v>
      </c>
      <c r="AN17" s="86">
        <f t="shared" si="14"/>
        <v>0</v>
      </c>
      <c r="AO17" s="86">
        <f t="shared" si="39"/>
        <v>0</v>
      </c>
      <c r="AP17" s="86">
        <f t="shared" si="15"/>
        <v>0</v>
      </c>
      <c r="AQ17" s="96"/>
      <c r="AR17" s="86">
        <f t="shared" si="16"/>
        <v>0</v>
      </c>
      <c r="AS17" s="86">
        <f t="shared" si="40"/>
        <v>188147.43199999997</v>
      </c>
      <c r="AT17" s="86">
        <f t="shared" si="17"/>
        <v>54.270908519927232</v>
      </c>
      <c r="AU17" s="96">
        <f>152*AU7</f>
        <v>37829.911999999997</v>
      </c>
      <c r="AV17" s="86">
        <f t="shared" si="18"/>
        <v>84.15078645910819</v>
      </c>
      <c r="AW17" s="86">
        <f t="shared" si="41"/>
        <v>103534.496</v>
      </c>
      <c r="AX17" s="86">
        <f t="shared" si="19"/>
        <v>29.864405276989231</v>
      </c>
      <c r="AY17" s="96"/>
      <c r="AZ17" s="87">
        <f t="shared" si="20"/>
        <v>0</v>
      </c>
      <c r="BA17" s="86">
        <f t="shared" si="42"/>
        <v>0</v>
      </c>
      <c r="BB17" s="86">
        <f t="shared" si="21"/>
        <v>0</v>
      </c>
      <c r="BC17" s="86">
        <f t="shared" si="43"/>
        <v>37829.911999999997</v>
      </c>
      <c r="BD17" s="86">
        <f t="shared" si="22"/>
        <v>84.15078645910819</v>
      </c>
      <c r="BE17" s="86">
        <f t="shared" si="44"/>
        <v>291681.92799999996</v>
      </c>
      <c r="BF17" s="86">
        <f t="shared" si="23"/>
        <v>84.135313796916464</v>
      </c>
      <c r="BG17" s="96">
        <v>0</v>
      </c>
      <c r="BH17" s="86">
        <f t="shared" si="24"/>
        <v>0</v>
      </c>
      <c r="BI17" s="86">
        <f t="shared" si="45"/>
        <v>0</v>
      </c>
      <c r="BJ17" s="86">
        <f t="shared" si="25"/>
        <v>0</v>
      </c>
      <c r="BK17" s="86">
        <f t="shared" si="26"/>
        <v>44954.911999999997</v>
      </c>
      <c r="BL17" s="86">
        <f t="shared" si="46"/>
        <v>346681.92799999996</v>
      </c>
      <c r="BM17" s="511">
        <f t="shared" si="27"/>
        <v>1.0179315716776487</v>
      </c>
      <c r="BN17" s="86">
        <f t="shared" si="28"/>
        <v>1.1043217257240421</v>
      </c>
    </row>
    <row r="18" spans="1:75">
      <c r="A18" s="15">
        <f>+Chem!A17</f>
        <v>46121</v>
      </c>
      <c r="B18" s="5" t="str">
        <f>+Chem!B17</f>
        <v>Facial/Toilet</v>
      </c>
      <c r="C18" s="309" t="str">
        <f>+Chem!C17</f>
        <v>15/14</v>
      </c>
      <c r="D18" s="7">
        <f>+Chem!D17</f>
        <v>5.7360000000000007</v>
      </c>
      <c r="E18" s="6">
        <f>+Chem!E17</f>
        <v>4.0439999999999996</v>
      </c>
      <c r="F18" s="6">
        <f t="shared" si="29"/>
        <v>317.976</v>
      </c>
      <c r="G18" s="95"/>
      <c r="H18" s="9">
        <f t="shared" si="0"/>
        <v>0</v>
      </c>
      <c r="I18" s="7">
        <f t="shared" si="30"/>
        <v>41000</v>
      </c>
      <c r="J18" s="9">
        <f t="shared" si="1"/>
        <v>11.628004327478092</v>
      </c>
      <c r="K18" s="95">
        <f>3.75*K7</f>
        <v>937.5</v>
      </c>
      <c r="L18" s="9">
        <f t="shared" si="2"/>
        <v>15.849213540891816</v>
      </c>
      <c r="M18" s="9">
        <f t="shared" si="31"/>
        <v>14937.5</v>
      </c>
      <c r="N18" s="9">
        <f t="shared" si="3"/>
        <v>4.2364223083342436</v>
      </c>
      <c r="O18" s="95"/>
      <c r="P18" s="9">
        <f t="shared" si="4"/>
        <v>0</v>
      </c>
      <c r="Q18" s="9">
        <f t="shared" si="32"/>
        <v>0</v>
      </c>
      <c r="R18" s="9">
        <f t="shared" si="5"/>
        <v>0</v>
      </c>
      <c r="S18" s="9">
        <f t="shared" si="33"/>
        <v>937.5</v>
      </c>
      <c r="T18" s="9">
        <f t="shared" si="6"/>
        <v>15.849213540891816</v>
      </c>
      <c r="U18" s="9">
        <f t="shared" si="34"/>
        <v>55937.5</v>
      </c>
      <c r="V18" s="9">
        <f t="shared" si="7"/>
        <v>15.864426635812338</v>
      </c>
      <c r="W18" s="95"/>
      <c r="X18" s="9"/>
      <c r="Y18" s="9"/>
      <c r="Z18" s="9"/>
      <c r="AA18" s="95"/>
      <c r="AB18" s="9">
        <f t="shared" si="8"/>
        <v>0</v>
      </c>
      <c r="AC18" s="9">
        <f t="shared" si="35"/>
        <v>0</v>
      </c>
      <c r="AD18" s="9">
        <f t="shared" si="9"/>
        <v>0</v>
      </c>
      <c r="AE18" s="95"/>
      <c r="AF18" s="9">
        <f t="shared" si="10"/>
        <v>0</v>
      </c>
      <c r="AG18" s="9">
        <f t="shared" si="36"/>
        <v>0</v>
      </c>
      <c r="AH18" s="9">
        <f t="shared" si="11"/>
        <v>0</v>
      </c>
      <c r="AI18" s="95"/>
      <c r="AJ18" s="9">
        <f t="shared" si="12"/>
        <v>0</v>
      </c>
      <c r="AK18" s="9">
        <f t="shared" si="37"/>
        <v>0</v>
      </c>
      <c r="AL18" s="9">
        <f t="shared" si="13"/>
        <v>0</v>
      </c>
      <c r="AM18" s="9">
        <f t="shared" si="38"/>
        <v>0</v>
      </c>
      <c r="AN18" s="9">
        <f t="shared" si="14"/>
        <v>0</v>
      </c>
      <c r="AO18" s="9">
        <f t="shared" si="39"/>
        <v>0</v>
      </c>
      <c r="AP18" s="9">
        <f t="shared" si="15"/>
        <v>0</v>
      </c>
      <c r="AQ18" s="95"/>
      <c r="AR18" s="9">
        <f t="shared" si="16"/>
        <v>0</v>
      </c>
      <c r="AS18" s="9">
        <f t="shared" si="40"/>
        <v>188147.43199999997</v>
      </c>
      <c r="AT18" s="9">
        <f t="shared" si="17"/>
        <v>53.360467158533901</v>
      </c>
      <c r="AU18" s="95">
        <f>20*AU7</f>
        <v>4977.62</v>
      </c>
      <c r="AV18" s="9">
        <f t="shared" si="18"/>
        <v>84.15078645910819</v>
      </c>
      <c r="AW18" s="9">
        <f t="shared" si="41"/>
        <v>108512.11599999999</v>
      </c>
      <c r="AX18" s="9">
        <f t="shared" si="19"/>
        <v>30.775106205653774</v>
      </c>
      <c r="AY18" s="95"/>
      <c r="AZ18" s="14">
        <f t="shared" si="20"/>
        <v>0</v>
      </c>
      <c r="BA18" s="9">
        <f t="shared" si="42"/>
        <v>0</v>
      </c>
      <c r="BB18" s="9">
        <f t="shared" si="21"/>
        <v>0</v>
      </c>
      <c r="BC18" s="9">
        <f t="shared" si="43"/>
        <v>4977.62</v>
      </c>
      <c r="BD18" s="9">
        <f t="shared" si="22"/>
        <v>84.15078645910819</v>
      </c>
      <c r="BE18" s="9">
        <f t="shared" si="44"/>
        <v>296659.54799999995</v>
      </c>
      <c r="BF18" s="9">
        <f t="shared" si="23"/>
        <v>84.135573364187664</v>
      </c>
      <c r="BG18" s="95">
        <v>0</v>
      </c>
      <c r="BH18" s="9">
        <f t="shared" si="24"/>
        <v>0</v>
      </c>
      <c r="BI18" s="9">
        <f t="shared" si="45"/>
        <v>0</v>
      </c>
      <c r="BJ18" s="9">
        <f t="shared" si="25"/>
        <v>0</v>
      </c>
      <c r="BK18" s="9">
        <f t="shared" si="26"/>
        <v>5915.12</v>
      </c>
      <c r="BL18" s="9">
        <f t="shared" si="46"/>
        <v>352597.04799999995</v>
      </c>
      <c r="BM18" s="511">
        <f t="shared" si="27"/>
        <v>1.4626904055390704</v>
      </c>
      <c r="BN18" s="9">
        <f t="shared" si="28"/>
        <v>1.1088794374418194</v>
      </c>
    </row>
    <row r="19" spans="1:75">
      <c r="A19" s="15">
        <f>+Chem!A18</f>
        <v>46122</v>
      </c>
      <c r="B19" s="5" t="str">
        <f>+Chem!B18</f>
        <v>Toilet</v>
      </c>
      <c r="C19" s="309" t="str">
        <f>+Chem!C18</f>
        <v>14/13</v>
      </c>
      <c r="D19" s="7">
        <f>+Chem!D18</f>
        <v>36.384999999999998</v>
      </c>
      <c r="E19" s="6">
        <f>+Chem!E18</f>
        <v>30.251000000000001</v>
      </c>
      <c r="F19" s="6">
        <f t="shared" si="29"/>
        <v>348.22699999999998</v>
      </c>
      <c r="G19" s="95">
        <f>33*G7</f>
        <v>8250</v>
      </c>
      <c r="H19" s="9">
        <f t="shared" si="0"/>
        <v>21.478471217091244</v>
      </c>
      <c r="I19" s="7">
        <f t="shared" si="30"/>
        <v>49250</v>
      </c>
      <c r="J19" s="9">
        <f t="shared" si="1"/>
        <v>12.595663005560537</v>
      </c>
      <c r="K19" s="95">
        <f>1.5*K7</f>
        <v>375</v>
      </c>
      <c r="L19" s="9">
        <f t="shared" si="2"/>
        <v>0.97629414623142019</v>
      </c>
      <c r="M19" s="9">
        <f t="shared" si="31"/>
        <v>15312.5</v>
      </c>
      <c r="N19" s="9">
        <f t="shared" si="3"/>
        <v>3.9161642593430601</v>
      </c>
      <c r="O19" s="95"/>
      <c r="P19" s="9">
        <f t="shared" si="4"/>
        <v>0</v>
      </c>
      <c r="Q19" s="9">
        <f t="shared" si="32"/>
        <v>0</v>
      </c>
      <c r="R19" s="9">
        <f t="shared" si="5"/>
        <v>0</v>
      </c>
      <c r="S19" s="9">
        <f t="shared" si="33"/>
        <v>8625</v>
      </c>
      <c r="T19" s="9">
        <f t="shared" si="6"/>
        <v>22.454765363322661</v>
      </c>
      <c r="U19" s="9">
        <f t="shared" si="34"/>
        <v>64562.5</v>
      </c>
      <c r="V19" s="9">
        <f t="shared" si="7"/>
        <v>16.511827264903594</v>
      </c>
      <c r="W19" s="95"/>
      <c r="X19" s="9"/>
      <c r="Y19" s="9"/>
      <c r="Z19" s="9"/>
      <c r="AA19" s="95"/>
      <c r="AB19" s="9">
        <f t="shared" si="8"/>
        <v>0</v>
      </c>
      <c r="AC19" s="9">
        <f t="shared" si="35"/>
        <v>0</v>
      </c>
      <c r="AD19" s="9">
        <f t="shared" si="9"/>
        <v>0</v>
      </c>
      <c r="AE19" s="95"/>
      <c r="AF19" s="9">
        <f t="shared" si="10"/>
        <v>0</v>
      </c>
      <c r="AG19" s="9">
        <f t="shared" si="36"/>
        <v>0</v>
      </c>
      <c r="AH19" s="9">
        <f t="shared" si="11"/>
        <v>0</v>
      </c>
      <c r="AI19" s="95"/>
      <c r="AJ19" s="9">
        <f t="shared" si="12"/>
        <v>0</v>
      </c>
      <c r="AK19" s="9">
        <f t="shared" si="37"/>
        <v>0</v>
      </c>
      <c r="AL19" s="9">
        <f t="shared" si="13"/>
        <v>0</v>
      </c>
      <c r="AM19" s="9">
        <f t="shared" si="38"/>
        <v>0</v>
      </c>
      <c r="AN19" s="9">
        <f t="shared" si="14"/>
        <v>0</v>
      </c>
      <c r="AO19" s="9">
        <f t="shared" si="39"/>
        <v>0</v>
      </c>
      <c r="AP19" s="9">
        <f t="shared" si="15"/>
        <v>0</v>
      </c>
      <c r="AQ19" s="95">
        <f>110.5*AQ7</f>
        <v>27794.506999999998</v>
      </c>
      <c r="AR19" s="9">
        <f t="shared" si="16"/>
        <v>72.361638617301949</v>
      </c>
      <c r="AS19" s="9">
        <f t="shared" si="40"/>
        <v>215941.93899999995</v>
      </c>
      <c r="AT19" s="9">
        <f t="shared" si="17"/>
        <v>55.227043500737253</v>
      </c>
      <c r="AU19" s="95">
        <f>8*AU7</f>
        <v>1991.048</v>
      </c>
      <c r="AV19" s="9">
        <f t="shared" si="18"/>
        <v>5.183596019375404</v>
      </c>
      <c r="AW19" s="9">
        <f t="shared" si="41"/>
        <v>110503.16399999999</v>
      </c>
      <c r="AX19" s="9">
        <f t="shared" si="19"/>
        <v>28.26112923435916</v>
      </c>
      <c r="AY19" s="95"/>
      <c r="AZ19" s="14">
        <f t="shared" si="20"/>
        <v>0</v>
      </c>
      <c r="BA19" s="9">
        <f t="shared" si="42"/>
        <v>0</v>
      </c>
      <c r="BB19" s="9">
        <f t="shared" si="21"/>
        <v>0</v>
      </c>
      <c r="BC19" s="9">
        <f t="shared" si="43"/>
        <v>29785.554999999997</v>
      </c>
      <c r="BD19" s="9">
        <f t="shared" si="22"/>
        <v>77.545234636677336</v>
      </c>
      <c r="BE19" s="9">
        <f t="shared" si="44"/>
        <v>326445.10299999994</v>
      </c>
      <c r="BF19" s="9">
        <f t="shared" si="23"/>
        <v>83.488172735096398</v>
      </c>
      <c r="BG19" s="95"/>
      <c r="BH19" s="9">
        <f t="shared" si="24"/>
        <v>0</v>
      </c>
      <c r="BI19" s="9">
        <f t="shared" si="45"/>
        <v>0</v>
      </c>
      <c r="BJ19" s="9">
        <f t="shared" si="25"/>
        <v>0</v>
      </c>
      <c r="BK19" s="9">
        <f t="shared" si="26"/>
        <v>38410.554999999993</v>
      </c>
      <c r="BL19" s="9">
        <f t="shared" si="46"/>
        <v>391007.60299999994</v>
      </c>
      <c r="BM19" s="511">
        <f t="shared" si="27"/>
        <v>1.269728438729298</v>
      </c>
      <c r="BN19" s="9">
        <f t="shared" si="28"/>
        <v>1.1228526306116413</v>
      </c>
    </row>
    <row r="20" spans="1:75">
      <c r="A20" s="15">
        <f>+Chem!A19</f>
        <v>46123</v>
      </c>
      <c r="B20" s="5" t="str">
        <f>+Chem!B19</f>
        <v>Toilet</v>
      </c>
      <c r="C20" s="309" t="str">
        <f>+Chem!C19</f>
        <v>13</v>
      </c>
      <c r="D20" s="7">
        <f>+Chem!D19</f>
        <v>37.644999999999996</v>
      </c>
      <c r="E20" s="6">
        <f>+Chem!E19</f>
        <v>39.326999999999998</v>
      </c>
      <c r="F20" s="6">
        <f t="shared" si="29"/>
        <v>387.55399999999997</v>
      </c>
      <c r="G20" s="95">
        <f>39*G7</f>
        <v>9750</v>
      </c>
      <c r="H20" s="9">
        <f t="shared" si="0"/>
        <v>24.805849702755957</v>
      </c>
      <c r="I20" s="7">
        <f t="shared" si="30"/>
        <v>59000</v>
      </c>
      <c r="J20" s="9">
        <f t="shared" si="1"/>
        <v>13.710954779579346</v>
      </c>
      <c r="K20" s="95"/>
      <c r="L20" s="9">
        <f t="shared" si="2"/>
        <v>0</v>
      </c>
      <c r="M20" s="9">
        <f t="shared" si="31"/>
        <v>15312.5</v>
      </c>
      <c r="N20" s="9">
        <f t="shared" si="3"/>
        <v>3.558457543428962</v>
      </c>
      <c r="O20" s="95"/>
      <c r="P20" s="9">
        <f t="shared" si="4"/>
        <v>0</v>
      </c>
      <c r="Q20" s="9">
        <f t="shared" si="32"/>
        <v>0</v>
      </c>
      <c r="R20" s="9">
        <f t="shared" si="5"/>
        <v>0</v>
      </c>
      <c r="S20" s="9">
        <f t="shared" si="33"/>
        <v>9750</v>
      </c>
      <c r="T20" s="9">
        <f t="shared" si="6"/>
        <v>24.805849702755957</v>
      </c>
      <c r="U20" s="9">
        <f t="shared" si="34"/>
        <v>74312.5</v>
      </c>
      <c r="V20" s="9">
        <f t="shared" si="7"/>
        <v>17.269412323008307</v>
      </c>
      <c r="W20" s="95"/>
      <c r="X20" s="9"/>
      <c r="Y20" s="9"/>
      <c r="Z20" s="9"/>
      <c r="AA20" s="95"/>
      <c r="AB20" s="9">
        <f t="shared" si="8"/>
        <v>0</v>
      </c>
      <c r="AC20" s="9">
        <f t="shared" si="35"/>
        <v>0</v>
      </c>
      <c r="AD20" s="9">
        <f t="shared" si="9"/>
        <v>0</v>
      </c>
      <c r="AE20" s="95"/>
      <c r="AF20" s="9">
        <f t="shared" si="10"/>
        <v>0</v>
      </c>
      <c r="AG20" s="9">
        <f t="shared" si="36"/>
        <v>0</v>
      </c>
      <c r="AH20" s="9">
        <f t="shared" si="11"/>
        <v>0</v>
      </c>
      <c r="AI20" s="95"/>
      <c r="AJ20" s="9">
        <f t="shared" si="12"/>
        <v>0</v>
      </c>
      <c r="AK20" s="9">
        <f t="shared" si="37"/>
        <v>0</v>
      </c>
      <c r="AL20" s="9">
        <f t="shared" si="13"/>
        <v>0</v>
      </c>
      <c r="AM20" s="9">
        <f t="shared" si="38"/>
        <v>0</v>
      </c>
      <c r="AN20" s="9">
        <f t="shared" si="14"/>
        <v>0</v>
      </c>
      <c r="AO20" s="9">
        <f t="shared" si="39"/>
        <v>0</v>
      </c>
      <c r="AP20" s="9">
        <f t="shared" si="15"/>
        <v>0</v>
      </c>
      <c r="AQ20" s="95">
        <f>117.5*AQ7</f>
        <v>29555.244999999999</v>
      </c>
      <c r="AR20" s="9">
        <f t="shared" si="16"/>
        <v>75.19415029724405</v>
      </c>
      <c r="AS20" s="9">
        <f t="shared" si="40"/>
        <v>245497.18399999995</v>
      </c>
      <c r="AT20" s="9">
        <f t="shared" si="17"/>
        <v>57.050860819289319</v>
      </c>
      <c r="AU20" s="95"/>
      <c r="AV20" s="9">
        <f t="shared" si="18"/>
        <v>0</v>
      </c>
      <c r="AW20" s="9">
        <f t="shared" si="41"/>
        <v>110503.16399999999</v>
      </c>
      <c r="AX20" s="9">
        <f t="shared" si="19"/>
        <v>25.679726857702377</v>
      </c>
      <c r="AY20" s="95"/>
      <c r="AZ20" s="14">
        <f t="shared" si="20"/>
        <v>0</v>
      </c>
      <c r="BA20" s="9">
        <f t="shared" si="42"/>
        <v>0</v>
      </c>
      <c r="BB20" s="9">
        <f t="shared" si="21"/>
        <v>0</v>
      </c>
      <c r="BC20" s="9">
        <f t="shared" si="43"/>
        <v>29555.244999999999</v>
      </c>
      <c r="BD20" s="9">
        <f t="shared" si="22"/>
        <v>75.19415029724405</v>
      </c>
      <c r="BE20" s="9">
        <f t="shared" si="44"/>
        <v>356000.34799999994</v>
      </c>
      <c r="BF20" s="9">
        <f t="shared" si="23"/>
        <v>82.730587676991689</v>
      </c>
      <c r="BG20" s="95"/>
      <c r="BH20" s="9">
        <f t="shared" si="24"/>
        <v>0</v>
      </c>
      <c r="BI20" s="9">
        <f t="shared" si="45"/>
        <v>0</v>
      </c>
      <c r="BJ20" s="9">
        <f t="shared" si="25"/>
        <v>0</v>
      </c>
      <c r="BK20" s="9">
        <f t="shared" si="26"/>
        <v>39305.244999999995</v>
      </c>
      <c r="BL20" s="9">
        <f t="shared" si="46"/>
        <v>430312.84799999994</v>
      </c>
      <c r="BM20" s="511">
        <f t="shared" si="27"/>
        <v>0.99944681770793586</v>
      </c>
      <c r="BN20" s="9">
        <f t="shared" si="28"/>
        <v>1.110330039168735</v>
      </c>
    </row>
    <row r="21" spans="1:75">
      <c r="A21" s="15">
        <f>+Chem!A20</f>
        <v>46124</v>
      </c>
      <c r="B21" s="5" t="str">
        <f>+Chem!B20</f>
        <v>Toilet</v>
      </c>
      <c r="C21" s="309" t="str">
        <f>+Chem!C20</f>
        <v>13</v>
      </c>
      <c r="D21" s="7">
        <f>+Chem!D20</f>
        <v>38.573</v>
      </c>
      <c r="E21" s="6">
        <f>+Chem!E20</f>
        <v>35.430999999999997</v>
      </c>
      <c r="F21" s="6">
        <f t="shared" si="29"/>
        <v>422.98499999999996</v>
      </c>
      <c r="G21" s="95">
        <f>40*G7</f>
        <v>10000</v>
      </c>
      <c r="H21" s="9">
        <f t="shared" si="0"/>
        <v>24.885477034686375</v>
      </c>
      <c r="I21" s="7">
        <f t="shared" si="30"/>
        <v>69000</v>
      </c>
      <c r="J21" s="9">
        <f t="shared" si="1"/>
        <v>14.66534548765428</v>
      </c>
      <c r="K21" s="95"/>
      <c r="L21" s="9">
        <f t="shared" si="2"/>
        <v>0</v>
      </c>
      <c r="M21" s="9">
        <f t="shared" si="31"/>
        <v>15312.5</v>
      </c>
      <c r="N21" s="9">
        <f t="shared" si="3"/>
        <v>3.2545377214450166</v>
      </c>
      <c r="O21" s="95"/>
      <c r="P21" s="9">
        <f t="shared" si="4"/>
        <v>0</v>
      </c>
      <c r="Q21" s="9">
        <f t="shared" si="32"/>
        <v>0</v>
      </c>
      <c r="R21" s="9">
        <f t="shared" si="5"/>
        <v>0</v>
      </c>
      <c r="S21" s="9">
        <f t="shared" si="33"/>
        <v>10000</v>
      </c>
      <c r="T21" s="9">
        <f t="shared" si="6"/>
        <v>24.885477034686375</v>
      </c>
      <c r="U21" s="9">
        <f t="shared" si="34"/>
        <v>84312.5</v>
      </c>
      <c r="V21" s="9">
        <f t="shared" si="7"/>
        <v>17.919883209099297</v>
      </c>
      <c r="W21" s="95"/>
      <c r="X21" s="9"/>
      <c r="Y21" s="9"/>
      <c r="Z21" s="9"/>
      <c r="AA21" s="95"/>
      <c r="AB21" s="9">
        <f t="shared" si="8"/>
        <v>0</v>
      </c>
      <c r="AC21" s="9">
        <f t="shared" si="35"/>
        <v>0</v>
      </c>
      <c r="AD21" s="9">
        <f t="shared" si="9"/>
        <v>0</v>
      </c>
      <c r="AE21" s="95"/>
      <c r="AF21" s="9">
        <f t="shared" si="10"/>
        <v>0</v>
      </c>
      <c r="AG21" s="9">
        <f t="shared" si="36"/>
        <v>0</v>
      </c>
      <c r="AH21" s="9">
        <f t="shared" si="11"/>
        <v>0</v>
      </c>
      <c r="AI21" s="95"/>
      <c r="AJ21" s="9">
        <f t="shared" si="12"/>
        <v>0</v>
      </c>
      <c r="AK21" s="9">
        <f t="shared" si="37"/>
        <v>0</v>
      </c>
      <c r="AL21" s="9">
        <f t="shared" si="13"/>
        <v>0</v>
      </c>
      <c r="AM21" s="9">
        <f t="shared" si="38"/>
        <v>0</v>
      </c>
      <c r="AN21" s="9">
        <f t="shared" si="14"/>
        <v>0</v>
      </c>
      <c r="AO21" s="9">
        <f t="shared" si="39"/>
        <v>0</v>
      </c>
      <c r="AP21" s="9">
        <f t="shared" si="15"/>
        <v>0</v>
      </c>
      <c r="AQ21" s="95">
        <f>120*AQ7</f>
        <v>30184.079999999998</v>
      </c>
      <c r="AR21" s="9">
        <f t="shared" si="16"/>
        <v>75.114522965313625</v>
      </c>
      <c r="AS21" s="9">
        <f t="shared" si="40"/>
        <v>275681.26399999997</v>
      </c>
      <c r="AT21" s="9">
        <f t="shared" si="17"/>
        <v>58.593637406278667</v>
      </c>
      <c r="AU21" s="95"/>
      <c r="AV21" s="9">
        <f t="shared" si="18"/>
        <v>0</v>
      </c>
      <c r="AW21" s="9">
        <f t="shared" si="41"/>
        <v>110503.16399999999</v>
      </c>
      <c r="AX21" s="9">
        <f t="shared" si="19"/>
        <v>23.48647938462204</v>
      </c>
      <c r="AY21" s="95"/>
      <c r="AZ21" s="14">
        <f t="shared" si="20"/>
        <v>0</v>
      </c>
      <c r="BA21" s="9">
        <f t="shared" si="42"/>
        <v>0</v>
      </c>
      <c r="BB21" s="9">
        <f t="shared" si="21"/>
        <v>0</v>
      </c>
      <c r="BC21" s="9">
        <f t="shared" si="43"/>
        <v>30184.079999999998</v>
      </c>
      <c r="BD21" s="9">
        <f t="shared" si="22"/>
        <v>75.114522965313625</v>
      </c>
      <c r="BE21" s="9">
        <f t="shared" si="44"/>
        <v>386184.42799999996</v>
      </c>
      <c r="BF21" s="9">
        <f t="shared" si="23"/>
        <v>82.080116790900703</v>
      </c>
      <c r="BG21" s="95"/>
      <c r="BH21" s="9">
        <f t="shared" si="24"/>
        <v>0</v>
      </c>
      <c r="BI21" s="9">
        <f t="shared" si="45"/>
        <v>0</v>
      </c>
      <c r="BJ21" s="9">
        <f t="shared" si="25"/>
        <v>0</v>
      </c>
      <c r="BK21" s="9">
        <f t="shared" si="26"/>
        <v>40184.080000000002</v>
      </c>
      <c r="BL21" s="9">
        <f t="shared" si="46"/>
        <v>470496.92799999996</v>
      </c>
      <c r="BM21" s="511">
        <f t="shared" si="27"/>
        <v>1.1341503203409444</v>
      </c>
      <c r="BN21" s="9">
        <f t="shared" si="28"/>
        <v>1.1123253259571853</v>
      </c>
      <c r="BR21" s="13"/>
      <c r="BS21" s="13"/>
      <c r="BV21" s="13"/>
      <c r="BW21" s="13"/>
    </row>
    <row r="22" spans="1:75">
      <c r="A22" s="15">
        <f>+Chem!A21</f>
        <v>46125</v>
      </c>
      <c r="B22" s="5" t="str">
        <f>+Chem!B21</f>
        <v>Toilet</v>
      </c>
      <c r="C22" s="309" t="str">
        <f>+Chem!C21</f>
        <v>13/12</v>
      </c>
      <c r="D22" s="7">
        <f>+Chem!D21</f>
        <v>27.853999999999999</v>
      </c>
      <c r="E22" s="6">
        <f>+Chem!E21</f>
        <v>25.204000000000001</v>
      </c>
      <c r="F22" s="6">
        <f t="shared" si="29"/>
        <v>448.18899999999996</v>
      </c>
      <c r="G22" s="95">
        <f>25*G7</f>
        <v>6250</v>
      </c>
      <c r="H22" s="9">
        <f t="shared" si="0"/>
        <v>22.62002092623376</v>
      </c>
      <c r="I22" s="7">
        <f t="shared" si="30"/>
        <v>75250</v>
      </c>
      <c r="J22" s="9">
        <f t="shared" si="1"/>
        <v>15.106579639545087</v>
      </c>
      <c r="K22" s="95"/>
      <c r="L22" s="9">
        <f t="shared" si="2"/>
        <v>0</v>
      </c>
      <c r="M22" s="9">
        <f t="shared" si="31"/>
        <v>15312.5</v>
      </c>
      <c r="N22" s="9">
        <f t="shared" si="3"/>
        <v>3.0740132987446396</v>
      </c>
      <c r="O22" s="95"/>
      <c r="P22" s="9">
        <f t="shared" si="4"/>
        <v>0</v>
      </c>
      <c r="Q22" s="9">
        <f t="shared" si="32"/>
        <v>0</v>
      </c>
      <c r="R22" s="9">
        <f t="shared" si="5"/>
        <v>0</v>
      </c>
      <c r="S22" s="9">
        <f t="shared" si="33"/>
        <v>6250</v>
      </c>
      <c r="T22" s="9">
        <f t="shared" si="6"/>
        <v>22.62002092623376</v>
      </c>
      <c r="U22" s="9">
        <f t="shared" si="34"/>
        <v>90562.5</v>
      </c>
      <c r="V22" s="9">
        <f t="shared" si="7"/>
        <v>18.180592938289724</v>
      </c>
      <c r="W22" s="95"/>
      <c r="X22" s="9"/>
      <c r="Y22" s="9"/>
      <c r="Z22" s="9"/>
      <c r="AA22" s="95"/>
      <c r="AB22" s="9">
        <f t="shared" si="8"/>
        <v>0</v>
      </c>
      <c r="AC22" s="9">
        <f t="shared" si="35"/>
        <v>0</v>
      </c>
      <c r="AD22" s="9">
        <f t="shared" si="9"/>
        <v>0</v>
      </c>
      <c r="AE22" s="95"/>
      <c r="AF22" s="9">
        <f t="shared" si="10"/>
        <v>0</v>
      </c>
      <c r="AG22" s="9">
        <f t="shared" si="36"/>
        <v>0</v>
      </c>
      <c r="AH22" s="9">
        <f t="shared" si="11"/>
        <v>0</v>
      </c>
      <c r="AI22" s="95"/>
      <c r="AJ22" s="9">
        <f t="shared" si="12"/>
        <v>0</v>
      </c>
      <c r="AK22" s="9">
        <f t="shared" si="37"/>
        <v>0</v>
      </c>
      <c r="AL22" s="9">
        <f t="shared" si="13"/>
        <v>0</v>
      </c>
      <c r="AM22" s="9">
        <f t="shared" si="38"/>
        <v>0</v>
      </c>
      <c r="AN22" s="9">
        <f t="shared" si="14"/>
        <v>0</v>
      </c>
      <c r="AO22" s="9">
        <f t="shared" si="39"/>
        <v>0</v>
      </c>
      <c r="AP22" s="9">
        <f t="shared" si="15"/>
        <v>0</v>
      </c>
      <c r="AQ22" s="95">
        <f>85*AQ7</f>
        <v>21380.39</v>
      </c>
      <c r="AR22" s="9">
        <f t="shared" si="16"/>
        <v>77.379979073766236</v>
      </c>
      <c r="AS22" s="9">
        <f t="shared" si="40"/>
        <v>297061.65399999998</v>
      </c>
      <c r="AT22" s="9">
        <f t="shared" si="17"/>
        <v>59.635688159547996</v>
      </c>
      <c r="AU22" s="95"/>
      <c r="AV22" s="9">
        <f t="shared" si="18"/>
        <v>0</v>
      </c>
      <c r="AW22" s="9">
        <f t="shared" si="41"/>
        <v>110503.16399999999</v>
      </c>
      <c r="AX22" s="9">
        <f t="shared" si="19"/>
        <v>22.183718902162276</v>
      </c>
      <c r="AY22" s="95"/>
      <c r="AZ22" s="14">
        <f t="shared" si="20"/>
        <v>0</v>
      </c>
      <c r="BA22" s="9">
        <f t="shared" si="42"/>
        <v>0</v>
      </c>
      <c r="BB22" s="9">
        <f t="shared" si="21"/>
        <v>0</v>
      </c>
      <c r="BC22" s="9">
        <f t="shared" si="43"/>
        <v>21380.39</v>
      </c>
      <c r="BD22" s="9">
        <f t="shared" si="22"/>
        <v>77.379979073766236</v>
      </c>
      <c r="BE22" s="9">
        <f t="shared" si="44"/>
        <v>407564.81799999997</v>
      </c>
      <c r="BF22" s="9">
        <f t="shared" si="23"/>
        <v>81.819407061710265</v>
      </c>
      <c r="BG22" s="95"/>
      <c r="BH22" s="9">
        <f t="shared" si="24"/>
        <v>0</v>
      </c>
      <c r="BI22" s="9">
        <f t="shared" si="45"/>
        <v>0</v>
      </c>
      <c r="BJ22" s="9">
        <f t="shared" si="25"/>
        <v>0</v>
      </c>
      <c r="BK22" s="9">
        <f t="shared" si="26"/>
        <v>27630.39</v>
      </c>
      <c r="BL22" s="9">
        <f t="shared" si="46"/>
        <v>498127.31799999997</v>
      </c>
      <c r="BM22" s="511">
        <f t="shared" si="27"/>
        <v>1.0962700365021425</v>
      </c>
      <c r="BN22" s="9">
        <f t="shared" si="28"/>
        <v>1.1114224534738693</v>
      </c>
      <c r="BR22" s="13"/>
      <c r="BS22" s="13"/>
      <c r="BV22" s="13"/>
      <c r="BW22" s="13"/>
    </row>
    <row r="23" spans="1:75">
      <c r="A23" s="15">
        <f>+Chem!A22</f>
        <v>46126</v>
      </c>
      <c r="B23" s="5" t="str">
        <f>+Chem!B22</f>
        <v>Toilet</v>
      </c>
      <c r="C23" s="309" t="str">
        <f>+Chem!C22</f>
        <v>12/13</v>
      </c>
      <c r="D23" s="7">
        <f>+Chem!D22</f>
        <v>43.125</v>
      </c>
      <c r="E23" s="6">
        <f>+Chem!E22</f>
        <v>45.835000000000001</v>
      </c>
      <c r="F23" s="6">
        <f t="shared" si="29"/>
        <v>494.02399999999994</v>
      </c>
      <c r="G23" s="95">
        <f>29*G7</f>
        <v>7250</v>
      </c>
      <c r="H23" s="9">
        <f t="shared" si="0"/>
        <v>16.208880919634222</v>
      </c>
      <c r="I23" s="7">
        <f t="shared" si="30"/>
        <v>82500</v>
      </c>
      <c r="J23" s="9">
        <f t="shared" si="1"/>
        <v>15.197403663031864</v>
      </c>
      <c r="K23" s="95"/>
      <c r="L23" s="9">
        <f t="shared" si="2"/>
        <v>0</v>
      </c>
      <c r="M23" s="9">
        <f t="shared" si="31"/>
        <v>15312.5</v>
      </c>
      <c r="N23" s="9">
        <f t="shared" si="3"/>
        <v>2.8207302253354594</v>
      </c>
      <c r="O23" s="95"/>
      <c r="P23" s="9">
        <f t="shared" si="4"/>
        <v>0</v>
      </c>
      <c r="Q23" s="9">
        <f t="shared" si="32"/>
        <v>0</v>
      </c>
      <c r="R23" s="9">
        <f t="shared" si="5"/>
        <v>0</v>
      </c>
      <c r="S23" s="9">
        <f t="shared" si="33"/>
        <v>7250</v>
      </c>
      <c r="T23" s="9">
        <f t="shared" si="6"/>
        <v>16.208880919634222</v>
      </c>
      <c r="U23" s="9">
        <f t="shared" si="34"/>
        <v>97812.5</v>
      </c>
      <c r="V23" s="9">
        <f t="shared" si="7"/>
        <v>18.018133888367323</v>
      </c>
      <c r="W23" s="95"/>
      <c r="X23" s="9"/>
      <c r="Y23" s="9"/>
      <c r="Z23" s="9"/>
      <c r="AA23" s="95"/>
      <c r="AB23" s="9">
        <f t="shared" si="8"/>
        <v>0</v>
      </c>
      <c r="AC23" s="9">
        <f t="shared" si="35"/>
        <v>0</v>
      </c>
      <c r="AD23" s="9">
        <f t="shared" si="9"/>
        <v>0</v>
      </c>
      <c r="AE23" s="95"/>
      <c r="AF23" s="9">
        <f t="shared" si="10"/>
        <v>0</v>
      </c>
      <c r="AG23" s="9">
        <f t="shared" si="36"/>
        <v>0</v>
      </c>
      <c r="AH23" s="9">
        <f t="shared" si="11"/>
        <v>0</v>
      </c>
      <c r="AI23" s="95"/>
      <c r="AJ23" s="9">
        <f t="shared" si="12"/>
        <v>0</v>
      </c>
      <c r="AK23" s="9">
        <f t="shared" si="37"/>
        <v>0</v>
      </c>
      <c r="AL23" s="9">
        <f t="shared" si="13"/>
        <v>0</v>
      </c>
      <c r="AM23" s="9">
        <f t="shared" si="38"/>
        <v>0</v>
      </c>
      <c r="AN23" s="9">
        <f t="shared" si="14"/>
        <v>0</v>
      </c>
      <c r="AO23" s="9">
        <f t="shared" si="39"/>
        <v>0</v>
      </c>
      <c r="AP23" s="9">
        <f t="shared" si="15"/>
        <v>0</v>
      </c>
      <c r="AQ23" s="95">
        <f>149*AQ7</f>
        <v>37478.565999999999</v>
      </c>
      <c r="AR23" s="9">
        <f t="shared" si="16"/>
        <v>83.791119080365775</v>
      </c>
      <c r="AS23" s="9">
        <f t="shared" si="40"/>
        <v>334540.21999999997</v>
      </c>
      <c r="AT23" s="9">
        <f t="shared" si="17"/>
        <v>61.625972907387691</v>
      </c>
      <c r="AU23" s="95"/>
      <c r="AV23" s="9">
        <f t="shared" si="18"/>
        <v>0</v>
      </c>
      <c r="AW23" s="9">
        <f t="shared" si="41"/>
        <v>110503.16399999999</v>
      </c>
      <c r="AX23" s="9">
        <f t="shared" si="19"/>
        <v>20.355893204244975</v>
      </c>
      <c r="AY23" s="95"/>
      <c r="AZ23" s="14">
        <f t="shared" si="20"/>
        <v>0</v>
      </c>
      <c r="BA23" s="9">
        <f t="shared" si="42"/>
        <v>0</v>
      </c>
      <c r="BB23" s="9">
        <f t="shared" si="21"/>
        <v>0</v>
      </c>
      <c r="BC23" s="9">
        <f t="shared" si="43"/>
        <v>37478.565999999999</v>
      </c>
      <c r="BD23" s="9">
        <f t="shared" si="22"/>
        <v>83.791119080365775</v>
      </c>
      <c r="BE23" s="9">
        <f t="shared" si="44"/>
        <v>445043.38399999996</v>
      </c>
      <c r="BF23" s="9">
        <f t="shared" si="23"/>
        <v>81.981866111632669</v>
      </c>
      <c r="BG23" s="95"/>
      <c r="BH23" s="9">
        <f t="shared" si="24"/>
        <v>0</v>
      </c>
      <c r="BI23" s="9">
        <f t="shared" si="45"/>
        <v>0</v>
      </c>
      <c r="BJ23" s="9">
        <f t="shared" si="25"/>
        <v>0</v>
      </c>
      <c r="BK23" s="9">
        <f t="shared" si="26"/>
        <v>44728.565999999999</v>
      </c>
      <c r="BL23" s="9">
        <f t="shared" si="46"/>
        <v>542855.88399999996</v>
      </c>
      <c r="BM23" s="511">
        <f t="shared" si="27"/>
        <v>0.97586049961819565</v>
      </c>
      <c r="BN23" s="9">
        <f t="shared" si="28"/>
        <v>1.0988451654170648</v>
      </c>
      <c r="BV23" s="13"/>
      <c r="BW23" s="13"/>
    </row>
    <row r="24" spans="1:75">
      <c r="A24" s="15">
        <f>+Chem!A23</f>
        <v>46127</v>
      </c>
      <c r="B24" s="5" t="str">
        <f>+Chem!B23</f>
        <v>Toilet</v>
      </c>
      <c r="C24" s="309" t="str">
        <f>+Chem!C23</f>
        <v>13</v>
      </c>
      <c r="D24" s="7">
        <f>+Chem!D23</f>
        <v>46.03</v>
      </c>
      <c r="E24" s="6">
        <f>+Chem!E23</f>
        <v>44.06</v>
      </c>
      <c r="F24" s="6">
        <f t="shared" si="29"/>
        <v>538.08399999999995</v>
      </c>
      <c r="G24" s="95">
        <f>30*G7</f>
        <v>7500</v>
      </c>
      <c r="H24" s="9">
        <f t="shared" si="0"/>
        <v>15.708306384861045</v>
      </c>
      <c r="I24" s="7">
        <f t="shared" si="30"/>
        <v>90000</v>
      </c>
      <c r="J24" s="9">
        <f t="shared" si="1"/>
        <v>15.238706102189504</v>
      </c>
      <c r="K24" s="95"/>
      <c r="L24" s="9">
        <f t="shared" si="2"/>
        <v>0</v>
      </c>
      <c r="M24" s="9">
        <f t="shared" si="31"/>
        <v>15312.5</v>
      </c>
      <c r="N24" s="9">
        <f t="shared" si="3"/>
        <v>2.5926965243308531</v>
      </c>
      <c r="O24" s="95"/>
      <c r="P24" s="9">
        <f t="shared" si="4"/>
        <v>0</v>
      </c>
      <c r="Q24" s="9">
        <f t="shared" si="32"/>
        <v>0</v>
      </c>
      <c r="R24" s="9">
        <f t="shared" si="5"/>
        <v>0</v>
      </c>
      <c r="S24" s="9">
        <f t="shared" si="33"/>
        <v>7500</v>
      </c>
      <c r="T24" s="9">
        <f t="shared" si="6"/>
        <v>15.708306384861045</v>
      </c>
      <c r="U24" s="9">
        <f t="shared" si="34"/>
        <v>105312.5</v>
      </c>
      <c r="V24" s="9">
        <f t="shared" si="7"/>
        <v>17.831402626520358</v>
      </c>
      <c r="W24" s="95"/>
      <c r="X24" s="9"/>
      <c r="Y24" s="9"/>
      <c r="Z24" s="9"/>
      <c r="AA24" s="95"/>
      <c r="AB24" s="9">
        <f t="shared" si="8"/>
        <v>0</v>
      </c>
      <c r="AC24" s="9">
        <f t="shared" si="35"/>
        <v>0</v>
      </c>
      <c r="AD24" s="9">
        <f t="shared" si="9"/>
        <v>0</v>
      </c>
      <c r="AE24" s="95"/>
      <c r="AF24" s="9">
        <f t="shared" si="10"/>
        <v>0</v>
      </c>
      <c r="AG24" s="9">
        <f t="shared" si="36"/>
        <v>0</v>
      </c>
      <c r="AH24" s="9">
        <f t="shared" si="11"/>
        <v>0</v>
      </c>
      <c r="AI24" s="95"/>
      <c r="AJ24" s="9">
        <f t="shared" si="12"/>
        <v>0</v>
      </c>
      <c r="AK24" s="9">
        <f t="shared" si="37"/>
        <v>0</v>
      </c>
      <c r="AL24" s="9">
        <f t="shared" si="13"/>
        <v>0</v>
      </c>
      <c r="AM24" s="9">
        <f t="shared" si="38"/>
        <v>0</v>
      </c>
      <c r="AN24" s="9">
        <f t="shared" si="14"/>
        <v>0</v>
      </c>
      <c r="AO24" s="9">
        <f t="shared" si="39"/>
        <v>0</v>
      </c>
      <c r="AP24" s="9">
        <f t="shared" si="15"/>
        <v>0</v>
      </c>
      <c r="AQ24" s="95">
        <f>160*AQ7</f>
        <v>40245.440000000002</v>
      </c>
      <c r="AR24" s="9">
        <f t="shared" si="16"/>
        <v>84.291693615138954</v>
      </c>
      <c r="AS24" s="9">
        <f t="shared" si="40"/>
        <v>374785.66</v>
      </c>
      <c r="AT24" s="9">
        <f t="shared" si="17"/>
        <v>63.458316933945781</v>
      </c>
      <c r="AU24" s="95"/>
      <c r="AV24" s="9">
        <f t="shared" si="18"/>
        <v>0</v>
      </c>
      <c r="AW24" s="9">
        <f t="shared" si="41"/>
        <v>110503.16399999999</v>
      </c>
      <c r="AX24" s="9">
        <f t="shared" si="19"/>
        <v>18.710280439533857</v>
      </c>
      <c r="AY24" s="95"/>
      <c r="AZ24" s="14">
        <f t="shared" si="20"/>
        <v>0</v>
      </c>
      <c r="BA24" s="9">
        <f t="shared" si="42"/>
        <v>0</v>
      </c>
      <c r="BB24" s="9">
        <f t="shared" si="21"/>
        <v>0</v>
      </c>
      <c r="BC24" s="9">
        <f t="shared" si="43"/>
        <v>40245.440000000002</v>
      </c>
      <c r="BD24" s="9">
        <f t="shared" si="22"/>
        <v>84.291693615138954</v>
      </c>
      <c r="BE24" s="9">
        <f t="shared" si="44"/>
        <v>485288.82399999996</v>
      </c>
      <c r="BF24" s="9">
        <f t="shared" si="23"/>
        <v>82.168597373479628</v>
      </c>
      <c r="BG24" s="95"/>
      <c r="BH24" s="9">
        <f t="shared" si="24"/>
        <v>0</v>
      </c>
      <c r="BI24" s="9">
        <f t="shared" si="45"/>
        <v>0</v>
      </c>
      <c r="BJ24" s="9">
        <f t="shared" si="25"/>
        <v>0</v>
      </c>
      <c r="BK24" s="9">
        <f t="shared" si="26"/>
        <v>47745.440000000002</v>
      </c>
      <c r="BL24" s="9">
        <f t="shared" si="46"/>
        <v>590601.32400000002</v>
      </c>
      <c r="BM24" s="511">
        <f t="shared" si="27"/>
        <v>1.083645937358148</v>
      </c>
      <c r="BN24" s="9">
        <f t="shared" si="28"/>
        <v>1.0976006051099829</v>
      </c>
      <c r="BV24" s="13"/>
      <c r="BW24" s="13"/>
    </row>
    <row r="25" spans="1:75">
      <c r="A25" s="15">
        <f>+Chem!A24</f>
        <v>46128</v>
      </c>
      <c r="B25" s="5" t="str">
        <f>+Chem!B24</f>
        <v>Toilet</v>
      </c>
      <c r="C25" s="309" t="str">
        <f>+Chem!C24</f>
        <v>13</v>
      </c>
      <c r="D25" s="7">
        <f>+Chem!D24</f>
        <v>45.048999999999999</v>
      </c>
      <c r="E25" s="6">
        <f>+Chem!E24</f>
        <v>46.640999999999998</v>
      </c>
      <c r="F25" s="6">
        <f t="shared" si="29"/>
        <v>584.72499999999991</v>
      </c>
      <c r="G25" s="95">
        <f>30.75*G7</f>
        <v>7687.5</v>
      </c>
      <c r="H25" s="9">
        <f t="shared" si="0"/>
        <v>15.708306384861045</v>
      </c>
      <c r="I25" s="7">
        <f t="shared" si="30"/>
        <v>97687.5</v>
      </c>
      <c r="J25" s="9">
        <f t="shared" si="1"/>
        <v>15.274640976551284</v>
      </c>
      <c r="K25" s="95"/>
      <c r="L25" s="9">
        <f t="shared" si="2"/>
        <v>0</v>
      </c>
      <c r="M25" s="9">
        <f t="shared" si="31"/>
        <v>15312.5</v>
      </c>
      <c r="N25" s="9">
        <f t="shared" si="3"/>
        <v>2.3942975299136693</v>
      </c>
      <c r="O25" s="95"/>
      <c r="P25" s="9">
        <f t="shared" si="4"/>
        <v>0</v>
      </c>
      <c r="Q25" s="9">
        <f t="shared" si="32"/>
        <v>0</v>
      </c>
      <c r="R25" s="9">
        <f t="shared" si="5"/>
        <v>0</v>
      </c>
      <c r="S25" s="9">
        <f t="shared" si="33"/>
        <v>7687.5</v>
      </c>
      <c r="T25" s="9">
        <f t="shared" si="6"/>
        <v>15.708306384861045</v>
      </c>
      <c r="U25" s="9">
        <f t="shared" si="34"/>
        <v>113000</v>
      </c>
      <c r="V25" s="9">
        <f t="shared" si="7"/>
        <v>17.668938506464954</v>
      </c>
      <c r="W25" s="95"/>
      <c r="X25" s="9"/>
      <c r="Y25" s="9"/>
      <c r="Z25" s="9"/>
      <c r="AA25" s="95"/>
      <c r="AB25" s="9">
        <f t="shared" si="8"/>
        <v>0</v>
      </c>
      <c r="AC25" s="9">
        <f t="shared" si="35"/>
        <v>0</v>
      </c>
      <c r="AD25" s="9">
        <f t="shared" si="9"/>
        <v>0</v>
      </c>
      <c r="AE25" s="95"/>
      <c r="AF25" s="9">
        <f t="shared" si="10"/>
        <v>0</v>
      </c>
      <c r="AG25" s="9">
        <f t="shared" si="36"/>
        <v>0</v>
      </c>
      <c r="AH25" s="9">
        <f t="shared" si="11"/>
        <v>0</v>
      </c>
      <c r="AI25" s="95"/>
      <c r="AJ25" s="9">
        <f t="shared" si="12"/>
        <v>0</v>
      </c>
      <c r="AK25" s="9">
        <f t="shared" si="37"/>
        <v>0</v>
      </c>
      <c r="AL25" s="9">
        <f t="shared" si="13"/>
        <v>0</v>
      </c>
      <c r="AM25" s="9">
        <f t="shared" si="38"/>
        <v>0</v>
      </c>
      <c r="AN25" s="9">
        <f t="shared" si="14"/>
        <v>0</v>
      </c>
      <c r="AO25" s="9">
        <f t="shared" si="39"/>
        <v>0</v>
      </c>
      <c r="AP25" s="9">
        <f t="shared" si="15"/>
        <v>0</v>
      </c>
      <c r="AQ25" s="95">
        <f>164*AQ7</f>
        <v>41251.576000000001</v>
      </c>
      <c r="AR25" s="9">
        <f t="shared" si="16"/>
        <v>84.291693615138954</v>
      </c>
      <c r="AS25" s="9">
        <f t="shared" si="40"/>
        <v>416037.23599999998</v>
      </c>
      <c r="AT25" s="9">
        <f t="shared" si="17"/>
        <v>65.052533975961481</v>
      </c>
      <c r="AU25" s="95"/>
      <c r="AV25" s="9">
        <f t="shared" si="18"/>
        <v>0</v>
      </c>
      <c r="AW25" s="9">
        <f t="shared" si="41"/>
        <v>110503.16399999999</v>
      </c>
      <c r="AX25" s="9">
        <f t="shared" si="19"/>
        <v>17.278527517573554</v>
      </c>
      <c r="AY25" s="95"/>
      <c r="AZ25" s="14">
        <f t="shared" si="20"/>
        <v>0</v>
      </c>
      <c r="BA25" s="9">
        <f t="shared" si="42"/>
        <v>0</v>
      </c>
      <c r="BB25" s="9">
        <f t="shared" si="21"/>
        <v>0</v>
      </c>
      <c r="BC25" s="9">
        <f t="shared" si="43"/>
        <v>41251.576000000001</v>
      </c>
      <c r="BD25" s="9">
        <f t="shared" si="22"/>
        <v>84.291693615138954</v>
      </c>
      <c r="BE25" s="9">
        <f t="shared" si="44"/>
        <v>526540.39999999991</v>
      </c>
      <c r="BF25" s="9">
        <f t="shared" si="23"/>
        <v>82.331061493535032</v>
      </c>
      <c r="BG25" s="95"/>
      <c r="BH25" s="9">
        <f t="shared" si="24"/>
        <v>0</v>
      </c>
      <c r="BI25" s="9">
        <f t="shared" si="45"/>
        <v>0</v>
      </c>
      <c r="BJ25" s="9">
        <f t="shared" si="25"/>
        <v>0</v>
      </c>
      <c r="BK25" s="9">
        <f t="shared" si="26"/>
        <v>48939.076000000001</v>
      </c>
      <c r="BL25" s="9">
        <f t="shared" si="46"/>
        <v>639540.4</v>
      </c>
      <c r="BM25" s="511">
        <f t="shared" si="27"/>
        <v>1.0492715850860832</v>
      </c>
      <c r="BN25" s="9">
        <f t="shared" si="28"/>
        <v>1.0937456069092311</v>
      </c>
      <c r="BV25" s="13"/>
      <c r="BW25" s="13"/>
    </row>
    <row r="26" spans="1:75">
      <c r="A26" s="15">
        <f>+Chem!A25</f>
        <v>46129</v>
      </c>
      <c r="B26" s="5" t="str">
        <f>+Chem!B25</f>
        <v>Toilet</v>
      </c>
      <c r="C26" s="309" t="str">
        <f>+Chem!C25</f>
        <v>13</v>
      </c>
      <c r="D26" s="7">
        <f>+Chem!D25</f>
        <v>43.152000000000001</v>
      </c>
      <c r="E26" s="6">
        <f>+Chem!E25</f>
        <v>42.759</v>
      </c>
      <c r="F26" s="6">
        <f t="shared" si="29"/>
        <v>627.48399999999992</v>
      </c>
      <c r="G26" s="95">
        <f>29.25*G7</f>
        <v>7312.5</v>
      </c>
      <c r="H26" s="9">
        <f t="shared" si="0"/>
        <v>15.708306384861048</v>
      </c>
      <c r="I26" s="7">
        <f t="shared" si="30"/>
        <v>105000</v>
      </c>
      <c r="J26" s="9">
        <f t="shared" si="1"/>
        <v>15.304065457650937</v>
      </c>
      <c r="K26" s="95"/>
      <c r="L26" s="9">
        <f t="shared" si="2"/>
        <v>0</v>
      </c>
      <c r="M26" s="9">
        <f t="shared" si="31"/>
        <v>15312.5</v>
      </c>
      <c r="N26" s="9">
        <f t="shared" si="3"/>
        <v>2.2318428792407619</v>
      </c>
      <c r="O26" s="95"/>
      <c r="P26" s="9">
        <f t="shared" si="4"/>
        <v>0</v>
      </c>
      <c r="Q26" s="9">
        <f t="shared" si="32"/>
        <v>0</v>
      </c>
      <c r="R26" s="9">
        <f t="shared" si="5"/>
        <v>0</v>
      </c>
      <c r="S26" s="9">
        <f t="shared" si="33"/>
        <v>7312.5</v>
      </c>
      <c r="T26" s="9">
        <f t="shared" si="6"/>
        <v>15.708306384861048</v>
      </c>
      <c r="U26" s="9">
        <f t="shared" si="34"/>
        <v>120312.5</v>
      </c>
      <c r="V26" s="9">
        <f t="shared" si="7"/>
        <v>17.535908336891698</v>
      </c>
      <c r="W26" s="95"/>
      <c r="X26" s="9"/>
      <c r="Y26" s="9"/>
      <c r="Z26" s="9"/>
      <c r="AA26" s="95"/>
      <c r="AB26" s="9">
        <f t="shared" si="8"/>
        <v>0</v>
      </c>
      <c r="AC26" s="9">
        <f t="shared" si="35"/>
        <v>0</v>
      </c>
      <c r="AD26" s="9">
        <f t="shared" si="9"/>
        <v>0</v>
      </c>
      <c r="AE26" s="95"/>
      <c r="AF26" s="9">
        <f t="shared" si="10"/>
        <v>0</v>
      </c>
      <c r="AG26" s="9">
        <f t="shared" si="36"/>
        <v>0</v>
      </c>
      <c r="AH26" s="9">
        <f t="shared" si="11"/>
        <v>0</v>
      </c>
      <c r="AI26" s="95"/>
      <c r="AJ26" s="9">
        <f t="shared" si="12"/>
        <v>0</v>
      </c>
      <c r="AK26" s="9">
        <f t="shared" si="37"/>
        <v>0</v>
      </c>
      <c r="AL26" s="9">
        <f t="shared" si="13"/>
        <v>0</v>
      </c>
      <c r="AM26" s="9">
        <f t="shared" si="38"/>
        <v>0</v>
      </c>
      <c r="AN26" s="9">
        <f t="shared" si="14"/>
        <v>0</v>
      </c>
      <c r="AO26" s="9">
        <f t="shared" si="39"/>
        <v>0</v>
      </c>
      <c r="AP26" s="9">
        <f t="shared" si="15"/>
        <v>0</v>
      </c>
      <c r="AQ26" s="95">
        <f>156*AQ7</f>
        <v>39239.303999999996</v>
      </c>
      <c r="AR26" s="9">
        <f t="shared" si="16"/>
        <v>84.291693615138954</v>
      </c>
      <c r="AS26" s="9">
        <f t="shared" si="40"/>
        <v>455276.54</v>
      </c>
      <c r="AT26" s="9">
        <f t="shared" si="17"/>
        <v>66.357923518979376</v>
      </c>
      <c r="AU26" s="95"/>
      <c r="AV26" s="9">
        <f t="shared" si="18"/>
        <v>0</v>
      </c>
      <c r="AW26" s="9">
        <f t="shared" si="41"/>
        <v>110503.16399999999</v>
      </c>
      <c r="AX26" s="9">
        <f t="shared" si="19"/>
        <v>16.106168144128919</v>
      </c>
      <c r="AY26" s="95"/>
      <c r="AZ26" s="14">
        <f t="shared" si="20"/>
        <v>0</v>
      </c>
      <c r="BA26" s="9">
        <f t="shared" si="42"/>
        <v>0</v>
      </c>
      <c r="BB26" s="9">
        <f t="shared" si="21"/>
        <v>0</v>
      </c>
      <c r="BC26" s="9">
        <f t="shared" si="43"/>
        <v>39239.303999999996</v>
      </c>
      <c r="BD26" s="9">
        <f t="shared" si="22"/>
        <v>84.291693615138954</v>
      </c>
      <c r="BE26" s="9">
        <f t="shared" si="44"/>
        <v>565779.70399999991</v>
      </c>
      <c r="BF26" s="9">
        <f t="shared" si="23"/>
        <v>82.464091663108292</v>
      </c>
      <c r="BG26" s="95"/>
      <c r="BH26" s="9">
        <f t="shared" si="24"/>
        <v>0</v>
      </c>
      <c r="BI26" s="9">
        <f t="shared" si="45"/>
        <v>0</v>
      </c>
      <c r="BJ26" s="9">
        <f t="shared" si="25"/>
        <v>0</v>
      </c>
      <c r="BK26" s="9">
        <f t="shared" si="26"/>
        <v>46551.803999999996</v>
      </c>
      <c r="BL26" s="9">
        <f t="shared" si="46"/>
        <v>686092.20400000003</v>
      </c>
      <c r="BM26" s="511">
        <f t="shared" si="27"/>
        <v>1.0887018873219672</v>
      </c>
      <c r="BN26" s="9">
        <f t="shared" si="28"/>
        <v>1.0934019098494943</v>
      </c>
      <c r="BP26" s="13"/>
      <c r="BV26" s="13"/>
    </row>
    <row r="27" spans="1:75">
      <c r="A27" s="15">
        <f>+Chem!A26</f>
        <v>46130</v>
      </c>
      <c r="B27" s="5" t="str">
        <f>+Chem!B26</f>
        <v>Toilet</v>
      </c>
      <c r="C27" s="309" t="str">
        <f>+Chem!C26</f>
        <v>13/12/12,5</v>
      </c>
      <c r="D27" s="7">
        <f>+Chem!D26</f>
        <v>40.573999999999998</v>
      </c>
      <c r="E27" s="6">
        <f>+Chem!E26</f>
        <v>36.371000000000002</v>
      </c>
      <c r="F27" s="6">
        <f t="shared" si="29"/>
        <v>663.8549999999999</v>
      </c>
      <c r="G27" s="95">
        <f>27*G7</f>
        <v>6750</v>
      </c>
      <c r="H27" s="9">
        <f t="shared" si="0"/>
        <v>15.708306384861045</v>
      </c>
      <c r="I27" s="7">
        <f t="shared" si="30"/>
        <v>111750</v>
      </c>
      <c r="J27" s="9">
        <f t="shared" si="1"/>
        <v>15.327891371816788</v>
      </c>
      <c r="K27" s="95"/>
      <c r="L27" s="9">
        <f t="shared" si="2"/>
        <v>0</v>
      </c>
      <c r="M27" s="9">
        <f t="shared" si="31"/>
        <v>15312.5</v>
      </c>
      <c r="N27" s="9">
        <f t="shared" si="3"/>
        <v>2.1002983143708684</v>
      </c>
      <c r="O27" s="95"/>
      <c r="P27" s="9">
        <f t="shared" si="4"/>
        <v>0</v>
      </c>
      <c r="Q27" s="9">
        <f t="shared" si="32"/>
        <v>0</v>
      </c>
      <c r="R27" s="9">
        <f t="shared" si="5"/>
        <v>0</v>
      </c>
      <c r="S27" s="9">
        <f t="shared" si="33"/>
        <v>6750</v>
      </c>
      <c r="T27" s="9">
        <f t="shared" si="6"/>
        <v>15.708306384861045</v>
      </c>
      <c r="U27" s="9">
        <f t="shared" si="34"/>
        <v>127062.5</v>
      </c>
      <c r="V27" s="9">
        <f t="shared" si="7"/>
        <v>17.428189686187658</v>
      </c>
      <c r="W27" s="95"/>
      <c r="X27" s="9"/>
      <c r="Y27" s="9"/>
      <c r="Z27" s="9"/>
      <c r="AA27" s="95"/>
      <c r="AB27" s="9">
        <f t="shared" si="8"/>
        <v>0</v>
      </c>
      <c r="AC27" s="9">
        <f t="shared" si="35"/>
        <v>0</v>
      </c>
      <c r="AD27" s="9">
        <f t="shared" si="9"/>
        <v>0</v>
      </c>
      <c r="AE27" s="95"/>
      <c r="AF27" s="9">
        <f t="shared" si="10"/>
        <v>0</v>
      </c>
      <c r="AG27" s="9">
        <f t="shared" si="36"/>
        <v>0</v>
      </c>
      <c r="AH27" s="9">
        <f t="shared" si="11"/>
        <v>0</v>
      </c>
      <c r="AI27" s="95"/>
      <c r="AJ27" s="9">
        <f t="shared" si="12"/>
        <v>0</v>
      </c>
      <c r="AK27" s="9">
        <f t="shared" si="37"/>
        <v>0</v>
      </c>
      <c r="AL27" s="9">
        <f t="shared" si="13"/>
        <v>0</v>
      </c>
      <c r="AM27" s="9">
        <f t="shared" si="38"/>
        <v>0</v>
      </c>
      <c r="AN27" s="9">
        <f t="shared" si="14"/>
        <v>0</v>
      </c>
      <c r="AO27" s="9">
        <f t="shared" si="39"/>
        <v>0</v>
      </c>
      <c r="AP27" s="9">
        <f t="shared" si="15"/>
        <v>0</v>
      </c>
      <c r="AQ27" s="95">
        <f>144*AQ7</f>
        <v>36220.896000000001</v>
      </c>
      <c r="AR27" s="9">
        <f t="shared" si="16"/>
        <v>84.291693615138954</v>
      </c>
      <c r="AS27" s="9">
        <f t="shared" si="40"/>
        <v>491497.43599999999</v>
      </c>
      <c r="AT27" s="9">
        <f t="shared" si="17"/>
        <v>67.414937883977402</v>
      </c>
      <c r="AU27" s="95"/>
      <c r="AV27" s="9">
        <f t="shared" si="18"/>
        <v>0</v>
      </c>
      <c r="AW27" s="9">
        <f t="shared" si="41"/>
        <v>110503.16399999999</v>
      </c>
      <c r="AX27" s="9">
        <f t="shared" si="19"/>
        <v>15.156872429834948</v>
      </c>
      <c r="AY27" s="95"/>
      <c r="AZ27" s="14">
        <f t="shared" si="20"/>
        <v>0</v>
      </c>
      <c r="BA27" s="9">
        <f t="shared" si="42"/>
        <v>0</v>
      </c>
      <c r="BB27" s="9">
        <f t="shared" si="21"/>
        <v>0</v>
      </c>
      <c r="BC27" s="9">
        <f t="shared" si="43"/>
        <v>36220.896000000001</v>
      </c>
      <c r="BD27" s="9">
        <f t="shared" si="22"/>
        <v>84.291693615138954</v>
      </c>
      <c r="BE27" s="9">
        <f t="shared" si="44"/>
        <v>602000.59999999986</v>
      </c>
      <c r="BF27" s="9">
        <f t="shared" si="23"/>
        <v>82.571810313812321</v>
      </c>
      <c r="BG27" s="95"/>
      <c r="BH27" s="9">
        <f t="shared" si="24"/>
        <v>0</v>
      </c>
      <c r="BI27" s="9">
        <f t="shared" si="45"/>
        <v>0</v>
      </c>
      <c r="BJ27" s="9">
        <f t="shared" si="25"/>
        <v>0</v>
      </c>
      <c r="BK27" s="9">
        <f t="shared" si="26"/>
        <v>42970.896000000001</v>
      </c>
      <c r="BL27" s="9">
        <f t="shared" si="46"/>
        <v>729063.1</v>
      </c>
      <c r="BM27" s="511">
        <f t="shared" si="27"/>
        <v>1.1814603942701603</v>
      </c>
      <c r="BN27" s="9">
        <f t="shared" si="28"/>
        <v>1.0982264199260381</v>
      </c>
      <c r="BV27" s="13"/>
    </row>
    <row r="28" spans="1:75">
      <c r="A28" s="15">
        <f>+Chem!A27</f>
        <v>46131</v>
      </c>
      <c r="B28" s="5" t="str">
        <f>+Chem!B27</f>
        <v>Toilet</v>
      </c>
      <c r="C28" s="309" t="str">
        <f>+Chem!C27</f>
        <v>12,5/13,5</v>
      </c>
      <c r="D28" s="7">
        <f>+Chem!D27</f>
        <v>42.658000000000001</v>
      </c>
      <c r="E28" s="6">
        <f>+Chem!E27</f>
        <v>40.729999999999997</v>
      </c>
      <c r="F28" s="6">
        <f t="shared" si="29"/>
        <v>704.58499999999992</v>
      </c>
      <c r="G28" s="95">
        <f>27.75*G7</f>
        <v>6937.5</v>
      </c>
      <c r="H28" s="9">
        <f t="shared" si="0"/>
        <v>15.708306384861045</v>
      </c>
      <c r="I28" s="7">
        <f t="shared" si="30"/>
        <v>118687.5</v>
      </c>
      <c r="J28" s="9">
        <f t="shared" si="1"/>
        <v>15.349619580072121</v>
      </c>
      <c r="K28" s="95"/>
      <c r="L28" s="9">
        <f t="shared" si="2"/>
        <v>0</v>
      </c>
      <c r="M28" s="9">
        <f t="shared" si="31"/>
        <v>15312.5</v>
      </c>
      <c r="N28" s="9">
        <f t="shared" si="3"/>
        <v>1.9803353328687041</v>
      </c>
      <c r="O28" s="95"/>
      <c r="P28" s="9">
        <f t="shared" si="4"/>
        <v>0</v>
      </c>
      <c r="Q28" s="9">
        <f t="shared" si="32"/>
        <v>0</v>
      </c>
      <c r="R28" s="9">
        <f t="shared" si="5"/>
        <v>0</v>
      </c>
      <c r="S28" s="9">
        <f t="shared" si="33"/>
        <v>6937.5</v>
      </c>
      <c r="T28" s="9">
        <f t="shared" si="6"/>
        <v>15.708306384861045</v>
      </c>
      <c r="U28" s="9">
        <f t="shared" si="34"/>
        <v>134000</v>
      </c>
      <c r="V28" s="9">
        <f t="shared" si="7"/>
        <v>17.329954912940828</v>
      </c>
      <c r="W28" s="95"/>
      <c r="X28" s="9"/>
      <c r="Y28" s="9"/>
      <c r="Z28" s="9"/>
      <c r="AA28" s="95"/>
      <c r="AB28" s="9">
        <f t="shared" si="8"/>
        <v>0</v>
      </c>
      <c r="AC28" s="9">
        <f t="shared" si="35"/>
        <v>0</v>
      </c>
      <c r="AD28" s="9">
        <f t="shared" si="9"/>
        <v>0</v>
      </c>
      <c r="AE28" s="95"/>
      <c r="AF28" s="9">
        <f t="shared" si="10"/>
        <v>0</v>
      </c>
      <c r="AG28" s="9">
        <f t="shared" si="36"/>
        <v>0</v>
      </c>
      <c r="AH28" s="9">
        <f t="shared" si="11"/>
        <v>0</v>
      </c>
      <c r="AI28" s="95"/>
      <c r="AJ28" s="9">
        <f t="shared" si="12"/>
        <v>0</v>
      </c>
      <c r="AK28" s="9">
        <f t="shared" si="37"/>
        <v>0</v>
      </c>
      <c r="AL28" s="9">
        <f t="shared" si="13"/>
        <v>0</v>
      </c>
      <c r="AM28" s="9">
        <f t="shared" si="38"/>
        <v>0</v>
      </c>
      <c r="AN28" s="9">
        <f t="shared" si="14"/>
        <v>0</v>
      </c>
      <c r="AO28" s="9">
        <f t="shared" si="39"/>
        <v>0</v>
      </c>
      <c r="AP28" s="9">
        <f t="shared" si="15"/>
        <v>0</v>
      </c>
      <c r="AQ28" s="95">
        <f>148*AQ7</f>
        <v>37227.031999999999</v>
      </c>
      <c r="AR28" s="9">
        <f t="shared" si="16"/>
        <v>84.291693615138954</v>
      </c>
      <c r="AS28" s="9">
        <f t="shared" si="40"/>
        <v>528724.46799999999</v>
      </c>
      <c r="AT28" s="9">
        <f t="shared" si="17"/>
        <v>68.378889491109135</v>
      </c>
      <c r="AU28" s="95"/>
      <c r="AV28" s="9">
        <f t="shared" si="18"/>
        <v>0</v>
      </c>
      <c r="AW28" s="9">
        <f t="shared" si="41"/>
        <v>110503.16399999999</v>
      </c>
      <c r="AX28" s="9">
        <f t="shared" si="19"/>
        <v>14.291155595950041</v>
      </c>
      <c r="AY28" s="95"/>
      <c r="AZ28" s="14">
        <f t="shared" si="20"/>
        <v>0</v>
      </c>
      <c r="BA28" s="9">
        <f t="shared" si="42"/>
        <v>0</v>
      </c>
      <c r="BB28" s="9">
        <f t="shared" si="21"/>
        <v>0</v>
      </c>
      <c r="BC28" s="9">
        <f t="shared" si="43"/>
        <v>37227.031999999999</v>
      </c>
      <c r="BD28" s="9">
        <f t="shared" si="22"/>
        <v>84.291693615138954</v>
      </c>
      <c r="BE28" s="9">
        <f t="shared" si="44"/>
        <v>639227.63199999987</v>
      </c>
      <c r="BF28" s="9">
        <f t="shared" si="23"/>
        <v>82.670045087059165</v>
      </c>
      <c r="BG28" s="95"/>
      <c r="BH28" s="9">
        <f t="shared" si="24"/>
        <v>0</v>
      </c>
      <c r="BI28" s="9">
        <f t="shared" si="45"/>
        <v>0</v>
      </c>
      <c r="BJ28" s="9">
        <f t="shared" si="25"/>
        <v>0</v>
      </c>
      <c r="BK28" s="9">
        <f t="shared" si="26"/>
        <v>44164.531999999999</v>
      </c>
      <c r="BL28" s="9">
        <f t="shared" si="46"/>
        <v>773227.63199999998</v>
      </c>
      <c r="BM28" s="511">
        <f t="shared" si="27"/>
        <v>1.0843243800638351</v>
      </c>
      <c r="BN28" s="9">
        <f t="shared" si="28"/>
        <v>1.097422783624403</v>
      </c>
      <c r="BV28" s="13"/>
    </row>
    <row r="29" spans="1:75">
      <c r="A29" s="15">
        <f>+Chem!A28</f>
        <v>46132</v>
      </c>
      <c r="B29" s="5" t="str">
        <f>+Chem!B28</f>
        <v>Toilet/Facial</v>
      </c>
      <c r="C29" s="309" t="str">
        <f>+Chem!C28</f>
        <v>13,5/12/14,5</v>
      </c>
      <c r="D29" s="7">
        <f>+Chem!D28</f>
        <v>42.622</v>
      </c>
      <c r="E29" s="6">
        <f>+Chem!E28</f>
        <v>41.040999999999997</v>
      </c>
      <c r="F29" s="6">
        <f t="shared" si="29"/>
        <v>745.62599999999998</v>
      </c>
      <c r="G29" s="95">
        <f>35.25*G7</f>
        <v>8812.5</v>
      </c>
      <c r="H29" s="9">
        <f t="shared" si="0"/>
        <v>19.568810666643927</v>
      </c>
      <c r="I29" s="7">
        <f t="shared" si="30"/>
        <v>127500</v>
      </c>
      <c r="J29" s="9">
        <f t="shared" si="1"/>
        <v>15.581824825708306</v>
      </c>
      <c r="K29" s="95"/>
      <c r="L29" s="9">
        <f t="shared" si="2"/>
        <v>0</v>
      </c>
      <c r="M29" s="9">
        <f t="shared" si="31"/>
        <v>15312.5</v>
      </c>
      <c r="N29" s="9">
        <f t="shared" si="3"/>
        <v>1.8713466089698705</v>
      </c>
      <c r="O29" s="95"/>
      <c r="P29" s="9">
        <f t="shared" si="4"/>
        <v>0</v>
      </c>
      <c r="Q29" s="9">
        <f t="shared" si="32"/>
        <v>0</v>
      </c>
      <c r="R29" s="9">
        <f t="shared" si="5"/>
        <v>0</v>
      </c>
      <c r="S29" s="9">
        <f t="shared" si="33"/>
        <v>8812.5</v>
      </c>
      <c r="T29" s="9">
        <f t="shared" si="6"/>
        <v>19.568810666643927</v>
      </c>
      <c r="U29" s="9">
        <f t="shared" si="34"/>
        <v>142812.5</v>
      </c>
      <c r="V29" s="9">
        <f t="shared" si="7"/>
        <v>17.453171434678179</v>
      </c>
      <c r="W29" s="95"/>
      <c r="X29" s="9"/>
      <c r="Y29" s="9"/>
      <c r="Z29" s="9"/>
      <c r="AA29" s="95"/>
      <c r="AB29" s="9">
        <f t="shared" si="8"/>
        <v>0</v>
      </c>
      <c r="AC29" s="9">
        <f t="shared" si="35"/>
        <v>0</v>
      </c>
      <c r="AD29" s="9">
        <f t="shared" si="9"/>
        <v>0</v>
      </c>
      <c r="AE29" s="95"/>
      <c r="AF29" s="9">
        <f t="shared" si="10"/>
        <v>0</v>
      </c>
      <c r="AG29" s="9">
        <f t="shared" si="36"/>
        <v>0</v>
      </c>
      <c r="AH29" s="9">
        <f t="shared" si="11"/>
        <v>0</v>
      </c>
      <c r="AI29" s="95"/>
      <c r="AJ29" s="9">
        <f t="shared" si="12"/>
        <v>0</v>
      </c>
      <c r="AK29" s="9">
        <f t="shared" si="37"/>
        <v>0</v>
      </c>
      <c r="AL29" s="9">
        <f t="shared" si="13"/>
        <v>0</v>
      </c>
      <c r="AM29" s="9">
        <f t="shared" si="38"/>
        <v>0</v>
      </c>
      <c r="AN29" s="9">
        <f t="shared" si="14"/>
        <v>0</v>
      </c>
      <c r="AO29" s="9">
        <f t="shared" si="39"/>
        <v>0</v>
      </c>
      <c r="AP29" s="9">
        <f t="shared" si="15"/>
        <v>0</v>
      </c>
      <c r="AQ29" s="95">
        <f>144*AQ7</f>
        <v>36220.896000000001</v>
      </c>
      <c r="AR29" s="9">
        <f t="shared" si="16"/>
        <v>80.431189333356073</v>
      </c>
      <c r="AS29" s="9">
        <f t="shared" si="40"/>
        <v>564945.36399999994</v>
      </c>
      <c r="AT29" s="9">
        <f t="shared" si="17"/>
        <v>69.042193709364824</v>
      </c>
      <c r="AU29" s="95"/>
      <c r="AV29" s="9">
        <f t="shared" si="18"/>
        <v>0</v>
      </c>
      <c r="AW29" s="9">
        <f t="shared" si="41"/>
        <v>110503.16399999999</v>
      </c>
      <c r="AX29" s="9">
        <f t="shared" si="19"/>
        <v>13.504634855956994</v>
      </c>
      <c r="AY29" s="95"/>
      <c r="AZ29" s="14">
        <f t="shared" si="20"/>
        <v>0</v>
      </c>
      <c r="BA29" s="9">
        <f t="shared" si="42"/>
        <v>0</v>
      </c>
      <c r="BB29" s="9">
        <f t="shared" si="21"/>
        <v>0</v>
      </c>
      <c r="BC29" s="9">
        <f t="shared" si="43"/>
        <v>36220.896000000001</v>
      </c>
      <c r="BD29" s="9">
        <f t="shared" si="22"/>
        <v>80.431189333356073</v>
      </c>
      <c r="BE29" s="9">
        <f t="shared" si="44"/>
        <v>675448.52799999982</v>
      </c>
      <c r="BF29" s="9">
        <f t="shared" si="23"/>
        <v>82.546828565321803</v>
      </c>
      <c r="BG29" s="95"/>
      <c r="BH29" s="9">
        <f t="shared" si="24"/>
        <v>0</v>
      </c>
      <c r="BI29" s="9">
        <f t="shared" si="45"/>
        <v>0</v>
      </c>
      <c r="BJ29" s="9">
        <f t="shared" si="25"/>
        <v>0</v>
      </c>
      <c r="BK29" s="9">
        <f t="shared" si="26"/>
        <v>45033.396000000001</v>
      </c>
      <c r="BL29" s="9">
        <f t="shared" si="46"/>
        <v>818261.02799999993</v>
      </c>
      <c r="BM29" s="511">
        <f t="shared" si="27"/>
        <v>1.0972782339611609</v>
      </c>
      <c r="BN29" s="9">
        <f t="shared" si="28"/>
        <v>1.097414827272654</v>
      </c>
      <c r="BV29" s="13"/>
    </row>
    <row r="30" spans="1:75">
      <c r="A30" s="15">
        <f>+Chem!A29</f>
        <v>46133</v>
      </c>
      <c r="B30" s="5" t="str">
        <f>+Chem!B29</f>
        <v>Facial</v>
      </c>
      <c r="C30" s="309" t="str">
        <f>+Chem!C29</f>
        <v>14,5</v>
      </c>
      <c r="D30" s="7">
        <f>+Chem!D29</f>
        <v>44.065999999999995</v>
      </c>
      <c r="E30" s="6">
        <f>+Chem!E29</f>
        <v>43.082999999999998</v>
      </c>
      <c r="F30" s="6">
        <f t="shared" si="29"/>
        <v>788.70899999999995</v>
      </c>
      <c r="G30" s="95">
        <f>37*G7</f>
        <v>9250</v>
      </c>
      <c r="H30" s="9">
        <f t="shared" si="0"/>
        <v>20.07187336414232</v>
      </c>
      <c r="I30" s="7">
        <f t="shared" si="30"/>
        <v>136750</v>
      </c>
      <c r="J30" s="9">
        <f t="shared" si="1"/>
        <v>15.821221177159572</v>
      </c>
      <c r="K30" s="95"/>
      <c r="L30" s="9">
        <f t="shared" si="2"/>
        <v>0</v>
      </c>
      <c r="M30" s="9">
        <f t="shared" si="31"/>
        <v>15312.5</v>
      </c>
      <c r="N30" s="9">
        <f t="shared" si="3"/>
        <v>1.771571841135327</v>
      </c>
      <c r="O30" s="95"/>
      <c r="P30" s="9">
        <f t="shared" si="4"/>
        <v>0</v>
      </c>
      <c r="Q30" s="9">
        <f t="shared" si="32"/>
        <v>0</v>
      </c>
      <c r="R30" s="9">
        <f t="shared" si="5"/>
        <v>0</v>
      </c>
      <c r="S30" s="9">
        <f t="shared" si="33"/>
        <v>9250</v>
      </c>
      <c r="T30" s="9">
        <f t="shared" si="6"/>
        <v>20.07187336414232</v>
      </c>
      <c r="U30" s="9">
        <f t="shared" si="34"/>
        <v>152062.5</v>
      </c>
      <c r="V30" s="9">
        <f t="shared" si="7"/>
        <v>17.592793018294898</v>
      </c>
      <c r="W30" s="95"/>
      <c r="X30" s="9"/>
      <c r="Y30" s="9"/>
      <c r="Z30" s="9"/>
      <c r="AA30" s="95"/>
      <c r="AB30" s="9">
        <f t="shared" si="8"/>
        <v>0</v>
      </c>
      <c r="AC30" s="9">
        <f t="shared" si="35"/>
        <v>0</v>
      </c>
      <c r="AD30" s="9">
        <f t="shared" si="9"/>
        <v>0</v>
      </c>
      <c r="AE30" s="95"/>
      <c r="AF30" s="9">
        <f t="shared" si="10"/>
        <v>0</v>
      </c>
      <c r="AG30" s="9">
        <f t="shared" si="36"/>
        <v>0</v>
      </c>
      <c r="AH30" s="9">
        <f t="shared" si="11"/>
        <v>0</v>
      </c>
      <c r="AI30" s="95"/>
      <c r="AJ30" s="9">
        <f t="shared" si="12"/>
        <v>0</v>
      </c>
      <c r="AK30" s="9">
        <f t="shared" si="37"/>
        <v>0</v>
      </c>
      <c r="AL30" s="9">
        <f t="shared" si="13"/>
        <v>0</v>
      </c>
      <c r="AM30" s="9">
        <f t="shared" si="38"/>
        <v>0</v>
      </c>
      <c r="AN30" s="9">
        <f t="shared" si="14"/>
        <v>0</v>
      </c>
      <c r="AO30" s="9">
        <f t="shared" si="39"/>
        <v>0</v>
      </c>
      <c r="AP30" s="9">
        <f t="shared" si="15"/>
        <v>0</v>
      </c>
      <c r="AQ30" s="95"/>
      <c r="AR30" s="9">
        <f t="shared" si="16"/>
        <v>0</v>
      </c>
      <c r="AS30" s="9">
        <f t="shared" si="40"/>
        <v>564945.36399999994</v>
      </c>
      <c r="AT30" s="9">
        <f t="shared" si="17"/>
        <v>65.361064401132879</v>
      </c>
      <c r="AU30" s="95">
        <f>148*AU7</f>
        <v>36834.387999999999</v>
      </c>
      <c r="AV30" s="9">
        <f t="shared" si="18"/>
        <v>79.92812663585768</v>
      </c>
      <c r="AW30" s="9">
        <f t="shared" si="41"/>
        <v>147337.552</v>
      </c>
      <c r="AX30" s="9">
        <f t="shared" si="19"/>
        <v>17.046142580572209</v>
      </c>
      <c r="AY30" s="95"/>
      <c r="AZ30" s="14">
        <f t="shared" si="20"/>
        <v>0</v>
      </c>
      <c r="BA30" s="9">
        <f t="shared" si="42"/>
        <v>0</v>
      </c>
      <c r="BB30" s="9">
        <f t="shared" si="21"/>
        <v>0</v>
      </c>
      <c r="BC30" s="9">
        <f t="shared" si="43"/>
        <v>36834.387999999999</v>
      </c>
      <c r="BD30" s="9">
        <f t="shared" si="22"/>
        <v>79.92812663585768</v>
      </c>
      <c r="BE30" s="9">
        <f t="shared" si="44"/>
        <v>712282.91599999985</v>
      </c>
      <c r="BF30" s="9">
        <f t="shared" si="23"/>
        <v>82.407206981705087</v>
      </c>
      <c r="BG30" s="95"/>
      <c r="BH30" s="9">
        <f t="shared" si="24"/>
        <v>0</v>
      </c>
      <c r="BI30" s="9">
        <f t="shared" si="45"/>
        <v>0</v>
      </c>
      <c r="BJ30" s="9">
        <f t="shared" si="25"/>
        <v>0</v>
      </c>
      <c r="BK30" s="9">
        <f t="shared" si="26"/>
        <v>46084.387999999999</v>
      </c>
      <c r="BL30" s="9">
        <f t="shared" si="46"/>
        <v>864345.41599999997</v>
      </c>
      <c r="BM30" s="511">
        <f t="shared" si="27"/>
        <v>1.0696652507949771</v>
      </c>
      <c r="BN30" s="9">
        <f t="shared" si="28"/>
        <v>1.0958990147189902</v>
      </c>
    </row>
    <row r="31" spans="1:75">
      <c r="A31" s="15">
        <f>+Chem!A30</f>
        <v>46134</v>
      </c>
      <c r="B31" s="5" t="str">
        <f>+Chem!B30</f>
        <v>Facial</v>
      </c>
      <c r="C31" s="309" t="str">
        <f>+Chem!C30</f>
        <v>14,5</v>
      </c>
      <c r="D31" s="7">
        <f>+Chem!D30</f>
        <v>42.384</v>
      </c>
      <c r="E31" s="6">
        <f>+Chem!E30</f>
        <v>41.222000000000001</v>
      </c>
      <c r="F31" s="6">
        <f t="shared" si="29"/>
        <v>829.93099999999993</v>
      </c>
      <c r="G31" s="95">
        <f>38*G7</f>
        <v>9500</v>
      </c>
      <c r="H31" s="9">
        <f t="shared" si="0"/>
        <v>20.071873364142323</v>
      </c>
      <c r="I31" s="7">
        <f t="shared" si="30"/>
        <v>146250</v>
      </c>
      <c r="J31" s="9">
        <f t="shared" si="1"/>
        <v>16.041895125190884</v>
      </c>
      <c r="K31" s="95"/>
      <c r="L31" s="9">
        <f t="shared" si="2"/>
        <v>0</v>
      </c>
      <c r="M31" s="9">
        <f t="shared" si="31"/>
        <v>15312.5</v>
      </c>
      <c r="N31" s="9">
        <f t="shared" si="3"/>
        <v>1.6796001306289599</v>
      </c>
      <c r="O31" s="95"/>
      <c r="P31" s="9">
        <f t="shared" si="4"/>
        <v>0</v>
      </c>
      <c r="Q31" s="9">
        <f t="shared" si="32"/>
        <v>0</v>
      </c>
      <c r="R31" s="9">
        <f t="shared" si="5"/>
        <v>0</v>
      </c>
      <c r="S31" s="9">
        <f t="shared" si="33"/>
        <v>9500</v>
      </c>
      <c r="T31" s="9">
        <f t="shared" si="6"/>
        <v>20.071873364142323</v>
      </c>
      <c r="U31" s="9">
        <f t="shared" si="34"/>
        <v>161562.5</v>
      </c>
      <c r="V31" s="9">
        <f t="shared" si="7"/>
        <v>17.721495255819843</v>
      </c>
      <c r="W31" s="95"/>
      <c r="X31" s="9"/>
      <c r="Y31" s="9"/>
      <c r="Z31" s="9"/>
      <c r="AA31" s="95"/>
      <c r="AB31" s="9">
        <f t="shared" si="8"/>
        <v>0</v>
      </c>
      <c r="AC31" s="9">
        <f t="shared" si="35"/>
        <v>0</v>
      </c>
      <c r="AD31" s="9">
        <f t="shared" si="9"/>
        <v>0</v>
      </c>
      <c r="AE31" s="95"/>
      <c r="AF31" s="9">
        <f t="shared" si="10"/>
        <v>0</v>
      </c>
      <c r="AG31" s="9">
        <f t="shared" si="36"/>
        <v>0</v>
      </c>
      <c r="AH31" s="9">
        <f t="shared" si="11"/>
        <v>0</v>
      </c>
      <c r="AI31" s="95"/>
      <c r="AJ31" s="9">
        <f t="shared" si="12"/>
        <v>0</v>
      </c>
      <c r="AK31" s="9">
        <f t="shared" si="37"/>
        <v>0</v>
      </c>
      <c r="AL31" s="9">
        <f t="shared" si="13"/>
        <v>0</v>
      </c>
      <c r="AM31" s="9">
        <f t="shared" si="38"/>
        <v>0</v>
      </c>
      <c r="AN31" s="9">
        <f t="shared" si="14"/>
        <v>0</v>
      </c>
      <c r="AO31" s="9">
        <f t="shared" si="39"/>
        <v>0</v>
      </c>
      <c r="AP31" s="9">
        <f t="shared" si="15"/>
        <v>0</v>
      </c>
      <c r="AQ31" s="95"/>
      <c r="AR31" s="9">
        <f t="shared" si="16"/>
        <v>0</v>
      </c>
      <c r="AS31" s="9">
        <f t="shared" si="40"/>
        <v>564945.36399999994</v>
      </c>
      <c r="AT31" s="9">
        <f t="shared" si="17"/>
        <v>61.967824141885728</v>
      </c>
      <c r="AU31" s="95">
        <f>152*AU7</f>
        <v>37829.911999999997</v>
      </c>
      <c r="AV31" s="9">
        <f t="shared" si="18"/>
        <v>79.92812663585768</v>
      </c>
      <c r="AW31" s="9">
        <f t="shared" si="41"/>
        <v>185167.46399999998</v>
      </c>
      <c r="AX31" s="9">
        <f t="shared" si="19"/>
        <v>20.310680602294415</v>
      </c>
      <c r="AY31" s="95"/>
      <c r="AZ31" s="14">
        <f t="shared" si="20"/>
        <v>0</v>
      </c>
      <c r="BA31" s="9">
        <f t="shared" si="42"/>
        <v>0</v>
      </c>
      <c r="BB31" s="9">
        <f t="shared" si="21"/>
        <v>0</v>
      </c>
      <c r="BC31" s="9">
        <f t="shared" si="43"/>
        <v>37829.911999999997</v>
      </c>
      <c r="BD31" s="9">
        <f t="shared" si="22"/>
        <v>79.92812663585768</v>
      </c>
      <c r="BE31" s="9">
        <f t="shared" si="44"/>
        <v>750112.82799999986</v>
      </c>
      <c r="BF31" s="9">
        <f t="shared" si="23"/>
        <v>82.278504744180154</v>
      </c>
      <c r="BG31" s="95"/>
      <c r="BH31" s="9">
        <f t="shared" si="24"/>
        <v>0</v>
      </c>
      <c r="BI31" s="9">
        <f t="shared" si="45"/>
        <v>0</v>
      </c>
      <c r="BJ31" s="9">
        <f t="shared" si="25"/>
        <v>0</v>
      </c>
      <c r="BK31" s="9">
        <f t="shared" si="26"/>
        <v>47329.911999999997</v>
      </c>
      <c r="BL31" s="9">
        <f t="shared" si="46"/>
        <v>911675.32799999998</v>
      </c>
      <c r="BM31" s="511">
        <f t="shared" si="27"/>
        <v>1.1481711707340738</v>
      </c>
      <c r="BN31" s="9">
        <f t="shared" si="28"/>
        <v>1.0984953303346907</v>
      </c>
    </row>
    <row r="32" spans="1:75">
      <c r="A32" s="15">
        <f>+Chem!A31</f>
        <v>46135</v>
      </c>
      <c r="B32" s="5" t="str">
        <f>+Chem!B31</f>
        <v>Facial</v>
      </c>
      <c r="C32" s="309" t="str">
        <f>+Chem!C31</f>
        <v>14,5/14</v>
      </c>
      <c r="D32" s="7">
        <f>+Chem!D31</f>
        <v>44.05</v>
      </c>
      <c r="E32" s="6">
        <f>+Chem!E31</f>
        <v>41.984000000000002</v>
      </c>
      <c r="F32" s="6">
        <f t="shared" si="29"/>
        <v>871.91499999999996</v>
      </c>
      <c r="G32" s="95">
        <f>37*G7</f>
        <v>9250</v>
      </c>
      <c r="H32" s="9">
        <f t="shared" si="0"/>
        <v>20.07187336414232</v>
      </c>
      <c r="I32" s="7">
        <f t="shared" si="30"/>
        <v>155500</v>
      </c>
      <c r="J32" s="9">
        <f t="shared" si="1"/>
        <v>16.235805014793499</v>
      </c>
      <c r="K32" s="95"/>
      <c r="L32" s="9">
        <f t="shared" si="2"/>
        <v>0</v>
      </c>
      <c r="M32" s="9">
        <f t="shared" si="31"/>
        <v>15312.5</v>
      </c>
      <c r="N32" s="9">
        <f t="shared" si="3"/>
        <v>1.5987830500901961</v>
      </c>
      <c r="O32" s="95"/>
      <c r="P32" s="9">
        <f t="shared" si="4"/>
        <v>0</v>
      </c>
      <c r="Q32" s="9">
        <f t="shared" si="32"/>
        <v>0</v>
      </c>
      <c r="R32" s="9">
        <f t="shared" si="5"/>
        <v>0</v>
      </c>
      <c r="S32" s="9">
        <f t="shared" si="33"/>
        <v>9250</v>
      </c>
      <c r="T32" s="9">
        <f t="shared" si="6"/>
        <v>20.07187336414232</v>
      </c>
      <c r="U32" s="9">
        <f t="shared" si="34"/>
        <v>170812.5</v>
      </c>
      <c r="V32" s="9">
        <f t="shared" si="7"/>
        <v>17.834588064883697</v>
      </c>
      <c r="W32" s="95"/>
      <c r="X32" s="9"/>
      <c r="Y32" s="9"/>
      <c r="Z32" s="9"/>
      <c r="AA32" s="95"/>
      <c r="AB32" s="9">
        <f t="shared" si="8"/>
        <v>0</v>
      </c>
      <c r="AC32" s="9">
        <f t="shared" si="35"/>
        <v>0</v>
      </c>
      <c r="AD32" s="9">
        <f t="shared" si="9"/>
        <v>0</v>
      </c>
      <c r="AE32" s="95"/>
      <c r="AF32" s="9">
        <f t="shared" si="10"/>
        <v>0</v>
      </c>
      <c r="AG32" s="9">
        <f t="shared" si="36"/>
        <v>0</v>
      </c>
      <c r="AH32" s="9">
        <f t="shared" si="11"/>
        <v>0</v>
      </c>
      <c r="AI32" s="95"/>
      <c r="AJ32" s="9">
        <f t="shared" si="12"/>
        <v>0</v>
      </c>
      <c r="AK32" s="9">
        <f t="shared" si="37"/>
        <v>0</v>
      </c>
      <c r="AL32" s="9">
        <f t="shared" si="13"/>
        <v>0</v>
      </c>
      <c r="AM32" s="9">
        <f t="shared" si="38"/>
        <v>0</v>
      </c>
      <c r="AN32" s="9">
        <f t="shared" si="14"/>
        <v>0</v>
      </c>
      <c r="AO32" s="9">
        <f t="shared" si="39"/>
        <v>0</v>
      </c>
      <c r="AP32" s="9">
        <f t="shared" si="15"/>
        <v>0</v>
      </c>
      <c r="AQ32" s="95"/>
      <c r="AR32" s="9">
        <f t="shared" si="16"/>
        <v>0</v>
      </c>
      <c r="AS32" s="9">
        <f t="shared" si="40"/>
        <v>564945.36399999994</v>
      </c>
      <c r="AT32" s="9">
        <f t="shared" si="17"/>
        <v>58.986127163443982</v>
      </c>
      <c r="AU32" s="95">
        <f>148*AU7</f>
        <v>36834.387999999999</v>
      </c>
      <c r="AV32" s="9">
        <f t="shared" si="18"/>
        <v>79.92812663585768</v>
      </c>
      <c r="AW32" s="9">
        <f t="shared" si="41"/>
        <v>222001.85199999998</v>
      </c>
      <c r="AX32" s="9">
        <f t="shared" si="19"/>
        <v>23.179284771672311</v>
      </c>
      <c r="AY32" s="95"/>
      <c r="AZ32" s="14">
        <f t="shared" si="20"/>
        <v>0</v>
      </c>
      <c r="BA32" s="9">
        <f t="shared" si="42"/>
        <v>0</v>
      </c>
      <c r="BB32" s="9">
        <f t="shared" si="21"/>
        <v>0</v>
      </c>
      <c r="BC32" s="9">
        <f t="shared" si="43"/>
        <v>36834.387999999999</v>
      </c>
      <c r="BD32" s="9">
        <f t="shared" si="22"/>
        <v>79.92812663585768</v>
      </c>
      <c r="BE32" s="9">
        <f t="shared" si="44"/>
        <v>786947.2159999999</v>
      </c>
      <c r="BF32" s="9">
        <f t="shared" si="23"/>
        <v>82.165411935116296</v>
      </c>
      <c r="BG32" s="95"/>
      <c r="BH32" s="9">
        <f t="shared" si="24"/>
        <v>0</v>
      </c>
      <c r="BI32" s="9">
        <f t="shared" si="45"/>
        <v>0</v>
      </c>
      <c r="BJ32" s="9">
        <f t="shared" si="25"/>
        <v>0</v>
      </c>
      <c r="BK32" s="9">
        <f t="shared" si="26"/>
        <v>46084.387999999999</v>
      </c>
      <c r="BL32" s="9">
        <f t="shared" si="46"/>
        <v>957759.71600000001</v>
      </c>
      <c r="BM32" s="511">
        <f t="shared" si="27"/>
        <v>1.0976654916158535</v>
      </c>
      <c r="BN32" s="9">
        <f t="shared" si="28"/>
        <v>1.0984553723700132</v>
      </c>
    </row>
    <row r="33" spans="1:66">
      <c r="A33" s="15">
        <f>+Chem!A32</f>
        <v>46136</v>
      </c>
      <c r="B33" s="5" t="str">
        <f>+Chem!B32</f>
        <v>Facial</v>
      </c>
      <c r="C33" s="309" t="str">
        <f>+Chem!C32</f>
        <v>14/13</v>
      </c>
      <c r="D33" s="7">
        <f>+Chem!D32</f>
        <v>38.176000000000002</v>
      </c>
      <c r="E33" s="6">
        <f>+Chem!E32</f>
        <v>38.561999999999998</v>
      </c>
      <c r="F33" s="6">
        <f t="shared" si="29"/>
        <v>910.47699999999998</v>
      </c>
      <c r="G33" s="95">
        <f>27.25*G7</f>
        <v>6812.5</v>
      </c>
      <c r="H33" s="9">
        <f t="shared" si="0"/>
        <v>16.637425500966621</v>
      </c>
      <c r="I33" s="7">
        <f t="shared" si="30"/>
        <v>162312.5</v>
      </c>
      <c r="J33" s="9">
        <f t="shared" si="1"/>
        <v>16.252271402932493</v>
      </c>
      <c r="K33" s="95"/>
      <c r="L33" s="9">
        <f t="shared" si="2"/>
        <v>0</v>
      </c>
      <c r="M33" s="9">
        <f t="shared" si="31"/>
        <v>15312.5</v>
      </c>
      <c r="N33" s="9">
        <f t="shared" si="3"/>
        <v>1.5332331512200468</v>
      </c>
      <c r="O33" s="95"/>
      <c r="P33" s="9">
        <f t="shared" si="4"/>
        <v>0</v>
      </c>
      <c r="Q33" s="9">
        <f t="shared" si="32"/>
        <v>0</v>
      </c>
      <c r="R33" s="9">
        <f t="shared" si="5"/>
        <v>0</v>
      </c>
      <c r="S33" s="9">
        <f t="shared" si="33"/>
        <v>6812.5</v>
      </c>
      <c r="T33" s="9">
        <f t="shared" si="6"/>
        <v>16.637425500966621</v>
      </c>
      <c r="U33" s="9">
        <f t="shared" si="34"/>
        <v>177625</v>
      </c>
      <c r="V33" s="9">
        <f t="shared" si="7"/>
        <v>17.785504554152542</v>
      </c>
      <c r="W33" s="95"/>
      <c r="X33" s="9"/>
      <c r="Y33" s="9"/>
      <c r="Z33" s="9"/>
      <c r="AA33" s="95"/>
      <c r="AB33" s="9">
        <f t="shared" si="8"/>
        <v>0</v>
      </c>
      <c r="AC33" s="9">
        <f>AA33+AC32</f>
        <v>0</v>
      </c>
      <c r="AD33" s="9">
        <f t="shared" si="9"/>
        <v>0</v>
      </c>
      <c r="AE33" s="95"/>
      <c r="AF33" s="9">
        <f t="shared" si="10"/>
        <v>0</v>
      </c>
      <c r="AG33" s="9">
        <f t="shared" si="36"/>
        <v>0</v>
      </c>
      <c r="AH33" s="9">
        <f t="shared" si="11"/>
        <v>0</v>
      </c>
      <c r="AI33" s="95"/>
      <c r="AJ33" s="9">
        <f t="shared" si="12"/>
        <v>0</v>
      </c>
      <c r="AK33" s="9">
        <f t="shared" si="37"/>
        <v>0</v>
      </c>
      <c r="AL33" s="9">
        <f t="shared" si="13"/>
        <v>0</v>
      </c>
      <c r="AM33" s="9">
        <f t="shared" si="38"/>
        <v>0</v>
      </c>
      <c r="AN33" s="9">
        <f t="shared" si="14"/>
        <v>0</v>
      </c>
      <c r="AO33" s="9">
        <f t="shared" si="39"/>
        <v>0</v>
      </c>
      <c r="AP33" s="9">
        <f t="shared" si="15"/>
        <v>0</v>
      </c>
      <c r="AQ33" s="95">
        <f>108*AQ7</f>
        <v>27165.671999999999</v>
      </c>
      <c r="AR33" s="9">
        <f t="shared" si="16"/>
        <v>66.343756929716676</v>
      </c>
      <c r="AS33" s="9">
        <f t="shared" si="40"/>
        <v>592111.03599999996</v>
      </c>
      <c r="AT33" s="9">
        <f t="shared" si="17"/>
        <v>59.287789035000586</v>
      </c>
      <c r="AU33" s="95">
        <f>28*AU7</f>
        <v>6968.6679999999997</v>
      </c>
      <c r="AV33" s="9">
        <f t="shared" si="18"/>
        <v>17.018817569316706</v>
      </c>
      <c r="AW33" s="9">
        <f t="shared" si="41"/>
        <v>228970.52</v>
      </c>
      <c r="AX33" s="9">
        <f t="shared" si="19"/>
        <v>22.926706410846869</v>
      </c>
      <c r="AY33" s="95"/>
      <c r="AZ33" s="14">
        <f t="shared" si="20"/>
        <v>0</v>
      </c>
      <c r="BA33" s="9">
        <f t="shared" si="42"/>
        <v>0</v>
      </c>
      <c r="BB33" s="9">
        <f t="shared" si="21"/>
        <v>0</v>
      </c>
      <c r="BC33" s="9">
        <f t="shared" si="43"/>
        <v>34134.339999999997</v>
      </c>
      <c r="BD33" s="9">
        <f t="shared" si="22"/>
        <v>83.362574499033386</v>
      </c>
      <c r="BE33" s="9">
        <f t="shared" si="44"/>
        <v>821081.55599999987</v>
      </c>
      <c r="BF33" s="9">
        <f t="shared" si="23"/>
        <v>82.214495445847447</v>
      </c>
      <c r="BG33" s="95"/>
      <c r="BH33" s="9">
        <f t="shared" si="24"/>
        <v>0</v>
      </c>
      <c r="BI33" s="9">
        <f t="shared" si="45"/>
        <v>0</v>
      </c>
      <c r="BJ33" s="9">
        <f t="shared" si="25"/>
        <v>0</v>
      </c>
      <c r="BK33" s="9">
        <f t="shared" si="26"/>
        <v>40946.839999999997</v>
      </c>
      <c r="BL33" s="9">
        <f t="shared" si="46"/>
        <v>998706.55599999998</v>
      </c>
      <c r="BM33" s="511">
        <f t="shared" si="27"/>
        <v>1.0618443026813962</v>
      </c>
      <c r="BN33" s="9">
        <f t="shared" si="28"/>
        <v>1.0969047609110389</v>
      </c>
    </row>
    <row r="34" spans="1:66">
      <c r="A34" s="15">
        <f>+Chem!A33</f>
        <v>46137</v>
      </c>
      <c r="B34" s="5" t="str">
        <f>+Chem!B33</f>
        <v>Facial</v>
      </c>
      <c r="C34" s="309" t="str">
        <f>+Chem!C33</f>
        <v>13/12</v>
      </c>
      <c r="D34" s="7">
        <f>+Chem!D33</f>
        <v>39.643999999999998</v>
      </c>
      <c r="E34" s="6">
        <f>+Chem!E33</f>
        <v>38.869</v>
      </c>
      <c r="F34" s="6">
        <f t="shared" si="29"/>
        <v>949.346</v>
      </c>
      <c r="G34" s="95">
        <f>27*G7</f>
        <v>6750</v>
      </c>
      <c r="H34" s="9">
        <f t="shared" si="0"/>
        <v>16.084924589107622</v>
      </c>
      <c r="I34" s="7">
        <f t="shared" si="30"/>
        <v>169062.5</v>
      </c>
      <c r="J34" s="9">
        <f t="shared" si="1"/>
        <v>16.245523192646544</v>
      </c>
      <c r="K34" s="95"/>
      <c r="L34" s="9">
        <f t="shared" si="2"/>
        <v>0</v>
      </c>
      <c r="M34" s="9">
        <f t="shared" si="31"/>
        <v>15312.5</v>
      </c>
      <c r="N34" s="9">
        <f t="shared" si="3"/>
        <v>1.47140598232843</v>
      </c>
      <c r="O34" s="95"/>
      <c r="P34" s="9">
        <f t="shared" si="4"/>
        <v>0</v>
      </c>
      <c r="Q34" s="9">
        <f t="shared" si="32"/>
        <v>0</v>
      </c>
      <c r="R34" s="9">
        <f t="shared" si="5"/>
        <v>0</v>
      </c>
      <c r="S34" s="9">
        <f t="shared" si="33"/>
        <v>6750</v>
      </c>
      <c r="T34" s="9">
        <f t="shared" si="6"/>
        <v>16.084924589107622</v>
      </c>
      <c r="U34" s="9">
        <f t="shared" si="34"/>
        <v>184375</v>
      </c>
      <c r="V34" s="9">
        <f t="shared" si="7"/>
        <v>17.716929174974975</v>
      </c>
      <c r="W34" s="95"/>
      <c r="X34" s="9"/>
      <c r="Y34" s="9"/>
      <c r="Z34" s="9"/>
      <c r="AA34" s="95"/>
      <c r="AB34" s="9">
        <f t="shared" si="8"/>
        <v>0</v>
      </c>
      <c r="AC34" s="9">
        <f>AA34+AC33</f>
        <v>0</v>
      </c>
      <c r="AD34" s="9">
        <f t="shared" si="9"/>
        <v>0</v>
      </c>
      <c r="AE34" s="95"/>
      <c r="AF34" s="9">
        <f t="shared" si="10"/>
        <v>0</v>
      </c>
      <c r="AG34" s="9">
        <f t="shared" si="36"/>
        <v>0</v>
      </c>
      <c r="AH34" s="9">
        <f t="shared" si="11"/>
        <v>0</v>
      </c>
      <c r="AI34" s="95"/>
      <c r="AJ34" s="9">
        <f t="shared" si="12"/>
        <v>0</v>
      </c>
      <c r="AK34" s="9">
        <f t="shared" si="37"/>
        <v>0</v>
      </c>
      <c r="AL34" s="9">
        <f t="shared" si="13"/>
        <v>0</v>
      </c>
      <c r="AM34" s="9">
        <f t="shared" si="38"/>
        <v>0</v>
      </c>
      <c r="AN34" s="9">
        <f t="shared" si="14"/>
        <v>0</v>
      </c>
      <c r="AO34" s="9">
        <f t="shared" si="39"/>
        <v>0</v>
      </c>
      <c r="AP34" s="9">
        <f t="shared" si="15"/>
        <v>0</v>
      </c>
      <c r="AQ34" s="95">
        <f>140*AQ7</f>
        <v>35214.76</v>
      </c>
      <c r="AR34" s="9">
        <f t="shared" si="16"/>
        <v>83.915075410892385</v>
      </c>
      <c r="AS34" s="9">
        <f t="shared" si="40"/>
        <v>627325.79599999997</v>
      </c>
      <c r="AT34" s="9">
        <f t="shared" si="17"/>
        <v>60.280877002667374</v>
      </c>
      <c r="AU34" s="95"/>
      <c r="AV34" s="9">
        <f t="shared" si="18"/>
        <v>0</v>
      </c>
      <c r="AW34" s="9">
        <f t="shared" si="41"/>
        <v>228970.52</v>
      </c>
      <c r="AX34" s="9">
        <f t="shared" si="19"/>
        <v>22.002193822357643</v>
      </c>
      <c r="AY34" s="95"/>
      <c r="AZ34" s="14">
        <f t="shared" si="20"/>
        <v>0</v>
      </c>
      <c r="BA34" s="9">
        <f t="shared" si="42"/>
        <v>0</v>
      </c>
      <c r="BB34" s="9">
        <f t="shared" si="21"/>
        <v>0</v>
      </c>
      <c r="BC34" s="9">
        <f t="shared" si="43"/>
        <v>35214.76</v>
      </c>
      <c r="BD34" s="9">
        <f t="shared" si="22"/>
        <v>83.915075410892385</v>
      </c>
      <c r="BE34" s="9">
        <f t="shared" si="44"/>
        <v>856296.31599999988</v>
      </c>
      <c r="BF34" s="9">
        <f t="shared" si="23"/>
        <v>82.283070825025021</v>
      </c>
      <c r="BG34" s="95"/>
      <c r="BH34" s="9">
        <f t="shared" si="24"/>
        <v>0</v>
      </c>
      <c r="BI34" s="9">
        <f t="shared" si="45"/>
        <v>0</v>
      </c>
      <c r="BJ34" s="9">
        <f t="shared" si="25"/>
        <v>0</v>
      </c>
      <c r="BK34" s="9">
        <f t="shared" si="26"/>
        <v>41964.76</v>
      </c>
      <c r="BL34" s="9">
        <f t="shared" si="46"/>
        <v>1040671.316</v>
      </c>
      <c r="BM34" s="511">
        <f t="shared" si="27"/>
        <v>1.0796459903779363</v>
      </c>
      <c r="BN34" s="9">
        <f t="shared" si="28"/>
        <v>1.0961981364012698</v>
      </c>
    </row>
    <row r="35" spans="1:66">
      <c r="A35" s="15">
        <f>+Chem!A34</f>
        <v>46138</v>
      </c>
      <c r="B35" s="5" t="str">
        <f>+Chem!B34</f>
        <v>Facial/Toilet</v>
      </c>
      <c r="C35" s="309" t="str">
        <f>+Chem!C34</f>
        <v>12/15</v>
      </c>
      <c r="D35" s="7">
        <f>+Chem!D34</f>
        <v>42.364000000000004</v>
      </c>
      <c r="E35" s="6">
        <f>+Chem!E34</f>
        <v>40.670999999999999</v>
      </c>
      <c r="F35" s="6">
        <f t="shared" si="29"/>
        <v>990.01700000000005</v>
      </c>
      <c r="G35" s="95">
        <f>19.5*G7</f>
        <v>4875</v>
      </c>
      <c r="H35" s="9">
        <f t="shared" si="0"/>
        <v>11.308761717732937</v>
      </c>
      <c r="I35" s="7">
        <f t="shared" si="30"/>
        <v>173937.5</v>
      </c>
      <c r="J35" s="9">
        <f t="shared" si="1"/>
        <v>16.049159683115022</v>
      </c>
      <c r="K35" s="95"/>
      <c r="L35" s="9">
        <f t="shared" si="2"/>
        <v>0</v>
      </c>
      <c r="M35" s="9">
        <f t="shared" si="31"/>
        <v>15312.5</v>
      </c>
      <c r="N35" s="9">
        <f t="shared" si="3"/>
        <v>1.4128796702706361</v>
      </c>
      <c r="O35" s="95"/>
      <c r="P35" s="9">
        <f t="shared" si="4"/>
        <v>0</v>
      </c>
      <c r="Q35" s="9">
        <f t="shared" si="32"/>
        <v>0</v>
      </c>
      <c r="R35" s="9">
        <f t="shared" si="5"/>
        <v>0</v>
      </c>
      <c r="S35" s="9">
        <f t="shared" si="33"/>
        <v>4875</v>
      </c>
      <c r="T35" s="9">
        <f t="shared" si="6"/>
        <v>11.308761717732937</v>
      </c>
      <c r="U35" s="9">
        <f t="shared" si="34"/>
        <v>189250</v>
      </c>
      <c r="V35" s="9">
        <f t="shared" si="7"/>
        <v>17.462039353385659</v>
      </c>
      <c r="W35" s="95"/>
      <c r="X35" s="9"/>
      <c r="Y35" s="9"/>
      <c r="Z35" s="9"/>
      <c r="AA35" s="95"/>
      <c r="AB35" s="9">
        <f t="shared" si="8"/>
        <v>0</v>
      </c>
      <c r="AC35" s="9">
        <f>AA35+AC34</f>
        <v>0</v>
      </c>
      <c r="AD35" s="9">
        <f t="shared" si="9"/>
        <v>0</v>
      </c>
      <c r="AE35" s="95"/>
      <c r="AF35" s="9">
        <f t="shared" si="10"/>
        <v>0</v>
      </c>
      <c r="AG35" s="9">
        <f t="shared" si="36"/>
        <v>0</v>
      </c>
      <c r="AH35" s="9">
        <f t="shared" si="11"/>
        <v>0</v>
      </c>
      <c r="AI35" s="95"/>
      <c r="AJ35" s="9">
        <f t="shared" si="12"/>
        <v>0</v>
      </c>
      <c r="AK35" s="9">
        <f t="shared" si="37"/>
        <v>0</v>
      </c>
      <c r="AL35" s="9">
        <f t="shared" si="13"/>
        <v>0</v>
      </c>
      <c r="AM35" s="9">
        <f t="shared" si="38"/>
        <v>0</v>
      </c>
      <c r="AN35" s="9">
        <f t="shared" si="14"/>
        <v>0</v>
      </c>
      <c r="AO35" s="9">
        <f t="shared" si="39"/>
        <v>0</v>
      </c>
      <c r="AP35" s="9">
        <f t="shared" si="15"/>
        <v>0</v>
      </c>
      <c r="AQ35" s="95">
        <f>152*AQ7</f>
        <v>38233.167999999998</v>
      </c>
      <c r="AR35" s="9">
        <f t="shared" si="16"/>
        <v>88.691238282267065</v>
      </c>
      <c r="AS35" s="9">
        <f t="shared" si="40"/>
        <v>665558.96399999992</v>
      </c>
      <c r="AT35" s="9">
        <f t="shared" si="17"/>
        <v>61.410921116864394</v>
      </c>
      <c r="AU35" s="95"/>
      <c r="AV35" s="9">
        <f t="shared" si="18"/>
        <v>0</v>
      </c>
      <c r="AW35" s="9">
        <f t="shared" si="41"/>
        <v>228970.52</v>
      </c>
      <c r="AX35" s="9">
        <f t="shared" si="19"/>
        <v>21.127039529749947</v>
      </c>
      <c r="AY35" s="95"/>
      <c r="AZ35" s="14">
        <f t="shared" si="20"/>
        <v>0</v>
      </c>
      <c r="BA35" s="9">
        <f t="shared" si="42"/>
        <v>0</v>
      </c>
      <c r="BB35" s="9">
        <f t="shared" si="21"/>
        <v>0</v>
      </c>
      <c r="BC35" s="9">
        <f t="shared" si="43"/>
        <v>38233.167999999998</v>
      </c>
      <c r="BD35" s="9">
        <f t="shared" si="22"/>
        <v>88.691238282267065</v>
      </c>
      <c r="BE35" s="9">
        <f t="shared" si="44"/>
        <v>894529.48399999982</v>
      </c>
      <c r="BF35" s="9">
        <f t="shared" si="23"/>
        <v>82.537960646614323</v>
      </c>
      <c r="BG35" s="95"/>
      <c r="BH35" s="9">
        <f t="shared" si="24"/>
        <v>0</v>
      </c>
      <c r="BI35" s="9">
        <f t="shared" si="45"/>
        <v>0</v>
      </c>
      <c r="BJ35" s="9">
        <f t="shared" si="25"/>
        <v>0</v>
      </c>
      <c r="BK35" s="9">
        <f t="shared" si="26"/>
        <v>43108.167999999998</v>
      </c>
      <c r="BL35" s="9">
        <f t="shared" si="46"/>
        <v>1083779.4839999999</v>
      </c>
      <c r="BM35" s="511">
        <f t="shared" si="27"/>
        <v>1.0599239753141059</v>
      </c>
      <c r="BN35" s="9">
        <f t="shared" si="28"/>
        <v>1.0947079534997883</v>
      </c>
    </row>
    <row r="36" spans="1:66">
      <c r="A36" s="15">
        <f>+Chem!A35</f>
        <v>46139</v>
      </c>
      <c r="B36" s="5" t="str">
        <f>+Chem!B35</f>
        <v>Toilet</v>
      </c>
      <c r="C36" s="309" t="str">
        <f>+Chem!C35</f>
        <v>15/13,5/13</v>
      </c>
      <c r="D36" s="7">
        <f>+Chem!D35</f>
        <v>42.835999999999999</v>
      </c>
      <c r="E36" s="6">
        <f>+Chem!E35</f>
        <v>40.524000000000001</v>
      </c>
      <c r="F36" s="6">
        <f t="shared" si="29"/>
        <v>1030.5410000000002</v>
      </c>
      <c r="G36" s="95">
        <f>23.25*G7</f>
        <v>5812.5</v>
      </c>
      <c r="H36" s="9">
        <f t="shared" si="0"/>
        <v>12.350184034209022</v>
      </c>
      <c r="I36" s="7">
        <f t="shared" si="30"/>
        <v>179750</v>
      </c>
      <c r="J36" s="9">
        <f t="shared" si="1"/>
        <v>15.895213658023572</v>
      </c>
      <c r="K36" s="95"/>
      <c r="L36" s="9">
        <f t="shared" si="2"/>
        <v>0</v>
      </c>
      <c r="M36" s="9">
        <f t="shared" si="31"/>
        <v>15312.5</v>
      </c>
      <c r="N36" s="9">
        <f t="shared" si="3"/>
        <v>1.3540776586285728</v>
      </c>
      <c r="O36" s="95"/>
      <c r="P36" s="9">
        <f t="shared" si="4"/>
        <v>0</v>
      </c>
      <c r="Q36" s="9">
        <f t="shared" si="32"/>
        <v>0</v>
      </c>
      <c r="R36" s="9">
        <f t="shared" si="5"/>
        <v>0</v>
      </c>
      <c r="S36" s="9">
        <f t="shared" si="33"/>
        <v>5812.5</v>
      </c>
      <c r="T36" s="9">
        <f t="shared" si="6"/>
        <v>12.350184034209022</v>
      </c>
      <c r="U36" s="9">
        <f t="shared" si="34"/>
        <v>195062.5</v>
      </c>
      <c r="V36" s="9">
        <f t="shared" si="7"/>
        <v>17.249291316652148</v>
      </c>
      <c r="W36" s="95"/>
      <c r="X36" s="9"/>
      <c r="Y36" s="9"/>
      <c r="Z36" s="9"/>
      <c r="AA36" s="95"/>
      <c r="AB36" s="9">
        <f t="shared" si="8"/>
        <v>0</v>
      </c>
      <c r="AC36" s="9">
        <f t="shared" si="35"/>
        <v>0</v>
      </c>
      <c r="AD36" s="9">
        <f t="shared" si="9"/>
        <v>0</v>
      </c>
      <c r="AE36" s="95"/>
      <c r="AF36" s="9">
        <f t="shared" si="10"/>
        <v>0</v>
      </c>
      <c r="AG36" s="9">
        <f t="shared" si="36"/>
        <v>0</v>
      </c>
      <c r="AH36" s="9">
        <f t="shared" si="11"/>
        <v>0</v>
      </c>
      <c r="AI36" s="95"/>
      <c r="AJ36" s="9">
        <f t="shared" si="12"/>
        <v>0</v>
      </c>
      <c r="AK36" s="9">
        <f t="shared" si="37"/>
        <v>0</v>
      </c>
      <c r="AL36" s="9">
        <f t="shared" si="13"/>
        <v>0</v>
      </c>
      <c r="AM36" s="9">
        <f t="shared" si="38"/>
        <v>0</v>
      </c>
      <c r="AN36" s="9">
        <f t="shared" si="14"/>
        <v>0</v>
      </c>
      <c r="AO36" s="9">
        <f t="shared" si="39"/>
        <v>0</v>
      </c>
      <c r="AP36" s="9">
        <f t="shared" si="15"/>
        <v>0</v>
      </c>
      <c r="AQ36" s="95">
        <f>164*AQ7</f>
        <v>41251.576000000001</v>
      </c>
      <c r="AR36" s="9">
        <f t="shared" si="16"/>
        <v>87.649815965790978</v>
      </c>
      <c r="AS36" s="9">
        <f t="shared" si="40"/>
        <v>706810.53999999992</v>
      </c>
      <c r="AT36" s="9">
        <f t="shared" si="17"/>
        <v>62.502946030837357</v>
      </c>
      <c r="AU36" s="95"/>
      <c r="AV36" s="9">
        <f t="shared" si="18"/>
        <v>0</v>
      </c>
      <c r="AW36" s="9">
        <f t="shared" si="41"/>
        <v>228970.52</v>
      </c>
      <c r="AX36" s="9">
        <f t="shared" si="19"/>
        <v>20.247762652510485</v>
      </c>
      <c r="AY36" s="95"/>
      <c r="AZ36" s="14">
        <f t="shared" si="20"/>
        <v>0</v>
      </c>
      <c r="BA36" s="9">
        <f t="shared" si="42"/>
        <v>0</v>
      </c>
      <c r="BB36" s="9">
        <f t="shared" si="21"/>
        <v>0</v>
      </c>
      <c r="BC36" s="9">
        <f t="shared" si="43"/>
        <v>41251.576000000001</v>
      </c>
      <c r="BD36" s="9">
        <f t="shared" si="22"/>
        <v>87.649815965790978</v>
      </c>
      <c r="BE36" s="9">
        <f t="shared" si="44"/>
        <v>935781.05999999982</v>
      </c>
      <c r="BF36" s="9">
        <f t="shared" si="23"/>
        <v>82.750708683347824</v>
      </c>
      <c r="BG36" s="95"/>
      <c r="BH36" s="9">
        <f t="shared" si="24"/>
        <v>0</v>
      </c>
      <c r="BI36" s="9">
        <f t="shared" si="45"/>
        <v>0</v>
      </c>
      <c r="BJ36" s="9">
        <f t="shared" si="25"/>
        <v>0</v>
      </c>
      <c r="BK36" s="9">
        <f t="shared" si="26"/>
        <v>47064.076000000001</v>
      </c>
      <c r="BL36" s="9">
        <f t="shared" si="46"/>
        <v>1130843.56</v>
      </c>
      <c r="BM36" s="511">
        <f t="shared" si="27"/>
        <v>1.1613877208567762</v>
      </c>
      <c r="BN36" s="9">
        <f t="shared" si="28"/>
        <v>1.0973300043375274</v>
      </c>
    </row>
    <row r="37" spans="1:66">
      <c r="A37" s="15">
        <f>+Chem!A36</f>
        <v>46140</v>
      </c>
      <c r="B37" s="5" t="str">
        <f>+Chem!B36</f>
        <v>Toilet</v>
      </c>
      <c r="C37" s="309" t="str">
        <f>+Chem!C36</f>
        <v>13/12,5</v>
      </c>
      <c r="D37" s="7">
        <f>+Chem!D36</f>
        <v>41.369</v>
      </c>
      <c r="E37" s="6">
        <f>+Chem!E36</f>
        <v>40.814</v>
      </c>
      <c r="F37" s="6">
        <f t="shared" si="29"/>
        <v>1071.3550000000002</v>
      </c>
      <c r="G37" s="95">
        <f>24.75*G7</f>
        <v>6187.5</v>
      </c>
      <c r="H37" s="9">
        <f t="shared" si="0"/>
        <v>14.590271228367138</v>
      </c>
      <c r="I37" s="7">
        <f t="shared" si="30"/>
        <v>185937.5</v>
      </c>
      <c r="J37" s="9">
        <f t="shared" si="1"/>
        <v>15.848045174705849</v>
      </c>
      <c r="K37" s="95"/>
      <c r="L37" s="9">
        <f t="shared" si="2"/>
        <v>0</v>
      </c>
      <c r="M37" s="9">
        <f t="shared" si="31"/>
        <v>15312.5</v>
      </c>
      <c r="N37" s="9">
        <f t="shared" si="3"/>
        <v>1.3051331320345994</v>
      </c>
      <c r="O37" s="95"/>
      <c r="P37" s="9">
        <f t="shared" si="4"/>
        <v>0</v>
      </c>
      <c r="Q37" s="9">
        <f t="shared" si="32"/>
        <v>0</v>
      </c>
      <c r="R37" s="9">
        <f t="shared" si="5"/>
        <v>0</v>
      </c>
      <c r="S37" s="9">
        <f t="shared" si="33"/>
        <v>6187.5</v>
      </c>
      <c r="T37" s="9">
        <f t="shared" si="6"/>
        <v>14.590271228367138</v>
      </c>
      <c r="U37" s="9">
        <f t="shared" si="34"/>
        <v>201250</v>
      </c>
      <c r="V37" s="9">
        <f t="shared" si="7"/>
        <v>17.15317830674045</v>
      </c>
      <c r="W37" s="95"/>
      <c r="X37" s="9"/>
      <c r="Y37" s="9"/>
      <c r="Z37" s="9"/>
      <c r="AA37" s="95"/>
      <c r="AB37" s="9">
        <f t="shared" si="8"/>
        <v>0</v>
      </c>
      <c r="AC37" s="9">
        <f t="shared" si="35"/>
        <v>0</v>
      </c>
      <c r="AD37" s="9">
        <f t="shared" si="9"/>
        <v>0</v>
      </c>
      <c r="AE37" s="95"/>
      <c r="AF37" s="9">
        <f t="shared" si="10"/>
        <v>0</v>
      </c>
      <c r="AG37" s="9">
        <f t="shared" si="36"/>
        <v>0</v>
      </c>
      <c r="AH37" s="9">
        <f t="shared" si="11"/>
        <v>0</v>
      </c>
      <c r="AI37" s="95"/>
      <c r="AJ37" s="9">
        <f t="shared" si="12"/>
        <v>0</v>
      </c>
      <c r="AK37" s="9">
        <f t="shared" si="37"/>
        <v>0</v>
      </c>
      <c r="AL37" s="9">
        <f t="shared" si="13"/>
        <v>0</v>
      </c>
      <c r="AM37" s="9">
        <f t="shared" si="38"/>
        <v>0</v>
      </c>
      <c r="AN37" s="9">
        <f t="shared" si="14"/>
        <v>0</v>
      </c>
      <c r="AO37" s="9">
        <f t="shared" si="39"/>
        <v>0</v>
      </c>
      <c r="AP37" s="9">
        <f t="shared" si="15"/>
        <v>0</v>
      </c>
      <c r="AQ37" s="95">
        <f>144*AQ7</f>
        <v>36220.896000000001</v>
      </c>
      <c r="AR37" s="9">
        <f t="shared" si="16"/>
        <v>85.409728771632871</v>
      </c>
      <c r="AS37" s="9">
        <f t="shared" si="40"/>
        <v>743031.43599999987</v>
      </c>
      <c r="AT37" s="9">
        <f t="shared" si="17"/>
        <v>63.330935201100132</v>
      </c>
      <c r="AU37" s="95"/>
      <c r="AV37" s="9">
        <f t="shared" si="18"/>
        <v>0</v>
      </c>
      <c r="AW37" s="9">
        <f t="shared" si="41"/>
        <v>228970.52</v>
      </c>
      <c r="AX37" s="9">
        <f t="shared" si="19"/>
        <v>19.515886492159403</v>
      </c>
      <c r="AY37" s="95"/>
      <c r="AZ37" s="14">
        <f t="shared" si="20"/>
        <v>0</v>
      </c>
      <c r="BA37" s="9">
        <f t="shared" si="42"/>
        <v>0</v>
      </c>
      <c r="BB37" s="9">
        <f t="shared" si="21"/>
        <v>0</v>
      </c>
      <c r="BC37" s="9">
        <f t="shared" si="43"/>
        <v>36220.896000000001</v>
      </c>
      <c r="BD37" s="9">
        <f t="shared" si="22"/>
        <v>85.409728771632871</v>
      </c>
      <c r="BE37" s="9">
        <f t="shared" si="44"/>
        <v>972001.95599999977</v>
      </c>
      <c r="BF37" s="9">
        <f t="shared" si="23"/>
        <v>82.846821693259528</v>
      </c>
      <c r="BG37" s="95"/>
      <c r="BH37" s="9">
        <f t="shared" si="24"/>
        <v>0</v>
      </c>
      <c r="BI37" s="9">
        <f t="shared" si="45"/>
        <v>0</v>
      </c>
      <c r="BJ37" s="9">
        <f t="shared" si="25"/>
        <v>0</v>
      </c>
      <c r="BK37" s="9">
        <f t="shared" si="26"/>
        <v>42408.396000000001</v>
      </c>
      <c r="BL37" s="9">
        <f t="shared" si="46"/>
        <v>1173251.956</v>
      </c>
      <c r="BM37" s="511">
        <f t="shared" si="27"/>
        <v>1.0390649287009361</v>
      </c>
      <c r="BN37" s="9">
        <f t="shared" si="28"/>
        <v>1.0951103565111469</v>
      </c>
    </row>
    <row r="38" spans="1:66">
      <c r="A38" s="15">
        <f>+Chem!A37</f>
        <v>46141</v>
      </c>
      <c r="B38" s="5" t="str">
        <f>+Chem!B37</f>
        <v>Toilet</v>
      </c>
      <c r="C38" s="309" t="str">
        <f>+Chem!C37</f>
        <v>12,5</v>
      </c>
      <c r="D38" s="7">
        <f>+Chem!D37</f>
        <v>29.343999999999998</v>
      </c>
      <c r="E38" s="6">
        <f>+Chem!E37</f>
        <v>28.553000000000001</v>
      </c>
      <c r="F38" s="6">
        <f t="shared" si="29"/>
        <v>1099.9080000000004</v>
      </c>
      <c r="G38" s="95">
        <f>26.25*G7</f>
        <v>6562.5</v>
      </c>
      <c r="H38" s="9">
        <f t="shared" si="0"/>
        <v>18.893423758435031</v>
      </c>
      <c r="I38" s="7">
        <f t="shared" si="30"/>
        <v>192500</v>
      </c>
      <c r="J38" s="9">
        <f t="shared" si="1"/>
        <v>15.935611665200195</v>
      </c>
      <c r="K38" s="95"/>
      <c r="L38" s="9">
        <f t="shared" si="2"/>
        <v>0</v>
      </c>
      <c r="M38" s="9">
        <f t="shared" si="31"/>
        <v>15312.5</v>
      </c>
      <c r="N38" s="9">
        <f t="shared" si="3"/>
        <v>1.2676054733681972</v>
      </c>
      <c r="O38" s="95"/>
      <c r="P38" s="9">
        <f t="shared" si="4"/>
        <v>0</v>
      </c>
      <c r="Q38" s="9">
        <f t="shared" si="32"/>
        <v>0</v>
      </c>
      <c r="R38" s="9">
        <f t="shared" si="5"/>
        <v>0</v>
      </c>
      <c r="S38" s="9">
        <f t="shared" si="33"/>
        <v>6562.5</v>
      </c>
      <c r="T38" s="9">
        <f t="shared" si="6"/>
        <v>18.893423758435031</v>
      </c>
      <c r="U38" s="9">
        <f t="shared" si="34"/>
        <v>207812.5</v>
      </c>
      <c r="V38" s="9">
        <f t="shared" si="7"/>
        <v>17.203217138568391</v>
      </c>
      <c r="W38" s="95"/>
      <c r="X38" s="9"/>
      <c r="Y38" s="9"/>
      <c r="Z38" s="9"/>
      <c r="AA38" s="95"/>
      <c r="AB38" s="9">
        <f t="shared" si="8"/>
        <v>0</v>
      </c>
      <c r="AC38" s="9">
        <f t="shared" si="35"/>
        <v>0</v>
      </c>
      <c r="AD38" s="9">
        <f t="shared" si="9"/>
        <v>0</v>
      </c>
      <c r="AE38" s="95"/>
      <c r="AF38" s="9">
        <f t="shared" si="10"/>
        <v>0</v>
      </c>
      <c r="AG38" s="9">
        <f t="shared" si="36"/>
        <v>0</v>
      </c>
      <c r="AH38" s="9">
        <f t="shared" si="11"/>
        <v>0</v>
      </c>
      <c r="AI38" s="95"/>
      <c r="AJ38" s="9">
        <f t="shared" si="12"/>
        <v>0</v>
      </c>
      <c r="AK38" s="9">
        <f t="shared" si="37"/>
        <v>0</v>
      </c>
      <c r="AL38" s="9">
        <f t="shared" si="13"/>
        <v>0</v>
      </c>
      <c r="AM38" s="9">
        <f t="shared" si="38"/>
        <v>0</v>
      </c>
      <c r="AN38" s="9">
        <f t="shared" si="14"/>
        <v>0</v>
      </c>
      <c r="AO38" s="9">
        <f t="shared" si="39"/>
        <v>0</v>
      </c>
      <c r="AP38" s="9">
        <f t="shared" si="15"/>
        <v>0</v>
      </c>
      <c r="AQ38" s="95">
        <f>112*AQ7</f>
        <v>28171.807999999997</v>
      </c>
      <c r="AR38" s="9">
        <f t="shared" si="16"/>
        <v>81.106576241564966</v>
      </c>
      <c r="AS38" s="9">
        <f t="shared" si="40"/>
        <v>771203.24399999983</v>
      </c>
      <c r="AT38" s="9">
        <f t="shared" si="17"/>
        <v>63.842054084813661</v>
      </c>
      <c r="AU38" s="95"/>
      <c r="AV38" s="9">
        <f t="shared" si="18"/>
        <v>0</v>
      </c>
      <c r="AW38" s="9">
        <f t="shared" si="41"/>
        <v>228970.52</v>
      </c>
      <c r="AX38" s="9">
        <f t="shared" si="19"/>
        <v>18.954728776617944</v>
      </c>
      <c r="AY38" s="95"/>
      <c r="AZ38" s="14">
        <f t="shared" si="20"/>
        <v>0</v>
      </c>
      <c r="BA38" s="9">
        <f t="shared" si="42"/>
        <v>0</v>
      </c>
      <c r="BB38" s="9">
        <f t="shared" si="21"/>
        <v>0</v>
      </c>
      <c r="BC38" s="9">
        <f t="shared" si="43"/>
        <v>28171.807999999997</v>
      </c>
      <c r="BD38" s="9">
        <f t="shared" si="22"/>
        <v>81.106576241564966</v>
      </c>
      <c r="BE38" s="9">
        <f t="shared" si="44"/>
        <v>1000173.7639999997</v>
      </c>
      <c r="BF38" s="9">
        <f t="shared" si="23"/>
        <v>82.796782861431595</v>
      </c>
      <c r="BG38" s="95"/>
      <c r="BH38" s="9">
        <f t="shared" si="24"/>
        <v>0</v>
      </c>
      <c r="BI38" s="9">
        <f t="shared" si="45"/>
        <v>0</v>
      </c>
      <c r="BJ38" s="9">
        <f t="shared" si="25"/>
        <v>0</v>
      </c>
      <c r="BK38" s="9">
        <f t="shared" si="26"/>
        <v>34734.307999999997</v>
      </c>
      <c r="BL38" s="9">
        <f t="shared" si="46"/>
        <v>1207986.264</v>
      </c>
      <c r="BM38" s="511">
        <f t="shared" si="27"/>
        <v>1.216485413091444</v>
      </c>
      <c r="BN38" s="9">
        <f t="shared" si="28"/>
        <v>1.098261185480967</v>
      </c>
    </row>
    <row r="39" spans="1:66">
      <c r="A39" s="15">
        <f>+Chem!A38</f>
        <v>46142</v>
      </c>
      <c r="B39" s="5" t="str">
        <f>+Chem!B38</f>
        <v>Toilet/Facial</v>
      </c>
      <c r="C39" s="309" t="str">
        <f>+Chem!C38</f>
        <v>12,5/12</v>
      </c>
      <c r="D39" s="7">
        <f>+Chem!D38</f>
        <v>33.688999999999993</v>
      </c>
      <c r="E39" s="6">
        <f>+Chem!E38</f>
        <v>29.588000000000001</v>
      </c>
      <c r="F39" s="6">
        <f t="shared" si="29"/>
        <v>1129.4960000000003</v>
      </c>
      <c r="G39" s="95">
        <f>22.5*G7</f>
        <v>5625</v>
      </c>
      <c r="H39" s="9">
        <f t="shared" si="0"/>
        <v>16.64358361890271</v>
      </c>
      <c r="I39" s="7">
        <f t="shared" si="30"/>
        <v>198125</v>
      </c>
      <c r="J39" s="9">
        <f t="shared" si="1"/>
        <v>15.954880080697381</v>
      </c>
      <c r="K39" s="95"/>
      <c r="L39" s="9">
        <f t="shared" si="2"/>
        <v>0</v>
      </c>
      <c r="M39" s="9">
        <f t="shared" si="31"/>
        <v>15312.5</v>
      </c>
      <c r="N39" s="9">
        <f t="shared" si="3"/>
        <v>1.2331058737447502</v>
      </c>
      <c r="O39" s="95"/>
      <c r="P39" s="9">
        <f t="shared" si="4"/>
        <v>0</v>
      </c>
      <c r="Q39" s="9">
        <f t="shared" si="32"/>
        <v>0</v>
      </c>
      <c r="R39" s="9">
        <f t="shared" si="5"/>
        <v>0</v>
      </c>
      <c r="S39" s="9">
        <f t="shared" si="33"/>
        <v>5625</v>
      </c>
      <c r="T39" s="9">
        <f t="shared" si="6"/>
        <v>16.64358361890271</v>
      </c>
      <c r="U39" s="9">
        <f t="shared" si="34"/>
        <v>213437.5</v>
      </c>
      <c r="V39" s="9">
        <f t="shared" si="7"/>
        <v>17.18798595444213</v>
      </c>
      <c r="W39" s="95"/>
      <c r="X39" s="9"/>
      <c r="Y39" s="9"/>
      <c r="Z39" s="9"/>
      <c r="AA39" s="95"/>
      <c r="AB39" s="9">
        <f t="shared" si="8"/>
        <v>0</v>
      </c>
      <c r="AC39" s="9">
        <f t="shared" si="35"/>
        <v>0</v>
      </c>
      <c r="AD39" s="9">
        <f t="shared" si="9"/>
        <v>0</v>
      </c>
      <c r="AE39" s="95"/>
      <c r="AF39" s="9">
        <f t="shared" si="10"/>
        <v>0</v>
      </c>
      <c r="AG39" s="9">
        <f t="shared" si="36"/>
        <v>0</v>
      </c>
      <c r="AH39" s="9">
        <f t="shared" si="11"/>
        <v>0</v>
      </c>
      <c r="AI39" s="95"/>
      <c r="AJ39" s="9">
        <f t="shared" si="12"/>
        <v>0</v>
      </c>
      <c r="AK39" s="9">
        <f t="shared" si="37"/>
        <v>0</v>
      </c>
      <c r="AL39" s="9">
        <f t="shared" si="13"/>
        <v>0</v>
      </c>
      <c r="AM39" s="9">
        <f t="shared" si="38"/>
        <v>0</v>
      </c>
      <c r="AN39" s="9">
        <f t="shared" si="14"/>
        <v>0</v>
      </c>
      <c r="AO39" s="9">
        <f t="shared" si="39"/>
        <v>0</v>
      </c>
      <c r="AP39" s="9">
        <f t="shared" si="15"/>
        <v>0</v>
      </c>
      <c r="AQ39" s="95">
        <f>112*AQ7</f>
        <v>28171.807999999997</v>
      </c>
      <c r="AR39" s="9">
        <f t="shared" si="16"/>
        <v>83.35641638109729</v>
      </c>
      <c r="AS39" s="9">
        <f t="shared" si="40"/>
        <v>799375.05199999979</v>
      </c>
      <c r="AT39" s="9">
        <f t="shared" si="17"/>
        <v>64.373163882201794</v>
      </c>
      <c r="AU39" s="95"/>
      <c r="AV39" s="9">
        <f t="shared" si="18"/>
        <v>0</v>
      </c>
      <c r="AW39" s="9">
        <f t="shared" si="41"/>
        <v>228970.52</v>
      </c>
      <c r="AX39" s="9">
        <f t="shared" si="19"/>
        <v>18.438850163356069</v>
      </c>
      <c r="AY39" s="95"/>
      <c r="AZ39" s="14">
        <f t="shared" si="20"/>
        <v>0</v>
      </c>
      <c r="BA39" s="9">
        <f t="shared" si="42"/>
        <v>0</v>
      </c>
      <c r="BB39" s="9">
        <f t="shared" si="21"/>
        <v>0</v>
      </c>
      <c r="BC39" s="9">
        <f t="shared" si="43"/>
        <v>28171.807999999997</v>
      </c>
      <c r="BD39" s="9">
        <f t="shared" si="22"/>
        <v>83.35641638109729</v>
      </c>
      <c r="BE39" s="9">
        <f t="shared" si="44"/>
        <v>1028345.5719999997</v>
      </c>
      <c r="BF39" s="9">
        <f t="shared" si="23"/>
        <v>82.812014045557845</v>
      </c>
      <c r="BG39" s="95"/>
      <c r="BH39" s="9">
        <f t="shared" si="24"/>
        <v>0</v>
      </c>
      <c r="BI39" s="9">
        <f t="shared" si="45"/>
        <v>0</v>
      </c>
      <c r="BJ39" s="9">
        <f t="shared" si="25"/>
        <v>0</v>
      </c>
      <c r="BK39" s="9">
        <f t="shared" si="26"/>
        <v>33796.807999999997</v>
      </c>
      <c r="BL39" s="9">
        <f t="shared" si="46"/>
        <v>1241783.0719999999</v>
      </c>
      <c r="BM39" s="511">
        <f t="shared" si="27"/>
        <v>1.1422471272137351</v>
      </c>
      <c r="BN39" s="9">
        <f t="shared" si="28"/>
        <v>1.0994134304149812</v>
      </c>
    </row>
    <row r="40" spans="1:66" hidden="1">
      <c r="A40" s="15">
        <f>+Chem!A39</f>
        <v>46143</v>
      </c>
      <c r="B40" s="5">
        <f>+Chem!B39</f>
        <v>0</v>
      </c>
      <c r="C40" s="309">
        <f>+Chem!C39</f>
        <v>0</v>
      </c>
      <c r="D40" s="7">
        <f>+Chem!D39</f>
        <v>0</v>
      </c>
      <c r="E40" s="6">
        <f>+Chem!E39</f>
        <v>0</v>
      </c>
      <c r="F40" s="6">
        <f>+E40+F39</f>
        <v>1129.4960000000003</v>
      </c>
      <c r="G40" s="95"/>
      <c r="H40" s="9" t="e">
        <f t="shared" si="0"/>
        <v>#DIV/0!</v>
      </c>
      <c r="I40" s="7">
        <f>G40+I39</f>
        <v>198125</v>
      </c>
      <c r="J40" s="9">
        <f t="shared" si="1"/>
        <v>15.954880080697381</v>
      </c>
      <c r="K40" s="95"/>
      <c r="L40" s="9" t="e">
        <f t="shared" si="2"/>
        <v>#DIV/0!</v>
      </c>
      <c r="M40" s="9">
        <f>+K40+M39</f>
        <v>15312.5</v>
      </c>
      <c r="N40" s="9">
        <f t="shared" si="3"/>
        <v>1.2331058737447502</v>
      </c>
      <c r="O40" s="95"/>
      <c r="P40" s="9" t="e">
        <f t="shared" si="4"/>
        <v>#DIV/0!</v>
      </c>
      <c r="Q40" s="9">
        <f>+O40+Q39</f>
        <v>0</v>
      </c>
      <c r="R40" s="9">
        <f t="shared" si="5"/>
        <v>0</v>
      </c>
      <c r="S40" s="9">
        <f t="shared" si="33"/>
        <v>0</v>
      </c>
      <c r="T40" s="9" t="e">
        <f t="shared" si="6"/>
        <v>#DIV/0!</v>
      </c>
      <c r="U40" s="9">
        <f>S40+U39</f>
        <v>213437.5</v>
      </c>
      <c r="V40" s="9">
        <f t="shared" si="7"/>
        <v>17.18798595444213</v>
      </c>
      <c r="W40" s="95"/>
      <c r="X40" s="9"/>
      <c r="Y40" s="9"/>
      <c r="Z40" s="9"/>
      <c r="AA40" s="95"/>
      <c r="AB40" s="9" t="e">
        <f t="shared" si="8"/>
        <v>#DIV/0!</v>
      </c>
      <c r="AC40" s="9">
        <f>AA40+AC39</f>
        <v>0</v>
      </c>
      <c r="AD40" s="9">
        <f t="shared" si="9"/>
        <v>0</v>
      </c>
      <c r="AE40" s="95"/>
      <c r="AF40" s="9" t="e">
        <f t="shared" si="10"/>
        <v>#DIV/0!</v>
      </c>
      <c r="AG40" s="9">
        <f>AE40+AG39</f>
        <v>0</v>
      </c>
      <c r="AH40" s="9">
        <f t="shared" si="11"/>
        <v>0</v>
      </c>
      <c r="AI40" s="95"/>
      <c r="AJ40" s="9" t="e">
        <f t="shared" si="12"/>
        <v>#DIV/0!</v>
      </c>
      <c r="AK40" s="9">
        <f>AI40+AK39</f>
        <v>0</v>
      </c>
      <c r="AL40" s="9">
        <f t="shared" si="13"/>
        <v>0</v>
      </c>
      <c r="AM40" s="9">
        <f t="shared" si="38"/>
        <v>0</v>
      </c>
      <c r="AN40" s="9" t="e">
        <f>AM40/BK40*100</f>
        <v>#DIV/0!</v>
      </c>
      <c r="AO40" s="9">
        <f>AM40+AO39</f>
        <v>0</v>
      </c>
      <c r="AP40" s="9">
        <f>AO40/BL40*100</f>
        <v>0</v>
      </c>
      <c r="AQ40" s="95"/>
      <c r="AR40" s="9" t="e">
        <f>+AQ40/BK40*100</f>
        <v>#DIV/0!</v>
      </c>
      <c r="AS40" s="9">
        <f>+AQ40+AS39</f>
        <v>799375.05199999979</v>
      </c>
      <c r="AT40" s="9">
        <f>+AS40/BL40*100</f>
        <v>64.373163882201794</v>
      </c>
      <c r="AU40" s="95"/>
      <c r="AV40" s="9" t="e">
        <f>AU40/BK40*100</f>
        <v>#DIV/0!</v>
      </c>
      <c r="AW40" s="9">
        <f>AU40+AW39</f>
        <v>228970.52</v>
      </c>
      <c r="AX40" s="9">
        <f>AW40/BL40*100</f>
        <v>18.438850163356069</v>
      </c>
      <c r="AY40" s="95"/>
      <c r="AZ40" s="14" t="e">
        <f>AY40/BK40*100</f>
        <v>#DIV/0!</v>
      </c>
      <c r="BA40" s="9">
        <f>AY40+BA39</f>
        <v>0</v>
      </c>
      <c r="BB40" s="9">
        <f>BA40/BL40*100</f>
        <v>0</v>
      </c>
      <c r="BC40" s="9">
        <f>AQ40+AU40+AY40</f>
        <v>0</v>
      </c>
      <c r="BD40" s="9" t="e">
        <f>BC40/BK40*100</f>
        <v>#DIV/0!</v>
      </c>
      <c r="BE40" s="9">
        <f>BC40+BE39</f>
        <v>1028345.5719999997</v>
      </c>
      <c r="BF40" s="9">
        <f>BE40/BL40*100</f>
        <v>82.812014045557845</v>
      </c>
      <c r="BG40" s="95"/>
      <c r="BH40" s="9" t="e">
        <f>BG40/BK40*100</f>
        <v>#DIV/0!</v>
      </c>
      <c r="BI40" s="9">
        <f>BG40+BI39</f>
        <v>0</v>
      </c>
      <c r="BJ40" s="9">
        <f>BI40/BL40*100</f>
        <v>0</v>
      </c>
      <c r="BK40" s="9">
        <f t="shared" si="26"/>
        <v>0</v>
      </c>
      <c r="BL40" s="9">
        <f>BK40+BL39</f>
        <v>1241783.0719999999</v>
      </c>
      <c r="BM40" s="511" t="e">
        <f t="shared" si="27"/>
        <v>#DIV/0!</v>
      </c>
      <c r="BN40" s="9">
        <f t="shared" si="28"/>
        <v>1.0994134304149812</v>
      </c>
    </row>
    <row r="41" spans="1:66">
      <c r="A41" s="15"/>
      <c r="B41" s="15"/>
      <c r="C41" s="15"/>
      <c r="D41" s="7"/>
      <c r="E41" s="6"/>
      <c r="F41" s="6"/>
      <c r="G41" s="95"/>
      <c r="H41" s="9"/>
      <c r="I41" s="7"/>
      <c r="J41" s="9"/>
      <c r="K41" s="95"/>
      <c r="L41" s="9"/>
      <c r="M41" s="9"/>
      <c r="N41" s="9"/>
      <c r="O41" s="95"/>
      <c r="P41" s="9"/>
      <c r="Q41" s="9"/>
      <c r="R41" s="9"/>
      <c r="S41" s="9"/>
      <c r="T41" s="9"/>
      <c r="U41" s="9"/>
      <c r="V41" s="9"/>
      <c r="W41" s="95"/>
      <c r="X41" s="9"/>
      <c r="Y41" s="9"/>
      <c r="Z41" s="9"/>
      <c r="AA41" s="95"/>
      <c r="AB41" s="9"/>
      <c r="AC41" s="9"/>
      <c r="AD41" s="9"/>
      <c r="AE41" s="95"/>
      <c r="AF41" s="9"/>
      <c r="AG41" s="9"/>
      <c r="AH41" s="9"/>
      <c r="AI41" s="95"/>
      <c r="AJ41" s="9"/>
      <c r="AK41" s="9"/>
      <c r="AL41" s="9"/>
      <c r="AM41" s="9"/>
      <c r="AN41" s="9"/>
      <c r="AO41" s="9"/>
      <c r="AP41" s="9"/>
      <c r="AQ41" s="95"/>
      <c r="AR41" s="9"/>
      <c r="AS41" s="9"/>
      <c r="AT41" s="9"/>
      <c r="AU41" s="95"/>
      <c r="AV41" s="9"/>
      <c r="AW41" s="9"/>
      <c r="AX41" s="9"/>
      <c r="AY41" s="95"/>
      <c r="AZ41" s="14"/>
      <c r="BA41" s="9"/>
      <c r="BB41" s="9"/>
      <c r="BC41" s="9"/>
      <c r="BD41" s="9"/>
      <c r="BE41" s="9"/>
      <c r="BF41" s="9"/>
      <c r="BG41" s="95"/>
      <c r="BH41" s="9"/>
      <c r="BI41" s="9"/>
      <c r="BJ41" s="9"/>
      <c r="BK41" s="9"/>
      <c r="BL41" s="9"/>
      <c r="BM41" s="9"/>
      <c r="BN41" s="9"/>
    </row>
    <row r="42" spans="1:66" ht="13.5" thickBot="1">
      <c r="A42" s="10" t="s">
        <v>28</v>
      </c>
      <c r="B42" s="10"/>
      <c r="C42" s="11"/>
      <c r="D42" s="11">
        <f>SUM(D10:D41)</f>
        <v>1169.921</v>
      </c>
      <c r="E42" s="11">
        <f>SUM(E10:E41)</f>
        <v>1129.4960000000003</v>
      </c>
      <c r="F42" s="11"/>
      <c r="G42" s="11">
        <f>SUM(G10:G41)</f>
        <v>198125</v>
      </c>
      <c r="H42" s="11">
        <f>G42/BK42*100</f>
        <v>15.954880080697381</v>
      </c>
      <c r="I42" s="11"/>
      <c r="J42" s="11"/>
      <c r="K42" s="11">
        <f>SUM(K10:K41)</f>
        <v>15312.5</v>
      </c>
      <c r="L42" s="11"/>
      <c r="M42" s="11"/>
      <c r="N42" s="11"/>
      <c r="O42" s="11"/>
      <c r="P42" s="11"/>
      <c r="Q42" s="11"/>
      <c r="R42" s="11"/>
      <c r="S42" s="11">
        <f>SUM(S10:S41)</f>
        <v>213437.5</v>
      </c>
      <c r="T42" s="17">
        <f>S42/$BK$42*100</f>
        <v>17.18798595444213</v>
      </c>
      <c r="U42" s="11"/>
      <c r="V42" s="11"/>
      <c r="W42" s="11">
        <f>SUM(W10:W41)</f>
        <v>0</v>
      </c>
      <c r="X42" s="11" t="e">
        <f>W42/BG42*100</f>
        <v>#DIV/0!</v>
      </c>
      <c r="Y42" s="11"/>
      <c r="Z42" s="11"/>
      <c r="AA42" s="11">
        <f>SUM(AA10:AA41)</f>
        <v>0</v>
      </c>
      <c r="AB42" s="11">
        <f>AA42/$BK$42*100</f>
        <v>0</v>
      </c>
      <c r="AC42" s="11"/>
      <c r="AD42" s="11"/>
      <c r="AE42" s="11">
        <f>SUM(AE10:AE41)</f>
        <v>0</v>
      </c>
      <c r="AF42" s="11">
        <f>AE42/$BK$42*100</f>
        <v>0</v>
      </c>
      <c r="AG42" s="11"/>
      <c r="AH42" s="11"/>
      <c r="AI42" s="11">
        <f>SUM(AI10:AI41)</f>
        <v>0</v>
      </c>
      <c r="AJ42" s="11">
        <f>AI42/$BK$42*100</f>
        <v>0</v>
      </c>
      <c r="AK42" s="11"/>
      <c r="AL42" s="11"/>
      <c r="AM42" s="11">
        <f>SUM(AM10:AM41)</f>
        <v>0</v>
      </c>
      <c r="AN42" s="11"/>
      <c r="AO42" s="11"/>
      <c r="AP42" s="11"/>
      <c r="AQ42" s="11">
        <f>SUM(AQ10:AQ41)</f>
        <v>799375.05199999979</v>
      </c>
      <c r="AR42" s="11">
        <f>AQ42/$BK$42*100</f>
        <v>64.373163882201794</v>
      </c>
      <c r="AS42" s="11"/>
      <c r="AT42" s="11"/>
      <c r="AU42" s="11">
        <f>SUM(AU10:AU41)</f>
        <v>228970.52</v>
      </c>
      <c r="AV42" s="11">
        <f>AU42/$BK$42*100</f>
        <v>18.438850163356069</v>
      </c>
      <c r="AW42" s="11"/>
      <c r="AX42" s="11"/>
      <c r="AY42" s="11">
        <f>SUM(AY10:AY41)</f>
        <v>0</v>
      </c>
      <c r="AZ42" s="11">
        <f>AY42/$BK$42*100</f>
        <v>0</v>
      </c>
      <c r="BA42" s="11"/>
      <c r="BB42" s="11"/>
      <c r="BC42" s="11">
        <f>SUM(BC10:BC41)</f>
        <v>1028345.5719999997</v>
      </c>
      <c r="BD42" s="19">
        <f>BC42/$BK$42*100</f>
        <v>82.812014045557845</v>
      </c>
      <c r="BE42" s="11"/>
      <c r="BF42" s="11"/>
      <c r="BG42" s="11">
        <f>SUM(BG10:BG41)</f>
        <v>0</v>
      </c>
      <c r="BH42" s="11">
        <f>BG42/$BK$42*100</f>
        <v>0</v>
      </c>
      <c r="BI42" s="11"/>
      <c r="BJ42" s="11"/>
      <c r="BK42" s="11">
        <f>SUM(BK10:BK41)</f>
        <v>1241783.0719999999</v>
      </c>
      <c r="BL42" s="11">
        <f>BK42/$BK$42*100</f>
        <v>100</v>
      </c>
      <c r="BM42" s="11">
        <f>BK42/1000/E42</f>
        <v>1.0994134304149812</v>
      </c>
      <c r="BN42" s="11"/>
    </row>
    <row r="43" spans="1:66" ht="13.5" thickTop="1"/>
    <row r="44" spans="1:66">
      <c r="W44" s="13"/>
      <c r="AA44" s="13"/>
      <c r="AE44" s="13"/>
      <c r="BD44" s="13"/>
      <c r="BG44" s="13"/>
      <c r="BH44" s="13"/>
    </row>
    <row r="45" spans="1:66">
      <c r="E45" s="13"/>
      <c r="F45" s="13"/>
      <c r="G45" s="13"/>
      <c r="I45" s="13"/>
      <c r="AA45" s="13"/>
      <c r="AE45" s="13"/>
      <c r="BG45" s="13"/>
    </row>
  </sheetData>
  <mergeCells count="9">
    <mergeCell ref="S8:V8"/>
    <mergeCell ref="AM8:AP8"/>
    <mergeCell ref="BC8:BF8"/>
    <mergeCell ref="G8:J8"/>
    <mergeCell ref="K8:N8"/>
    <mergeCell ref="O8:R8"/>
    <mergeCell ref="AQ8:AT8"/>
    <mergeCell ref="AU8:AX8"/>
    <mergeCell ref="AY8:BB8"/>
  </mergeCells>
  <phoneticPr fontId="32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5"/>
  <sheetViews>
    <sheetView topLeftCell="K7" workbookViewId="0">
      <selection activeCell="O38" sqref="O38"/>
    </sheetView>
  </sheetViews>
  <sheetFormatPr defaultRowHeight="12.75"/>
  <cols>
    <col min="2" max="2" width="10.85546875" style="469" bestFit="1" customWidth="1"/>
    <col min="3" max="3" width="11.85546875" style="3" customWidth="1"/>
    <col min="4" max="4" width="38.28515625" customWidth="1"/>
    <col min="5" max="6" width="23.140625" bestFit="1" customWidth="1"/>
    <col min="8" max="8" width="30.7109375" bestFit="1" customWidth="1"/>
    <col min="10" max="10" width="12" customWidth="1"/>
    <col min="13" max="13" width="10.85546875" style="469" bestFit="1" customWidth="1"/>
    <col min="14" max="14" width="11.85546875" style="3" customWidth="1"/>
    <col min="15" max="15" width="38.28515625" customWidth="1"/>
    <col min="16" max="17" width="23.140625" bestFit="1" customWidth="1"/>
    <col min="19" max="19" width="30.7109375" bestFit="1" customWidth="1"/>
    <col min="21" max="21" width="12" customWidth="1"/>
  </cols>
  <sheetData>
    <row r="1" spans="1:21" ht="30">
      <c r="A1" s="421" t="s">
        <v>186</v>
      </c>
      <c r="B1" s="462" t="s">
        <v>8</v>
      </c>
      <c r="C1" s="463" t="s">
        <v>257</v>
      </c>
      <c r="D1" s="464" t="s">
        <v>127</v>
      </c>
      <c r="E1" s="464" t="s">
        <v>258</v>
      </c>
      <c r="F1" s="464" t="s">
        <v>259</v>
      </c>
      <c r="H1" s="461" t="s">
        <v>260</v>
      </c>
      <c r="I1" s="454" t="s">
        <v>261</v>
      </c>
      <c r="J1" s="454" t="s">
        <v>262</v>
      </c>
      <c r="L1" s="421" t="s">
        <v>372</v>
      </c>
      <c r="M1" s="462" t="s">
        <v>8</v>
      </c>
      <c r="N1" s="463" t="s">
        <v>257</v>
      </c>
      <c r="O1" s="464" t="s">
        <v>127</v>
      </c>
      <c r="P1" s="464" t="s">
        <v>258</v>
      </c>
      <c r="Q1" s="464" t="s">
        <v>259</v>
      </c>
      <c r="S1" s="533" t="s">
        <v>260</v>
      </c>
      <c r="T1" s="454" t="s">
        <v>261</v>
      </c>
      <c r="U1" s="454" t="s">
        <v>262</v>
      </c>
    </row>
    <row r="2" spans="1:21">
      <c r="B2" s="327">
        <v>46113</v>
      </c>
      <c r="C2" s="3">
        <v>16</v>
      </c>
      <c r="D2" s="468" t="s">
        <v>415</v>
      </c>
      <c r="E2" t="s">
        <v>248</v>
      </c>
      <c r="F2" t="s">
        <v>245</v>
      </c>
      <c r="H2" s="5" t="s">
        <v>148</v>
      </c>
      <c r="I2" s="305">
        <f>+Efficiency1!Z162</f>
        <v>5.2469999999999999</v>
      </c>
      <c r="J2" s="456">
        <f t="shared" ref="J2:J3" si="0">I2/$I$8</f>
        <v>3.8324468567213959E-3</v>
      </c>
      <c r="M2" s="327">
        <v>46113</v>
      </c>
      <c r="N2" s="3">
        <v>16</v>
      </c>
      <c r="O2" s="468" t="s">
        <v>415</v>
      </c>
      <c r="P2" t="s">
        <v>248</v>
      </c>
      <c r="Q2" t="s">
        <v>245</v>
      </c>
      <c r="S2" s="5" t="s">
        <v>148</v>
      </c>
      <c r="T2" s="305">
        <f>+Efficiency2!Z162</f>
        <v>5.2469999999999999</v>
      </c>
      <c r="U2" s="456">
        <f>T2/$T$8</f>
        <v>3.8935981840626521E-3</v>
      </c>
    </row>
    <row r="3" spans="1:21">
      <c r="B3" s="327"/>
      <c r="C3" s="3">
        <v>13</v>
      </c>
      <c r="D3" s="468" t="s">
        <v>416</v>
      </c>
      <c r="E3" t="s">
        <v>246</v>
      </c>
      <c r="F3" t="s">
        <v>245</v>
      </c>
      <c r="H3" s="5" t="s">
        <v>239</v>
      </c>
      <c r="I3" s="305">
        <f>+Efficiency1!Y162+Efficiency1!AA162</f>
        <v>50.081746680335549</v>
      </c>
      <c r="J3" s="456">
        <f t="shared" si="0"/>
        <v>3.6580071020424848E-2</v>
      </c>
      <c r="M3" s="327"/>
      <c r="N3" s="3">
        <v>13</v>
      </c>
      <c r="O3" s="468" t="s">
        <v>416</v>
      </c>
      <c r="P3" t="s">
        <v>246</v>
      </c>
      <c r="Q3" t="s">
        <v>245</v>
      </c>
      <c r="S3" s="5" t="s">
        <v>239</v>
      </c>
      <c r="T3" s="305">
        <f>+Efficiency2!AA162+Efficiency2!Y162</f>
        <v>50.081746680335549</v>
      </c>
      <c r="U3" s="456">
        <f t="shared" ref="U3:U5" si="1">T3/$T$8</f>
        <v>3.7163750320038165E-2</v>
      </c>
    </row>
    <row r="4" spans="1:21">
      <c r="B4" s="39"/>
      <c r="C4" s="3">
        <v>53</v>
      </c>
      <c r="D4" s="468" t="s">
        <v>388</v>
      </c>
      <c r="E4" t="s">
        <v>247</v>
      </c>
      <c r="F4" t="s">
        <v>245</v>
      </c>
      <c r="H4" s="5" t="s">
        <v>263</v>
      </c>
      <c r="I4" s="305">
        <f>+Efficiency1!AB162</f>
        <v>-8.7318547870791061</v>
      </c>
      <c r="J4" s="456">
        <f>I4/$I$8</f>
        <v>-6.377810069008766E-3</v>
      </c>
      <c r="M4" s="39"/>
      <c r="N4" s="3">
        <v>53</v>
      </c>
      <c r="O4" s="468" t="s">
        <v>388</v>
      </c>
      <c r="P4" t="s">
        <v>247</v>
      </c>
      <c r="Q4" t="s">
        <v>245</v>
      </c>
      <c r="S4" s="5" t="s">
        <v>263</v>
      </c>
      <c r="T4" s="305">
        <f>+Efficiency2!AB162</f>
        <v>-7.6802791591573438</v>
      </c>
      <c r="U4" s="456">
        <f t="shared" si="1"/>
        <v>-5.6992416594605043E-3</v>
      </c>
    </row>
    <row r="5" spans="1:21" ht="15" customHeight="1">
      <c r="B5" s="39"/>
      <c r="C5" s="3">
        <v>0</v>
      </c>
      <c r="D5" s="468" t="s">
        <v>378</v>
      </c>
      <c r="E5" t="s">
        <v>13</v>
      </c>
      <c r="F5" t="s">
        <v>245</v>
      </c>
      <c r="H5" s="5" t="s">
        <v>242</v>
      </c>
      <c r="I5" s="305">
        <f>+Efficiency1!AC162</f>
        <v>62.287290981440144</v>
      </c>
      <c r="J5" s="456">
        <f>I5/$I$8</f>
        <v>4.5495089105300403E-2</v>
      </c>
      <c r="M5" s="39"/>
      <c r="N5" s="3">
        <v>0</v>
      </c>
      <c r="O5" s="468" t="s">
        <v>378</v>
      </c>
      <c r="P5" t="s">
        <v>13</v>
      </c>
      <c r="Q5" t="s">
        <v>245</v>
      </c>
      <c r="S5" s="5" t="s">
        <v>242</v>
      </c>
      <c r="T5" s="305">
        <f>+Efficiency2!AC162</f>
        <v>61.029805256697877</v>
      </c>
      <c r="U5" s="456">
        <f t="shared" si="1"/>
        <v>4.5287886205674893E-2</v>
      </c>
    </row>
    <row r="6" spans="1:21" ht="15" customHeight="1">
      <c r="B6" s="327"/>
      <c r="D6" s="468"/>
      <c r="M6" s="327"/>
      <c r="O6" s="468"/>
    </row>
    <row r="7" spans="1:21" ht="12.75" customHeight="1">
      <c r="B7" s="327">
        <v>46114</v>
      </c>
      <c r="C7" s="3">
        <v>4</v>
      </c>
      <c r="D7" t="s">
        <v>400</v>
      </c>
      <c r="E7" t="s">
        <v>248</v>
      </c>
      <c r="F7" t="s">
        <v>245</v>
      </c>
      <c r="I7" s="465"/>
      <c r="J7" s="466"/>
      <c r="M7" s="327">
        <v>46114</v>
      </c>
      <c r="N7" s="3">
        <v>4</v>
      </c>
      <c r="O7" t="s">
        <v>400</v>
      </c>
      <c r="P7" t="s">
        <v>248</v>
      </c>
      <c r="Q7" t="s">
        <v>245</v>
      </c>
      <c r="T7" s="465"/>
      <c r="U7" s="466"/>
    </row>
    <row r="8" spans="1:21" ht="12.75" customHeight="1">
      <c r="B8" s="327"/>
      <c r="C8" s="3">
        <v>19</v>
      </c>
      <c r="D8" t="s">
        <v>430</v>
      </c>
      <c r="E8" t="s">
        <v>246</v>
      </c>
      <c r="F8" t="s">
        <v>245</v>
      </c>
      <c r="H8" s="467" t="s">
        <v>264</v>
      </c>
      <c r="I8" s="6">
        <f>+Efficiency1!K162</f>
        <v>1369.0992194184616</v>
      </c>
      <c r="M8" s="327"/>
      <c r="N8" s="3">
        <v>19</v>
      </c>
      <c r="O8" t="s">
        <v>430</v>
      </c>
      <c r="P8" t="s">
        <v>246</v>
      </c>
      <c r="Q8" t="s">
        <v>245</v>
      </c>
      <c r="S8" s="467" t="s">
        <v>264</v>
      </c>
      <c r="T8" s="6">
        <f>+Efficiency2!K162</f>
        <v>1347.5966835707693</v>
      </c>
    </row>
    <row r="9" spans="1:21" ht="12.75" customHeight="1">
      <c r="B9" s="327"/>
      <c r="C9" s="3">
        <v>37</v>
      </c>
      <c r="D9" t="s">
        <v>431</v>
      </c>
      <c r="E9" t="s">
        <v>247</v>
      </c>
      <c r="F9" t="s">
        <v>245</v>
      </c>
      <c r="H9" s="467" t="s">
        <v>265</v>
      </c>
      <c r="I9" s="6">
        <f>+Efficiency1!AD162</f>
        <v>3977</v>
      </c>
      <c r="M9" s="327"/>
      <c r="N9" s="3">
        <v>37</v>
      </c>
      <c r="O9" t="s">
        <v>431</v>
      </c>
      <c r="P9" t="s">
        <v>247</v>
      </c>
      <c r="Q9" t="s">
        <v>245</v>
      </c>
      <c r="S9" s="467" t="s">
        <v>265</v>
      </c>
      <c r="T9" s="6">
        <f>+Efficiency2!AD162</f>
        <v>3274</v>
      </c>
    </row>
    <row r="10" spans="1:21" ht="15" customHeight="1">
      <c r="B10" s="327"/>
      <c r="C10" s="3">
        <v>0</v>
      </c>
      <c r="D10" t="s">
        <v>378</v>
      </c>
      <c r="E10" t="s">
        <v>13</v>
      </c>
      <c r="F10" t="s">
        <v>245</v>
      </c>
      <c r="H10" s="467" t="s">
        <v>266</v>
      </c>
      <c r="I10" s="6">
        <f>+Efficiency1!V162</f>
        <v>130.71903654376479</v>
      </c>
      <c r="M10" s="327"/>
      <c r="N10" s="3">
        <v>0</v>
      </c>
      <c r="O10" t="s">
        <v>378</v>
      </c>
      <c r="P10" t="s">
        <v>13</v>
      </c>
      <c r="Q10" t="s">
        <v>245</v>
      </c>
      <c r="S10" s="467" t="s">
        <v>266</v>
      </c>
      <c r="T10" s="6">
        <f>+Efficiency2!V162</f>
        <v>109.42241079289298</v>
      </c>
    </row>
    <row r="11" spans="1:21" ht="12.75" customHeight="1">
      <c r="B11" s="327"/>
      <c r="H11" s="467" t="s">
        <v>267</v>
      </c>
      <c r="I11" s="459">
        <f>I10/I8</f>
        <v>9.5478132402477725E-2</v>
      </c>
      <c r="M11" s="327"/>
      <c r="S11" s="467" t="s">
        <v>267</v>
      </c>
      <c r="T11" s="459">
        <f>T10/T8</f>
        <v>8.1198189433765139E-2</v>
      </c>
    </row>
    <row r="12" spans="1:21">
      <c r="B12" s="327">
        <v>46115</v>
      </c>
      <c r="C12" s="3">
        <v>6</v>
      </c>
      <c r="D12" t="s">
        <v>400</v>
      </c>
      <c r="E12" t="s">
        <v>248</v>
      </c>
      <c r="F12" t="s">
        <v>245</v>
      </c>
      <c r="M12" s="327">
        <v>46115</v>
      </c>
      <c r="N12" s="3">
        <v>6</v>
      </c>
      <c r="O12" t="s">
        <v>400</v>
      </c>
      <c r="P12" t="s">
        <v>248</v>
      </c>
      <c r="Q12" t="s">
        <v>245</v>
      </c>
    </row>
    <row r="13" spans="1:21">
      <c r="B13" s="327"/>
      <c r="C13" s="3">
        <v>8</v>
      </c>
      <c r="D13" t="s">
        <v>416</v>
      </c>
      <c r="E13" t="s">
        <v>246</v>
      </c>
      <c r="F13" t="s">
        <v>245</v>
      </c>
      <c r="M13" s="327"/>
      <c r="N13" s="3">
        <v>8</v>
      </c>
      <c r="O13" t="s">
        <v>416</v>
      </c>
      <c r="P13" t="s">
        <v>246</v>
      </c>
      <c r="Q13" t="s">
        <v>245</v>
      </c>
    </row>
    <row r="14" spans="1:21" ht="15" customHeight="1">
      <c r="B14" s="327"/>
      <c r="C14" s="3">
        <v>50</v>
      </c>
      <c r="D14" t="s">
        <v>429</v>
      </c>
      <c r="E14" t="s">
        <v>247</v>
      </c>
      <c r="F14" t="s">
        <v>245</v>
      </c>
      <c r="M14" s="327"/>
      <c r="N14" s="3">
        <v>50</v>
      </c>
      <c r="O14" t="s">
        <v>429</v>
      </c>
      <c r="P14" t="s">
        <v>247</v>
      </c>
      <c r="Q14" t="s">
        <v>245</v>
      </c>
    </row>
    <row r="15" spans="1:21" ht="15" customHeight="1">
      <c r="B15" s="327"/>
      <c r="C15" s="3">
        <v>0</v>
      </c>
      <c r="D15" t="s">
        <v>378</v>
      </c>
      <c r="E15" t="s">
        <v>13</v>
      </c>
      <c r="F15" t="s">
        <v>245</v>
      </c>
      <c r="G15" s="512">
        <f>+summary!H42</f>
        <v>0.99999999999999989</v>
      </c>
      <c r="M15" s="327"/>
      <c r="N15" s="3">
        <v>0</v>
      </c>
      <c r="O15" t="s">
        <v>378</v>
      </c>
      <c r="P15" t="s">
        <v>13</v>
      </c>
      <c r="Q15" t="s">
        <v>245</v>
      </c>
      <c r="R15" s="512">
        <f>+summary!Q42</f>
        <v>0.99999999999999989</v>
      </c>
    </row>
    <row r="16" spans="1:21">
      <c r="B16" s="327"/>
      <c r="M16" s="327"/>
    </row>
    <row r="17" spans="2:17">
      <c r="B17" s="327">
        <v>46116</v>
      </c>
      <c r="C17" s="3">
        <v>8</v>
      </c>
      <c r="D17" t="s">
        <v>453</v>
      </c>
      <c r="E17" t="s">
        <v>248</v>
      </c>
      <c r="F17" t="s">
        <v>245</v>
      </c>
      <c r="M17" s="327">
        <v>46116</v>
      </c>
      <c r="N17" s="3">
        <v>8</v>
      </c>
      <c r="O17" t="s">
        <v>453</v>
      </c>
      <c r="P17" t="s">
        <v>248</v>
      </c>
      <c r="Q17" t="s">
        <v>245</v>
      </c>
    </row>
    <row r="18" spans="2:17">
      <c r="B18" s="327"/>
      <c r="C18" s="3">
        <v>0</v>
      </c>
      <c r="D18" t="s">
        <v>412</v>
      </c>
      <c r="E18" t="s">
        <v>246</v>
      </c>
      <c r="F18" t="s">
        <v>245</v>
      </c>
      <c r="M18" s="327"/>
      <c r="N18" s="3">
        <v>0</v>
      </c>
      <c r="O18" t="s">
        <v>412</v>
      </c>
      <c r="P18" t="s">
        <v>246</v>
      </c>
      <c r="Q18" t="s">
        <v>245</v>
      </c>
    </row>
    <row r="19" spans="2:17">
      <c r="B19" s="327"/>
      <c r="C19" s="3">
        <v>60</v>
      </c>
      <c r="D19" t="s">
        <v>431</v>
      </c>
      <c r="E19" t="s">
        <v>247</v>
      </c>
      <c r="F19" t="s">
        <v>245</v>
      </c>
      <c r="M19" s="327"/>
      <c r="N19" s="3">
        <v>60</v>
      </c>
      <c r="O19" t="s">
        <v>431</v>
      </c>
      <c r="P19" t="s">
        <v>247</v>
      </c>
      <c r="Q19" t="s">
        <v>245</v>
      </c>
    </row>
    <row r="20" spans="2:17">
      <c r="B20" s="327"/>
      <c r="C20" s="3">
        <v>0</v>
      </c>
      <c r="D20" t="s">
        <v>378</v>
      </c>
      <c r="E20" t="s">
        <v>13</v>
      </c>
      <c r="F20" t="s">
        <v>245</v>
      </c>
      <c r="M20" s="327"/>
      <c r="N20" s="3">
        <v>0</v>
      </c>
      <c r="O20" t="s">
        <v>378</v>
      </c>
      <c r="P20" t="s">
        <v>13</v>
      </c>
      <c r="Q20" t="s">
        <v>245</v>
      </c>
    </row>
    <row r="21" spans="2:17">
      <c r="B21" s="327"/>
      <c r="M21" s="327"/>
    </row>
    <row r="22" spans="2:17">
      <c r="B22" s="327">
        <v>46117</v>
      </c>
      <c r="C22" s="3">
        <v>0</v>
      </c>
      <c r="D22" t="s">
        <v>415</v>
      </c>
      <c r="E22" t="s">
        <v>248</v>
      </c>
      <c r="F22" t="s">
        <v>245</v>
      </c>
      <c r="M22" s="327">
        <v>46117</v>
      </c>
      <c r="N22" s="3">
        <v>0</v>
      </c>
      <c r="O22" t="s">
        <v>415</v>
      </c>
      <c r="P22" t="s">
        <v>248</v>
      </c>
      <c r="Q22" t="s">
        <v>245</v>
      </c>
    </row>
    <row r="23" spans="2:17">
      <c r="B23" s="327"/>
      <c r="C23" s="3">
        <v>0</v>
      </c>
      <c r="D23" t="s">
        <v>412</v>
      </c>
      <c r="E23" t="s">
        <v>246</v>
      </c>
      <c r="F23" t="s">
        <v>245</v>
      </c>
      <c r="M23" s="327"/>
      <c r="N23" s="3">
        <v>0</v>
      </c>
      <c r="O23" t="s">
        <v>412</v>
      </c>
      <c r="P23" t="s">
        <v>246</v>
      </c>
      <c r="Q23" t="s">
        <v>245</v>
      </c>
    </row>
    <row r="24" spans="2:17">
      <c r="B24" s="327"/>
      <c r="C24" s="3">
        <v>72</v>
      </c>
      <c r="D24" t="s">
        <v>431</v>
      </c>
      <c r="E24" t="s">
        <v>247</v>
      </c>
      <c r="F24" t="s">
        <v>245</v>
      </c>
      <c r="M24" s="327"/>
      <c r="N24" s="3">
        <v>72</v>
      </c>
      <c r="O24" t="s">
        <v>431</v>
      </c>
      <c r="P24" t="s">
        <v>247</v>
      </c>
      <c r="Q24" t="s">
        <v>245</v>
      </c>
    </row>
    <row r="25" spans="2:17">
      <c r="B25" s="327"/>
      <c r="C25" s="3">
        <v>0</v>
      </c>
      <c r="D25" t="s">
        <v>378</v>
      </c>
      <c r="E25" t="s">
        <v>13</v>
      </c>
      <c r="F25" t="s">
        <v>245</v>
      </c>
      <c r="M25" s="327"/>
      <c r="N25" s="3">
        <v>0</v>
      </c>
      <c r="O25" t="s">
        <v>378</v>
      </c>
      <c r="P25" t="s">
        <v>13</v>
      </c>
      <c r="Q25" t="s">
        <v>245</v>
      </c>
    </row>
    <row r="26" spans="2:17">
      <c r="B26" s="327"/>
      <c r="M26" s="327"/>
    </row>
    <row r="27" spans="2:17">
      <c r="B27" s="327">
        <v>46118</v>
      </c>
      <c r="C27" s="3">
        <v>9</v>
      </c>
      <c r="D27" t="s">
        <v>453</v>
      </c>
      <c r="E27" t="s">
        <v>248</v>
      </c>
      <c r="F27" t="s">
        <v>245</v>
      </c>
      <c r="M27" s="327">
        <v>46118</v>
      </c>
      <c r="N27" s="3">
        <v>9</v>
      </c>
      <c r="O27" t="s">
        <v>453</v>
      </c>
      <c r="P27" t="s">
        <v>248</v>
      </c>
      <c r="Q27" t="s">
        <v>245</v>
      </c>
    </row>
    <row r="28" spans="2:17">
      <c r="B28" s="327"/>
      <c r="C28" s="3">
        <v>9</v>
      </c>
      <c r="D28" t="s">
        <v>465</v>
      </c>
      <c r="E28" t="s">
        <v>246</v>
      </c>
      <c r="F28" t="s">
        <v>245</v>
      </c>
      <c r="M28" s="327"/>
      <c r="N28" s="3">
        <v>9</v>
      </c>
      <c r="O28" t="s">
        <v>465</v>
      </c>
      <c r="P28" t="s">
        <v>246</v>
      </c>
      <c r="Q28" t="s">
        <v>245</v>
      </c>
    </row>
    <row r="29" spans="2:17">
      <c r="B29" s="327"/>
      <c r="C29" s="3">
        <v>55</v>
      </c>
      <c r="D29" t="s">
        <v>467</v>
      </c>
      <c r="E29" t="s">
        <v>247</v>
      </c>
      <c r="F29" t="s">
        <v>245</v>
      </c>
      <c r="M29" s="327"/>
      <c r="N29" s="3">
        <v>55</v>
      </c>
      <c r="O29" t="s">
        <v>467</v>
      </c>
      <c r="P29" t="s">
        <v>247</v>
      </c>
      <c r="Q29" t="s">
        <v>245</v>
      </c>
    </row>
    <row r="30" spans="2:17">
      <c r="B30" s="327"/>
      <c r="C30" s="3">
        <v>0</v>
      </c>
      <c r="D30" t="s">
        <v>378</v>
      </c>
      <c r="E30" t="s">
        <v>13</v>
      </c>
      <c r="F30" t="s">
        <v>245</v>
      </c>
      <c r="M30" s="327"/>
      <c r="N30" s="3">
        <v>0</v>
      </c>
      <c r="O30" t="s">
        <v>378</v>
      </c>
      <c r="P30" t="s">
        <v>13</v>
      </c>
      <c r="Q30" t="s">
        <v>245</v>
      </c>
    </row>
    <row r="31" spans="2:17">
      <c r="B31" s="327"/>
      <c r="M31" s="327"/>
    </row>
    <row r="32" spans="2:17">
      <c r="B32" s="327">
        <v>46119</v>
      </c>
      <c r="C32" s="3">
        <v>16</v>
      </c>
      <c r="D32" t="s">
        <v>415</v>
      </c>
      <c r="E32" t="s">
        <v>248</v>
      </c>
      <c r="F32" t="s">
        <v>245</v>
      </c>
      <c r="M32" s="327">
        <v>46119</v>
      </c>
      <c r="N32" s="3">
        <v>16</v>
      </c>
      <c r="O32" t="s">
        <v>415</v>
      </c>
      <c r="P32" t="s">
        <v>248</v>
      </c>
      <c r="Q32" t="s">
        <v>245</v>
      </c>
    </row>
    <row r="33" spans="2:17">
      <c r="B33" s="327"/>
      <c r="C33" s="3">
        <v>4</v>
      </c>
      <c r="D33" t="s">
        <v>480</v>
      </c>
      <c r="E33" t="s">
        <v>246</v>
      </c>
      <c r="F33" t="s">
        <v>245</v>
      </c>
      <c r="M33" s="327"/>
      <c r="N33" s="3">
        <v>4</v>
      </c>
      <c r="O33" t="s">
        <v>480</v>
      </c>
      <c r="P33" t="s">
        <v>246</v>
      </c>
      <c r="Q33" t="s">
        <v>245</v>
      </c>
    </row>
    <row r="34" spans="2:17">
      <c r="B34" s="327"/>
      <c r="C34" s="3">
        <v>59</v>
      </c>
      <c r="D34" t="s">
        <v>431</v>
      </c>
      <c r="E34" t="s">
        <v>247</v>
      </c>
      <c r="F34" t="s">
        <v>245</v>
      </c>
      <c r="M34" s="327"/>
      <c r="N34" s="3">
        <v>59</v>
      </c>
      <c r="O34" t="s">
        <v>431</v>
      </c>
      <c r="P34" t="s">
        <v>247</v>
      </c>
      <c r="Q34" t="s">
        <v>245</v>
      </c>
    </row>
    <row r="35" spans="2:17">
      <c r="B35" s="327"/>
      <c r="C35" s="3">
        <v>0</v>
      </c>
      <c r="D35" t="s">
        <v>378</v>
      </c>
      <c r="E35" t="s">
        <v>13</v>
      </c>
      <c r="F35" t="s">
        <v>245</v>
      </c>
      <c r="M35" s="327"/>
      <c r="N35" s="3">
        <v>0</v>
      </c>
      <c r="O35" t="s">
        <v>378</v>
      </c>
      <c r="P35" t="s">
        <v>13</v>
      </c>
      <c r="Q35" t="s">
        <v>245</v>
      </c>
    </row>
    <row r="36" spans="2:17">
      <c r="B36" s="327"/>
      <c r="M36" s="327"/>
    </row>
    <row r="37" spans="2:17">
      <c r="B37" s="327">
        <v>46120</v>
      </c>
      <c r="C37" s="3">
        <v>16</v>
      </c>
      <c r="D37" t="s">
        <v>494</v>
      </c>
      <c r="E37" t="s">
        <v>248</v>
      </c>
      <c r="F37" t="s">
        <v>245</v>
      </c>
      <c r="M37" s="327">
        <v>46120</v>
      </c>
      <c r="N37" s="3">
        <v>16</v>
      </c>
      <c r="O37" t="s">
        <v>494</v>
      </c>
      <c r="P37" t="s">
        <v>248</v>
      </c>
      <c r="Q37" t="s">
        <v>245</v>
      </c>
    </row>
    <row r="38" spans="2:17">
      <c r="B38" s="327"/>
      <c r="C38" s="3">
        <v>8</v>
      </c>
      <c r="D38" t="s">
        <v>428</v>
      </c>
      <c r="E38" t="s">
        <v>246</v>
      </c>
      <c r="F38" t="s">
        <v>245</v>
      </c>
      <c r="M38" s="327"/>
      <c r="N38" s="3">
        <v>8</v>
      </c>
      <c r="O38" t="s">
        <v>428</v>
      </c>
      <c r="P38" t="s">
        <v>246</v>
      </c>
      <c r="Q38" t="s">
        <v>245</v>
      </c>
    </row>
    <row r="39" spans="2:17">
      <c r="B39" s="327"/>
      <c r="C39" s="3">
        <v>56</v>
      </c>
      <c r="D39" t="s">
        <v>431</v>
      </c>
      <c r="E39" t="s">
        <v>247</v>
      </c>
      <c r="F39" t="s">
        <v>245</v>
      </c>
      <c r="M39" s="327"/>
      <c r="N39" s="3">
        <v>56</v>
      </c>
      <c r="O39" t="s">
        <v>431</v>
      </c>
      <c r="P39" t="s">
        <v>247</v>
      </c>
      <c r="Q39" t="s">
        <v>245</v>
      </c>
    </row>
    <row r="40" spans="2:17">
      <c r="B40" s="327"/>
      <c r="C40" s="3">
        <v>0</v>
      </c>
      <c r="D40" t="s">
        <v>378</v>
      </c>
      <c r="E40" t="s">
        <v>13</v>
      </c>
      <c r="F40" t="s">
        <v>245</v>
      </c>
      <c r="M40" s="327"/>
      <c r="N40" s="3">
        <v>0</v>
      </c>
      <c r="O40" t="s">
        <v>378</v>
      </c>
      <c r="P40" t="s">
        <v>13</v>
      </c>
      <c r="Q40" t="s">
        <v>245</v>
      </c>
    </row>
    <row r="41" spans="2:17">
      <c r="B41" s="327"/>
      <c r="M41" s="327"/>
    </row>
    <row r="42" spans="2:17">
      <c r="B42" s="327">
        <v>46121</v>
      </c>
      <c r="C42" s="3">
        <v>0</v>
      </c>
      <c r="D42" t="s">
        <v>385</v>
      </c>
      <c r="E42" t="s">
        <v>248</v>
      </c>
      <c r="F42" t="s">
        <v>245</v>
      </c>
      <c r="M42" s="327">
        <v>46121</v>
      </c>
      <c r="N42" s="3">
        <v>0</v>
      </c>
      <c r="O42" t="s">
        <v>385</v>
      </c>
      <c r="P42" t="s">
        <v>248</v>
      </c>
      <c r="Q42" t="s">
        <v>245</v>
      </c>
    </row>
    <row r="43" spans="2:17">
      <c r="B43" s="327"/>
      <c r="C43" s="3">
        <v>0</v>
      </c>
      <c r="D43" t="s">
        <v>412</v>
      </c>
      <c r="E43" t="s">
        <v>246</v>
      </c>
      <c r="F43" t="s">
        <v>245</v>
      </c>
      <c r="M43" s="327"/>
      <c r="N43" s="3">
        <v>0</v>
      </c>
      <c r="O43" t="s">
        <v>412</v>
      </c>
      <c r="P43" t="s">
        <v>246</v>
      </c>
      <c r="Q43" t="s">
        <v>245</v>
      </c>
    </row>
    <row r="44" spans="2:17">
      <c r="B44" s="327"/>
      <c r="C44" s="3">
        <v>14</v>
      </c>
      <c r="D44" t="s">
        <v>514</v>
      </c>
      <c r="E44" t="s">
        <v>247</v>
      </c>
      <c r="F44" t="s">
        <v>245</v>
      </c>
      <c r="M44" s="327"/>
      <c r="N44" s="3">
        <v>14</v>
      </c>
      <c r="O44" t="s">
        <v>514</v>
      </c>
      <c r="P44" t="s">
        <v>247</v>
      </c>
      <c r="Q44" t="s">
        <v>245</v>
      </c>
    </row>
    <row r="45" spans="2:17">
      <c r="B45" s="327"/>
      <c r="C45" s="3">
        <v>0</v>
      </c>
      <c r="D45" t="s">
        <v>378</v>
      </c>
      <c r="E45" t="s">
        <v>13</v>
      </c>
      <c r="F45" t="s">
        <v>245</v>
      </c>
      <c r="M45" s="327"/>
      <c r="N45" s="3">
        <v>0</v>
      </c>
      <c r="O45" t="s">
        <v>378</v>
      </c>
      <c r="P45" t="s">
        <v>13</v>
      </c>
      <c r="Q45" t="s">
        <v>245</v>
      </c>
    </row>
    <row r="46" spans="2:17">
      <c r="B46" s="327"/>
      <c r="C46" s="3">
        <v>207</v>
      </c>
      <c r="D46" t="s">
        <v>515</v>
      </c>
      <c r="E46" t="s">
        <v>736</v>
      </c>
      <c r="F46" t="s">
        <v>250</v>
      </c>
      <c r="M46" s="327"/>
      <c r="N46" s="3">
        <v>207</v>
      </c>
      <c r="O46" t="s">
        <v>515</v>
      </c>
      <c r="P46" t="s">
        <v>736</v>
      </c>
      <c r="Q46" t="s">
        <v>250</v>
      </c>
    </row>
    <row r="47" spans="2:17">
      <c r="B47" s="327"/>
      <c r="C47" s="3">
        <v>206</v>
      </c>
      <c r="D47" t="s">
        <v>515</v>
      </c>
      <c r="E47" t="s">
        <v>738</v>
      </c>
      <c r="F47" t="s">
        <v>251</v>
      </c>
      <c r="M47" s="327"/>
      <c r="N47" s="3">
        <v>206</v>
      </c>
      <c r="O47" t="s">
        <v>515</v>
      </c>
      <c r="P47" t="s">
        <v>738</v>
      </c>
      <c r="Q47" t="s">
        <v>251</v>
      </c>
    </row>
    <row r="48" spans="2:17">
      <c r="B48" s="327"/>
      <c r="C48" s="3">
        <v>738</v>
      </c>
      <c r="D48" t="s">
        <v>516</v>
      </c>
      <c r="E48" t="s">
        <v>737</v>
      </c>
      <c r="F48" t="s">
        <v>254</v>
      </c>
      <c r="M48" s="327"/>
      <c r="N48" s="3">
        <v>738</v>
      </c>
      <c r="O48" t="s">
        <v>516</v>
      </c>
      <c r="P48" t="s">
        <v>737</v>
      </c>
      <c r="Q48" t="s">
        <v>254</v>
      </c>
    </row>
    <row r="49" spans="2:17">
      <c r="B49" s="327"/>
      <c r="M49" s="327"/>
    </row>
    <row r="50" spans="2:17">
      <c r="B50" s="327">
        <v>46122</v>
      </c>
      <c r="C50" s="3">
        <v>0</v>
      </c>
      <c r="D50" t="s">
        <v>385</v>
      </c>
      <c r="E50" t="s">
        <v>248</v>
      </c>
      <c r="F50" t="s">
        <v>245</v>
      </c>
      <c r="M50" s="327">
        <v>46122</v>
      </c>
      <c r="N50" s="3">
        <v>0</v>
      </c>
      <c r="O50" t="s">
        <v>385</v>
      </c>
      <c r="P50" t="s">
        <v>248</v>
      </c>
      <c r="Q50" t="s">
        <v>245</v>
      </c>
    </row>
    <row r="51" spans="2:17">
      <c r="B51" s="327"/>
      <c r="C51" s="3">
        <v>0</v>
      </c>
      <c r="D51" t="s">
        <v>412</v>
      </c>
      <c r="E51" t="s">
        <v>246</v>
      </c>
      <c r="F51" t="s">
        <v>245</v>
      </c>
      <c r="M51" s="327"/>
      <c r="N51" s="3">
        <v>0</v>
      </c>
      <c r="O51" t="s">
        <v>412</v>
      </c>
      <c r="P51" t="s">
        <v>246</v>
      </c>
      <c r="Q51" t="s">
        <v>245</v>
      </c>
    </row>
    <row r="52" spans="2:17">
      <c r="B52" s="327"/>
      <c r="C52" s="3">
        <v>59</v>
      </c>
      <c r="D52" t="s">
        <v>532</v>
      </c>
      <c r="E52" t="s">
        <v>247</v>
      </c>
      <c r="F52" t="s">
        <v>245</v>
      </c>
      <c r="M52" s="327"/>
      <c r="N52" s="3">
        <v>59</v>
      </c>
      <c r="O52" t="s">
        <v>532</v>
      </c>
      <c r="P52" t="s">
        <v>247</v>
      </c>
      <c r="Q52" t="s">
        <v>245</v>
      </c>
    </row>
    <row r="53" spans="2:17">
      <c r="B53" s="327"/>
      <c r="C53" s="3">
        <v>0</v>
      </c>
      <c r="D53" t="s">
        <v>378</v>
      </c>
      <c r="E53" t="s">
        <v>13</v>
      </c>
      <c r="F53" t="s">
        <v>245</v>
      </c>
      <c r="M53" s="327"/>
      <c r="N53" s="3">
        <v>0</v>
      </c>
      <c r="O53" t="s">
        <v>378</v>
      </c>
      <c r="P53" t="s">
        <v>13</v>
      </c>
      <c r="Q53" t="s">
        <v>245</v>
      </c>
    </row>
    <row r="54" spans="2:17">
      <c r="B54" s="327"/>
      <c r="M54" s="327"/>
    </row>
    <row r="55" spans="2:17">
      <c r="B55" s="327">
        <v>46123</v>
      </c>
      <c r="C55" s="3">
        <v>60</v>
      </c>
      <c r="D55" t="s">
        <v>553</v>
      </c>
      <c r="E55" t="s">
        <v>248</v>
      </c>
      <c r="F55" t="s">
        <v>245</v>
      </c>
      <c r="M55" s="327">
        <v>46123</v>
      </c>
      <c r="N55" s="3">
        <v>60</v>
      </c>
      <c r="O55" t="s">
        <v>553</v>
      </c>
      <c r="P55" t="s">
        <v>248</v>
      </c>
      <c r="Q55" t="s">
        <v>245</v>
      </c>
    </row>
    <row r="56" spans="2:17">
      <c r="B56" s="327"/>
      <c r="C56" s="3">
        <v>4</v>
      </c>
      <c r="D56" t="s">
        <v>480</v>
      </c>
      <c r="E56" t="s">
        <v>246</v>
      </c>
      <c r="F56" t="s">
        <v>245</v>
      </c>
      <c r="M56" s="327"/>
      <c r="N56" s="3">
        <v>4</v>
      </c>
      <c r="O56" t="s">
        <v>480</v>
      </c>
      <c r="P56" t="s">
        <v>246</v>
      </c>
      <c r="Q56" t="s">
        <v>245</v>
      </c>
    </row>
    <row r="57" spans="2:17">
      <c r="B57" s="327"/>
      <c r="C57" s="3">
        <v>15</v>
      </c>
      <c r="D57" t="s">
        <v>552</v>
      </c>
      <c r="E57" t="s">
        <v>247</v>
      </c>
      <c r="F57" t="s">
        <v>245</v>
      </c>
      <c r="M57" s="327"/>
      <c r="N57" s="3">
        <v>15</v>
      </c>
      <c r="O57" t="s">
        <v>552</v>
      </c>
      <c r="P57" t="s">
        <v>247</v>
      </c>
      <c r="Q57" t="s">
        <v>245</v>
      </c>
    </row>
    <row r="58" spans="2:17">
      <c r="B58" s="327"/>
      <c r="C58" s="3">
        <v>0</v>
      </c>
      <c r="D58" t="s">
        <v>378</v>
      </c>
      <c r="E58" t="s">
        <v>13</v>
      </c>
      <c r="F58" t="s">
        <v>245</v>
      </c>
      <c r="M58" s="327"/>
      <c r="N58" s="3">
        <v>0</v>
      </c>
      <c r="O58" t="s">
        <v>378</v>
      </c>
      <c r="P58" t="s">
        <v>13</v>
      </c>
      <c r="Q58" t="s">
        <v>245</v>
      </c>
    </row>
    <row r="59" spans="2:17">
      <c r="B59" s="327"/>
      <c r="M59" s="327"/>
    </row>
    <row r="60" spans="2:17">
      <c r="B60" s="327">
        <v>46124</v>
      </c>
      <c r="C60" s="3">
        <v>25</v>
      </c>
      <c r="D60" t="s">
        <v>494</v>
      </c>
      <c r="E60" t="s">
        <v>248</v>
      </c>
      <c r="F60" t="s">
        <v>245</v>
      </c>
      <c r="M60" s="327">
        <v>46124</v>
      </c>
      <c r="N60" s="3">
        <v>25</v>
      </c>
      <c r="O60" t="s">
        <v>494</v>
      </c>
      <c r="P60" t="s">
        <v>248</v>
      </c>
      <c r="Q60" t="s">
        <v>245</v>
      </c>
    </row>
    <row r="61" spans="2:17">
      <c r="B61" s="327"/>
      <c r="C61" s="3">
        <v>0</v>
      </c>
      <c r="D61" t="s">
        <v>412</v>
      </c>
      <c r="E61" t="s">
        <v>246</v>
      </c>
      <c r="F61" t="s">
        <v>245</v>
      </c>
      <c r="M61" s="327"/>
      <c r="N61" s="3">
        <v>0</v>
      </c>
      <c r="O61" t="s">
        <v>412</v>
      </c>
      <c r="P61" t="s">
        <v>246</v>
      </c>
      <c r="Q61" t="s">
        <v>245</v>
      </c>
    </row>
    <row r="62" spans="2:17">
      <c r="B62" s="327"/>
      <c r="C62" s="3">
        <v>29</v>
      </c>
      <c r="D62" t="s">
        <v>388</v>
      </c>
      <c r="E62" t="s">
        <v>247</v>
      </c>
      <c r="F62" t="s">
        <v>245</v>
      </c>
      <c r="M62" s="327"/>
      <c r="N62" s="3">
        <v>29</v>
      </c>
      <c r="O62" t="s">
        <v>388</v>
      </c>
      <c r="P62" t="s">
        <v>247</v>
      </c>
      <c r="Q62" t="s">
        <v>245</v>
      </c>
    </row>
    <row r="63" spans="2:17">
      <c r="B63" s="327"/>
      <c r="C63" s="3">
        <v>15</v>
      </c>
      <c r="D63" t="s">
        <v>378</v>
      </c>
      <c r="E63" t="s">
        <v>13</v>
      </c>
      <c r="F63" t="s">
        <v>245</v>
      </c>
      <c r="M63" s="327"/>
      <c r="N63" s="3">
        <v>15</v>
      </c>
      <c r="O63" t="s">
        <v>378</v>
      </c>
      <c r="P63" t="s">
        <v>13</v>
      </c>
      <c r="Q63" t="s">
        <v>245</v>
      </c>
    </row>
    <row r="64" spans="2:17">
      <c r="B64" s="327"/>
      <c r="M64" s="327"/>
    </row>
    <row r="65" spans="2:17">
      <c r="B65" s="327">
        <v>46125</v>
      </c>
      <c r="C65" s="3">
        <v>12</v>
      </c>
      <c r="D65" t="s">
        <v>453</v>
      </c>
      <c r="E65" t="s">
        <v>248</v>
      </c>
      <c r="F65" t="s">
        <v>245</v>
      </c>
      <c r="M65" s="327">
        <v>46125</v>
      </c>
      <c r="N65" s="3">
        <v>12</v>
      </c>
      <c r="O65" t="s">
        <v>453</v>
      </c>
      <c r="P65" t="s">
        <v>248</v>
      </c>
      <c r="Q65" t="s">
        <v>245</v>
      </c>
    </row>
    <row r="66" spans="2:17" ht="12.75" customHeight="1">
      <c r="B66" s="327"/>
      <c r="C66" s="3">
        <v>0</v>
      </c>
      <c r="D66" t="s">
        <v>412</v>
      </c>
      <c r="E66" t="s">
        <v>246</v>
      </c>
      <c r="F66" t="s">
        <v>245</v>
      </c>
      <c r="M66" s="327"/>
      <c r="N66" s="3">
        <v>0</v>
      </c>
      <c r="O66" t="s">
        <v>412</v>
      </c>
      <c r="P66" t="s">
        <v>246</v>
      </c>
      <c r="Q66" t="s">
        <v>245</v>
      </c>
    </row>
    <row r="67" spans="2:17" ht="12.75" customHeight="1">
      <c r="B67" s="327"/>
      <c r="C67" s="3">
        <v>38</v>
      </c>
      <c r="D67" t="s">
        <v>566</v>
      </c>
      <c r="E67" t="s">
        <v>247</v>
      </c>
      <c r="F67" t="s">
        <v>245</v>
      </c>
      <c r="M67" s="327"/>
      <c r="N67" s="3">
        <v>38</v>
      </c>
      <c r="O67" t="s">
        <v>566</v>
      </c>
      <c r="P67" t="s">
        <v>247</v>
      </c>
      <c r="Q67" t="s">
        <v>245</v>
      </c>
    </row>
    <row r="68" spans="2:17" ht="12.75" customHeight="1">
      <c r="B68" s="327"/>
      <c r="C68" s="3">
        <v>427</v>
      </c>
      <c r="D68" t="s">
        <v>571</v>
      </c>
      <c r="E68" t="s">
        <v>739</v>
      </c>
      <c r="F68" t="s">
        <v>374</v>
      </c>
      <c r="M68" s="327"/>
      <c r="N68" s="3">
        <v>205</v>
      </c>
      <c r="O68" t="s">
        <v>571</v>
      </c>
      <c r="P68" t="s">
        <v>739</v>
      </c>
      <c r="Q68" t="s">
        <v>374</v>
      </c>
    </row>
    <row r="69" spans="2:17" ht="12.75" customHeight="1">
      <c r="B69" s="327"/>
      <c r="C69" s="3">
        <v>11</v>
      </c>
      <c r="D69" t="s">
        <v>572</v>
      </c>
      <c r="E69" t="s">
        <v>740</v>
      </c>
      <c r="F69" t="s">
        <v>741</v>
      </c>
      <c r="M69" s="327"/>
      <c r="N69" s="3">
        <v>11</v>
      </c>
      <c r="O69" t="s">
        <v>572</v>
      </c>
      <c r="P69" t="s">
        <v>740</v>
      </c>
      <c r="Q69" t="s">
        <v>741</v>
      </c>
    </row>
    <row r="70" spans="2:17">
      <c r="B70" s="327"/>
      <c r="M70" s="327"/>
    </row>
    <row r="71" spans="2:17">
      <c r="B71" s="327">
        <v>46126</v>
      </c>
      <c r="C71" s="3">
        <v>8</v>
      </c>
      <c r="D71" t="s">
        <v>453</v>
      </c>
      <c r="E71" t="s">
        <v>248</v>
      </c>
      <c r="F71" t="s">
        <v>245</v>
      </c>
      <c r="M71" s="327">
        <v>46126</v>
      </c>
      <c r="N71" s="3">
        <v>8</v>
      </c>
      <c r="O71" t="s">
        <v>453</v>
      </c>
      <c r="P71" t="s">
        <v>248</v>
      </c>
      <c r="Q71" t="s">
        <v>245</v>
      </c>
    </row>
    <row r="72" spans="2:17">
      <c r="B72" s="327"/>
      <c r="C72" s="3">
        <v>0</v>
      </c>
      <c r="D72" t="s">
        <v>412</v>
      </c>
      <c r="E72" t="s">
        <v>246</v>
      </c>
      <c r="F72" t="s">
        <v>245</v>
      </c>
      <c r="M72" s="327"/>
      <c r="N72" s="3">
        <v>0</v>
      </c>
      <c r="O72" t="s">
        <v>412</v>
      </c>
      <c r="P72" t="s">
        <v>246</v>
      </c>
      <c r="Q72" t="s">
        <v>245</v>
      </c>
    </row>
    <row r="73" spans="2:17">
      <c r="B73" s="327"/>
      <c r="C73" s="3">
        <v>35</v>
      </c>
      <c r="D73" t="s">
        <v>532</v>
      </c>
      <c r="E73" t="s">
        <v>247</v>
      </c>
      <c r="F73" t="s">
        <v>245</v>
      </c>
      <c r="M73" s="327"/>
      <c r="N73" s="3">
        <v>35</v>
      </c>
      <c r="O73" t="s">
        <v>532</v>
      </c>
      <c r="P73" t="s">
        <v>247</v>
      </c>
      <c r="Q73" t="s">
        <v>245</v>
      </c>
    </row>
    <row r="74" spans="2:17">
      <c r="B74" s="327"/>
      <c r="C74" s="3">
        <v>18</v>
      </c>
      <c r="D74" t="s">
        <v>378</v>
      </c>
      <c r="E74" t="s">
        <v>13</v>
      </c>
      <c r="F74" t="s">
        <v>245</v>
      </c>
      <c r="M74" s="327"/>
      <c r="N74" s="3">
        <v>18</v>
      </c>
      <c r="O74" t="s">
        <v>378</v>
      </c>
      <c r="P74" t="s">
        <v>13</v>
      </c>
      <c r="Q74" t="s">
        <v>245</v>
      </c>
    </row>
    <row r="75" spans="2:17">
      <c r="B75" s="327"/>
      <c r="M75" s="327"/>
    </row>
    <row r="76" spans="2:17">
      <c r="B76" s="327">
        <v>46127</v>
      </c>
      <c r="C76" s="3">
        <v>14</v>
      </c>
      <c r="D76" t="s">
        <v>415</v>
      </c>
      <c r="E76" t="s">
        <v>248</v>
      </c>
      <c r="F76" t="s">
        <v>245</v>
      </c>
      <c r="M76" s="327">
        <v>46127</v>
      </c>
      <c r="N76" s="3">
        <v>14</v>
      </c>
      <c r="O76" t="s">
        <v>415</v>
      </c>
      <c r="P76" t="s">
        <v>248</v>
      </c>
      <c r="Q76" t="s">
        <v>245</v>
      </c>
    </row>
    <row r="77" spans="2:17">
      <c r="B77" s="327"/>
      <c r="C77" s="3">
        <v>0</v>
      </c>
      <c r="D77" t="s">
        <v>412</v>
      </c>
      <c r="E77" t="s">
        <v>246</v>
      </c>
      <c r="F77" t="s">
        <v>245</v>
      </c>
      <c r="M77" s="327"/>
      <c r="N77" s="3">
        <v>0</v>
      </c>
      <c r="O77" t="s">
        <v>412</v>
      </c>
      <c r="P77" t="s">
        <v>246</v>
      </c>
      <c r="Q77" t="s">
        <v>245</v>
      </c>
    </row>
    <row r="78" spans="2:17">
      <c r="B78" s="327"/>
      <c r="C78" s="3">
        <v>40</v>
      </c>
      <c r="D78" t="s">
        <v>532</v>
      </c>
      <c r="E78" t="s">
        <v>247</v>
      </c>
      <c r="F78" t="s">
        <v>245</v>
      </c>
      <c r="M78" s="327"/>
      <c r="N78" s="3">
        <v>40</v>
      </c>
      <c r="O78" t="s">
        <v>532</v>
      </c>
      <c r="P78" t="s">
        <v>247</v>
      </c>
      <c r="Q78" t="s">
        <v>245</v>
      </c>
    </row>
    <row r="79" spans="2:17">
      <c r="B79" s="327"/>
      <c r="C79" s="3">
        <v>0</v>
      </c>
      <c r="D79" t="s">
        <v>378</v>
      </c>
      <c r="E79" t="s">
        <v>13</v>
      </c>
      <c r="F79" t="s">
        <v>245</v>
      </c>
      <c r="M79" s="327"/>
      <c r="N79" s="3">
        <v>0</v>
      </c>
      <c r="O79" t="s">
        <v>378</v>
      </c>
      <c r="P79" t="s">
        <v>13</v>
      </c>
      <c r="Q79" t="s">
        <v>245</v>
      </c>
    </row>
    <row r="80" spans="2:17">
      <c r="B80" s="327"/>
      <c r="M80" s="327"/>
    </row>
    <row r="81" spans="2:17">
      <c r="B81" s="327">
        <v>46128</v>
      </c>
      <c r="C81" s="3">
        <v>12</v>
      </c>
      <c r="D81" t="s">
        <v>415</v>
      </c>
      <c r="E81" t="s">
        <v>248</v>
      </c>
      <c r="F81" t="s">
        <v>245</v>
      </c>
      <c r="M81" s="327">
        <v>46128</v>
      </c>
      <c r="N81" s="3">
        <v>12</v>
      </c>
      <c r="O81" t="s">
        <v>415</v>
      </c>
      <c r="P81" t="s">
        <v>248</v>
      </c>
      <c r="Q81" t="s">
        <v>245</v>
      </c>
    </row>
    <row r="82" spans="2:17">
      <c r="B82" s="327"/>
      <c r="C82" s="3">
        <v>2</v>
      </c>
      <c r="D82" t="s">
        <v>414</v>
      </c>
      <c r="E82" t="s">
        <v>246</v>
      </c>
      <c r="F82" t="s">
        <v>245</v>
      </c>
      <c r="M82" s="327"/>
      <c r="N82" s="3">
        <v>2</v>
      </c>
      <c r="O82" t="s">
        <v>414</v>
      </c>
      <c r="P82" t="s">
        <v>246</v>
      </c>
      <c r="Q82" t="s">
        <v>245</v>
      </c>
    </row>
    <row r="83" spans="2:17">
      <c r="B83" s="327"/>
      <c r="C83" s="3">
        <v>42</v>
      </c>
      <c r="D83" t="s">
        <v>388</v>
      </c>
      <c r="E83" t="s">
        <v>247</v>
      </c>
      <c r="F83" t="s">
        <v>245</v>
      </c>
      <c r="M83" s="327"/>
      <c r="N83" s="3">
        <v>42</v>
      </c>
      <c r="O83" t="s">
        <v>388</v>
      </c>
      <c r="P83" t="s">
        <v>247</v>
      </c>
      <c r="Q83" t="s">
        <v>245</v>
      </c>
    </row>
    <row r="84" spans="2:17">
      <c r="B84" s="327"/>
      <c r="C84" s="3">
        <v>0</v>
      </c>
      <c r="D84" t="s">
        <v>378</v>
      </c>
      <c r="E84" t="s">
        <v>13</v>
      </c>
      <c r="F84" t="s">
        <v>245</v>
      </c>
      <c r="M84" s="327"/>
      <c r="N84" s="3">
        <v>0</v>
      </c>
      <c r="O84" t="s">
        <v>378</v>
      </c>
      <c r="P84" t="s">
        <v>13</v>
      </c>
      <c r="Q84" t="s">
        <v>245</v>
      </c>
    </row>
    <row r="85" spans="2:17">
      <c r="B85" s="327"/>
      <c r="M85" s="327"/>
    </row>
    <row r="86" spans="2:17">
      <c r="B86" s="327">
        <v>46129</v>
      </c>
      <c r="C86" s="3">
        <v>16</v>
      </c>
      <c r="D86" t="s">
        <v>415</v>
      </c>
      <c r="E86" t="s">
        <v>248</v>
      </c>
      <c r="F86" t="s">
        <v>245</v>
      </c>
      <c r="M86" s="327">
        <v>46129</v>
      </c>
      <c r="N86" s="3">
        <v>16</v>
      </c>
      <c r="O86" t="s">
        <v>415</v>
      </c>
      <c r="P86" t="s">
        <v>248</v>
      </c>
      <c r="Q86" t="s">
        <v>245</v>
      </c>
    </row>
    <row r="87" spans="2:17">
      <c r="B87" s="327"/>
      <c r="C87" s="3">
        <v>6</v>
      </c>
      <c r="D87" t="s">
        <v>480</v>
      </c>
      <c r="E87" t="s">
        <v>246</v>
      </c>
      <c r="F87" t="s">
        <v>245</v>
      </c>
      <c r="M87" s="327"/>
      <c r="N87" s="3">
        <v>6</v>
      </c>
      <c r="O87" t="s">
        <v>480</v>
      </c>
      <c r="P87" t="s">
        <v>246</v>
      </c>
      <c r="Q87" t="s">
        <v>245</v>
      </c>
    </row>
    <row r="88" spans="2:17">
      <c r="B88" s="327"/>
      <c r="C88" s="3">
        <v>52</v>
      </c>
      <c r="D88" t="s">
        <v>552</v>
      </c>
      <c r="E88" t="s">
        <v>247</v>
      </c>
      <c r="F88" t="s">
        <v>245</v>
      </c>
      <c r="M88" s="327"/>
      <c r="N88" s="3">
        <v>52</v>
      </c>
      <c r="O88" t="s">
        <v>552</v>
      </c>
      <c r="P88" t="s">
        <v>247</v>
      </c>
      <c r="Q88" t="s">
        <v>245</v>
      </c>
    </row>
    <row r="89" spans="2:17">
      <c r="B89" s="327"/>
      <c r="C89" s="3">
        <v>0</v>
      </c>
      <c r="D89" t="s">
        <v>378</v>
      </c>
      <c r="E89" t="s">
        <v>13</v>
      </c>
      <c r="F89" t="s">
        <v>245</v>
      </c>
      <c r="M89" s="327"/>
      <c r="N89" s="3">
        <v>0</v>
      </c>
      <c r="O89" t="s">
        <v>378</v>
      </c>
      <c r="P89" t="s">
        <v>13</v>
      </c>
      <c r="Q89" t="s">
        <v>245</v>
      </c>
    </row>
    <row r="90" spans="2:17">
      <c r="B90" s="327"/>
      <c r="M90" s="327"/>
    </row>
    <row r="91" spans="2:17">
      <c r="B91" s="327">
        <v>46130</v>
      </c>
      <c r="C91" s="3">
        <v>4</v>
      </c>
      <c r="D91" t="s">
        <v>400</v>
      </c>
      <c r="E91" t="s">
        <v>248</v>
      </c>
      <c r="F91" t="s">
        <v>245</v>
      </c>
      <c r="M91" s="327">
        <v>46130</v>
      </c>
      <c r="N91" s="3">
        <v>4</v>
      </c>
      <c r="O91" t="s">
        <v>400</v>
      </c>
      <c r="P91" t="s">
        <v>248</v>
      </c>
      <c r="Q91" t="s">
        <v>245</v>
      </c>
    </row>
    <row r="92" spans="2:17">
      <c r="B92" s="327"/>
      <c r="C92" s="3">
        <v>6</v>
      </c>
      <c r="D92" t="s">
        <v>465</v>
      </c>
      <c r="E92" t="s">
        <v>246</v>
      </c>
      <c r="F92" t="s">
        <v>245</v>
      </c>
      <c r="M92" s="327"/>
      <c r="N92" s="3">
        <v>6</v>
      </c>
      <c r="O92" t="s">
        <v>465</v>
      </c>
      <c r="P92" t="s">
        <v>246</v>
      </c>
      <c r="Q92" t="s">
        <v>245</v>
      </c>
    </row>
    <row r="93" spans="2:17">
      <c r="B93" s="327"/>
      <c r="C93" s="3">
        <v>47</v>
      </c>
      <c r="D93" t="s">
        <v>532</v>
      </c>
      <c r="E93" t="s">
        <v>247</v>
      </c>
      <c r="F93" t="s">
        <v>245</v>
      </c>
      <c r="M93" s="327"/>
      <c r="N93" s="3">
        <v>47</v>
      </c>
      <c r="O93" t="s">
        <v>532</v>
      </c>
      <c r="P93" t="s">
        <v>247</v>
      </c>
      <c r="Q93" t="s">
        <v>245</v>
      </c>
    </row>
    <row r="94" spans="2:17">
      <c r="B94" s="327"/>
      <c r="C94" s="3">
        <v>0</v>
      </c>
      <c r="D94" t="s">
        <v>378</v>
      </c>
      <c r="E94" t="s">
        <v>13</v>
      </c>
      <c r="F94" t="s">
        <v>245</v>
      </c>
      <c r="M94" s="327"/>
      <c r="N94" s="3">
        <v>0</v>
      </c>
      <c r="O94" t="s">
        <v>378</v>
      </c>
      <c r="P94" t="s">
        <v>13</v>
      </c>
      <c r="Q94" t="s">
        <v>245</v>
      </c>
    </row>
    <row r="95" spans="2:17">
      <c r="B95" s="327"/>
      <c r="M95" s="327"/>
    </row>
    <row r="96" spans="2:17">
      <c r="B96" s="327">
        <v>46131</v>
      </c>
      <c r="C96" s="3">
        <v>12</v>
      </c>
      <c r="D96" t="s">
        <v>415</v>
      </c>
      <c r="E96" t="s">
        <v>248</v>
      </c>
      <c r="F96" t="s">
        <v>245</v>
      </c>
      <c r="M96" s="327">
        <v>46131</v>
      </c>
      <c r="N96" s="3">
        <v>12</v>
      </c>
      <c r="O96" t="s">
        <v>415</v>
      </c>
      <c r="P96" t="s">
        <v>248</v>
      </c>
      <c r="Q96" t="s">
        <v>245</v>
      </c>
    </row>
    <row r="97" spans="2:17">
      <c r="B97" s="327"/>
      <c r="C97" s="3">
        <v>2</v>
      </c>
      <c r="D97" t="s">
        <v>414</v>
      </c>
      <c r="E97" t="s">
        <v>246</v>
      </c>
      <c r="F97" t="s">
        <v>245</v>
      </c>
      <c r="M97" s="327"/>
      <c r="N97" s="3">
        <v>2</v>
      </c>
      <c r="O97" t="s">
        <v>414</v>
      </c>
      <c r="P97" t="s">
        <v>246</v>
      </c>
      <c r="Q97" t="s">
        <v>245</v>
      </c>
    </row>
    <row r="98" spans="2:17">
      <c r="B98" s="327"/>
      <c r="C98" s="3">
        <v>51</v>
      </c>
      <c r="D98" t="s">
        <v>467</v>
      </c>
      <c r="E98" t="s">
        <v>247</v>
      </c>
      <c r="F98" t="s">
        <v>245</v>
      </c>
      <c r="M98" s="327"/>
      <c r="N98" s="3">
        <v>51</v>
      </c>
      <c r="O98" t="s">
        <v>467</v>
      </c>
      <c r="P98" t="s">
        <v>247</v>
      </c>
      <c r="Q98" t="s">
        <v>245</v>
      </c>
    </row>
    <row r="99" spans="2:17">
      <c r="B99" s="327"/>
      <c r="C99" s="3">
        <v>0</v>
      </c>
      <c r="D99" t="s">
        <v>378</v>
      </c>
      <c r="E99" t="s">
        <v>13</v>
      </c>
      <c r="F99" t="s">
        <v>245</v>
      </c>
      <c r="M99" s="327"/>
      <c r="N99" s="3">
        <v>0</v>
      </c>
      <c r="O99" t="s">
        <v>378</v>
      </c>
      <c r="P99" t="s">
        <v>13</v>
      </c>
      <c r="Q99" t="s">
        <v>245</v>
      </c>
    </row>
    <row r="100" spans="2:17">
      <c r="B100" s="327"/>
      <c r="M100" s="327"/>
    </row>
    <row r="101" spans="2:17">
      <c r="B101" s="327">
        <v>46132</v>
      </c>
      <c r="C101" s="3">
        <v>12</v>
      </c>
      <c r="D101" t="s">
        <v>415</v>
      </c>
      <c r="E101" t="s">
        <v>248</v>
      </c>
      <c r="F101" t="s">
        <v>245</v>
      </c>
      <c r="M101" s="327">
        <v>46132</v>
      </c>
      <c r="N101" s="3">
        <v>12</v>
      </c>
      <c r="O101" t="s">
        <v>415</v>
      </c>
      <c r="P101" t="s">
        <v>248</v>
      </c>
      <c r="Q101" t="s">
        <v>245</v>
      </c>
    </row>
    <row r="102" spans="2:17">
      <c r="B102" s="327"/>
      <c r="C102" s="3">
        <v>0</v>
      </c>
      <c r="D102" t="s">
        <v>412</v>
      </c>
      <c r="E102" t="s">
        <v>246</v>
      </c>
      <c r="F102" t="s">
        <v>245</v>
      </c>
      <c r="M102" s="327"/>
      <c r="N102" s="3">
        <v>0</v>
      </c>
      <c r="O102" t="s">
        <v>412</v>
      </c>
      <c r="P102" t="s">
        <v>246</v>
      </c>
      <c r="Q102" t="s">
        <v>245</v>
      </c>
    </row>
    <row r="103" spans="2:17">
      <c r="B103" s="327"/>
      <c r="C103" s="3">
        <v>54</v>
      </c>
      <c r="D103" t="s">
        <v>429</v>
      </c>
      <c r="E103" t="s">
        <v>247</v>
      </c>
      <c r="F103" t="s">
        <v>245</v>
      </c>
      <c r="M103" s="327"/>
      <c r="N103" s="3">
        <v>54</v>
      </c>
      <c r="O103" t="s">
        <v>429</v>
      </c>
      <c r="P103" t="s">
        <v>247</v>
      </c>
      <c r="Q103" t="s">
        <v>245</v>
      </c>
    </row>
    <row r="104" spans="2:17">
      <c r="B104" s="327"/>
      <c r="C104" s="3">
        <v>0</v>
      </c>
      <c r="D104" t="s">
        <v>378</v>
      </c>
      <c r="E104" t="s">
        <v>13</v>
      </c>
      <c r="F104" t="s">
        <v>245</v>
      </c>
      <c r="M104" s="327"/>
      <c r="N104" s="3">
        <v>0</v>
      </c>
      <c r="O104" t="s">
        <v>378</v>
      </c>
      <c r="P104" t="s">
        <v>13</v>
      </c>
      <c r="Q104" t="s">
        <v>245</v>
      </c>
    </row>
    <row r="105" spans="2:17">
      <c r="B105" s="327"/>
      <c r="M105" s="327"/>
    </row>
    <row r="106" spans="2:17">
      <c r="B106" s="327">
        <v>46133</v>
      </c>
      <c r="C106" s="3">
        <v>4</v>
      </c>
      <c r="D106" t="s">
        <v>400</v>
      </c>
      <c r="E106" t="s">
        <v>248</v>
      </c>
      <c r="F106" t="s">
        <v>245</v>
      </c>
      <c r="M106" s="327">
        <v>46133</v>
      </c>
      <c r="N106" s="3">
        <v>4</v>
      </c>
      <c r="O106" t="s">
        <v>400</v>
      </c>
      <c r="P106" t="s">
        <v>248</v>
      </c>
      <c r="Q106" t="s">
        <v>245</v>
      </c>
    </row>
    <row r="107" spans="2:17">
      <c r="B107" s="327"/>
      <c r="C107" s="3">
        <v>0</v>
      </c>
      <c r="D107" t="s">
        <v>412</v>
      </c>
      <c r="E107" t="s">
        <v>246</v>
      </c>
      <c r="F107" t="s">
        <v>245</v>
      </c>
      <c r="M107" s="327"/>
      <c r="N107" s="3">
        <v>0</v>
      </c>
      <c r="O107" t="s">
        <v>412</v>
      </c>
      <c r="P107" t="s">
        <v>246</v>
      </c>
      <c r="Q107" t="s">
        <v>245</v>
      </c>
    </row>
    <row r="108" spans="2:17">
      <c r="B108" s="327"/>
      <c r="C108" s="3">
        <v>49</v>
      </c>
      <c r="D108" t="s">
        <v>680</v>
      </c>
      <c r="E108" t="s">
        <v>247</v>
      </c>
      <c r="F108" t="s">
        <v>245</v>
      </c>
      <c r="M108" s="327"/>
      <c r="N108" s="3">
        <v>49</v>
      </c>
      <c r="O108" t="s">
        <v>680</v>
      </c>
      <c r="P108" t="s">
        <v>247</v>
      </c>
      <c r="Q108" t="s">
        <v>245</v>
      </c>
    </row>
    <row r="109" spans="2:17">
      <c r="B109" s="327"/>
      <c r="C109" s="3">
        <v>0</v>
      </c>
      <c r="D109" t="s">
        <v>378</v>
      </c>
      <c r="E109" t="s">
        <v>13</v>
      </c>
      <c r="F109" t="s">
        <v>245</v>
      </c>
      <c r="M109" s="327"/>
      <c r="N109" s="3">
        <v>0</v>
      </c>
      <c r="O109" t="s">
        <v>378</v>
      </c>
      <c r="P109" t="s">
        <v>13</v>
      </c>
      <c r="Q109" t="s">
        <v>245</v>
      </c>
    </row>
    <row r="110" spans="2:17">
      <c r="B110" s="327"/>
      <c r="M110" s="327"/>
    </row>
    <row r="111" spans="2:17">
      <c r="B111" s="327">
        <v>46134</v>
      </c>
      <c r="C111" s="3">
        <v>18</v>
      </c>
      <c r="D111" t="s">
        <v>415</v>
      </c>
      <c r="E111" t="s">
        <v>248</v>
      </c>
      <c r="F111" t="s">
        <v>245</v>
      </c>
      <c r="M111" s="327">
        <v>46134</v>
      </c>
      <c r="N111" s="3">
        <v>18</v>
      </c>
      <c r="O111" t="s">
        <v>415</v>
      </c>
      <c r="P111" t="s">
        <v>248</v>
      </c>
      <c r="Q111" t="s">
        <v>245</v>
      </c>
    </row>
    <row r="112" spans="2:17">
      <c r="B112" s="327"/>
      <c r="C112" s="3">
        <v>2</v>
      </c>
      <c r="D112" t="s">
        <v>414</v>
      </c>
      <c r="E112" t="s">
        <v>246</v>
      </c>
      <c r="F112" t="s">
        <v>245</v>
      </c>
      <c r="M112" s="327"/>
      <c r="N112" s="3">
        <v>2</v>
      </c>
      <c r="O112" t="s">
        <v>414</v>
      </c>
      <c r="P112" t="s">
        <v>246</v>
      </c>
      <c r="Q112" t="s">
        <v>245</v>
      </c>
    </row>
    <row r="113" spans="2:17">
      <c r="B113" s="327"/>
      <c r="C113" s="3">
        <v>43</v>
      </c>
      <c r="D113" t="s">
        <v>680</v>
      </c>
      <c r="E113" t="s">
        <v>247</v>
      </c>
      <c r="F113" t="s">
        <v>245</v>
      </c>
      <c r="M113" s="327"/>
      <c r="N113" s="3">
        <v>43</v>
      </c>
      <c r="O113" t="s">
        <v>680</v>
      </c>
      <c r="P113" t="s">
        <v>247</v>
      </c>
      <c r="Q113" t="s">
        <v>245</v>
      </c>
    </row>
    <row r="114" spans="2:17">
      <c r="B114" s="327"/>
      <c r="C114" s="3">
        <v>0</v>
      </c>
      <c r="D114" t="s">
        <v>378</v>
      </c>
      <c r="E114" t="s">
        <v>13</v>
      </c>
      <c r="F114" t="s">
        <v>245</v>
      </c>
      <c r="M114" s="327"/>
      <c r="N114" s="3">
        <v>0</v>
      </c>
      <c r="O114" t="s">
        <v>378</v>
      </c>
      <c r="P114" t="s">
        <v>13</v>
      </c>
      <c r="Q114" t="s">
        <v>245</v>
      </c>
    </row>
    <row r="115" spans="2:17">
      <c r="B115" s="327"/>
      <c r="M115" s="327"/>
    </row>
    <row r="116" spans="2:17">
      <c r="B116" s="327">
        <v>46135</v>
      </c>
      <c r="C116" s="3">
        <v>12</v>
      </c>
      <c r="D116" t="s">
        <v>415</v>
      </c>
      <c r="E116" t="s">
        <v>248</v>
      </c>
      <c r="F116" t="s">
        <v>245</v>
      </c>
      <c r="M116" s="327">
        <v>46135</v>
      </c>
      <c r="N116" s="3">
        <v>12</v>
      </c>
      <c r="O116" t="s">
        <v>415</v>
      </c>
      <c r="P116" t="s">
        <v>248</v>
      </c>
      <c r="Q116" t="s">
        <v>245</v>
      </c>
    </row>
    <row r="117" spans="2:17">
      <c r="B117" s="327"/>
      <c r="C117" s="3">
        <v>0</v>
      </c>
      <c r="D117" t="s">
        <v>412</v>
      </c>
      <c r="E117" t="s">
        <v>246</v>
      </c>
      <c r="F117" t="s">
        <v>245</v>
      </c>
      <c r="M117" s="327"/>
      <c r="N117" s="3">
        <v>0</v>
      </c>
      <c r="O117" t="s">
        <v>412</v>
      </c>
      <c r="P117" t="s">
        <v>246</v>
      </c>
      <c r="Q117" t="s">
        <v>245</v>
      </c>
    </row>
    <row r="118" spans="2:17">
      <c r="B118" s="327"/>
      <c r="C118" s="3">
        <v>49</v>
      </c>
      <c r="D118" t="s">
        <v>429</v>
      </c>
      <c r="E118" t="s">
        <v>247</v>
      </c>
      <c r="F118" t="s">
        <v>245</v>
      </c>
      <c r="M118" s="327"/>
      <c r="N118" s="3">
        <v>49</v>
      </c>
      <c r="O118" t="s">
        <v>429</v>
      </c>
      <c r="P118" t="s">
        <v>247</v>
      </c>
      <c r="Q118" t="s">
        <v>245</v>
      </c>
    </row>
    <row r="119" spans="2:17">
      <c r="B119" s="327"/>
      <c r="C119" s="3">
        <v>0</v>
      </c>
      <c r="D119" t="s">
        <v>378</v>
      </c>
      <c r="E119" t="s">
        <v>13</v>
      </c>
      <c r="F119" t="s">
        <v>245</v>
      </c>
      <c r="M119" s="327"/>
      <c r="N119" s="3">
        <v>0</v>
      </c>
      <c r="O119" t="s">
        <v>378</v>
      </c>
      <c r="P119" t="s">
        <v>13</v>
      </c>
      <c r="Q119" t="s">
        <v>245</v>
      </c>
    </row>
    <row r="120" spans="2:17">
      <c r="B120" s="327"/>
      <c r="M120" s="327"/>
    </row>
    <row r="121" spans="2:17">
      <c r="B121" s="327">
        <v>46136</v>
      </c>
      <c r="C121" s="3">
        <v>22</v>
      </c>
      <c r="D121" t="s">
        <v>692</v>
      </c>
      <c r="E121" t="s">
        <v>248</v>
      </c>
      <c r="F121" t="s">
        <v>245</v>
      </c>
      <c r="M121" s="327">
        <v>46136</v>
      </c>
      <c r="N121" s="3">
        <v>22</v>
      </c>
      <c r="O121" t="s">
        <v>692</v>
      </c>
      <c r="P121" t="s">
        <v>248</v>
      </c>
      <c r="Q121" t="s">
        <v>245</v>
      </c>
    </row>
    <row r="122" spans="2:17">
      <c r="B122" s="327"/>
      <c r="C122" s="3">
        <v>2</v>
      </c>
      <c r="D122" t="s">
        <v>414</v>
      </c>
      <c r="E122" t="s">
        <v>246</v>
      </c>
      <c r="F122" t="s">
        <v>245</v>
      </c>
      <c r="M122" s="327"/>
      <c r="N122" s="3">
        <v>2</v>
      </c>
      <c r="O122" t="s">
        <v>414</v>
      </c>
      <c r="P122" t="s">
        <v>246</v>
      </c>
      <c r="Q122" t="s">
        <v>245</v>
      </c>
    </row>
    <row r="123" spans="2:17">
      <c r="B123" s="327"/>
      <c r="C123" s="3">
        <v>41</v>
      </c>
      <c r="D123" t="s">
        <v>467</v>
      </c>
      <c r="E123" t="s">
        <v>247</v>
      </c>
      <c r="F123" t="s">
        <v>245</v>
      </c>
      <c r="M123" s="327"/>
      <c r="N123" s="3">
        <v>41</v>
      </c>
      <c r="O123" t="s">
        <v>467</v>
      </c>
      <c r="P123" t="s">
        <v>247</v>
      </c>
      <c r="Q123" t="s">
        <v>245</v>
      </c>
    </row>
    <row r="124" spans="2:17">
      <c r="B124" s="327"/>
      <c r="C124" s="3">
        <v>0</v>
      </c>
      <c r="D124" t="s">
        <v>378</v>
      </c>
      <c r="E124" t="s">
        <v>13</v>
      </c>
      <c r="F124" t="s">
        <v>245</v>
      </c>
      <c r="M124" s="327"/>
      <c r="N124" s="3">
        <v>0</v>
      </c>
      <c r="O124" t="s">
        <v>378</v>
      </c>
      <c r="P124" t="s">
        <v>13</v>
      </c>
      <c r="Q124" t="s">
        <v>245</v>
      </c>
    </row>
    <row r="125" spans="2:17">
      <c r="B125" s="327"/>
      <c r="M125" s="327"/>
    </row>
    <row r="126" spans="2:17">
      <c r="B126" s="327">
        <v>46137</v>
      </c>
      <c r="C126" s="3">
        <v>18</v>
      </c>
      <c r="D126" t="s">
        <v>719</v>
      </c>
      <c r="E126" t="s">
        <v>248</v>
      </c>
      <c r="F126" t="s">
        <v>245</v>
      </c>
      <c r="M126" s="327">
        <v>46137</v>
      </c>
      <c r="N126" s="3">
        <v>18</v>
      </c>
      <c r="O126" t="s">
        <v>719</v>
      </c>
      <c r="P126" t="s">
        <v>248</v>
      </c>
      <c r="Q126" t="s">
        <v>245</v>
      </c>
    </row>
    <row r="127" spans="2:17">
      <c r="B127" s="327"/>
      <c r="C127" s="3">
        <v>3</v>
      </c>
      <c r="D127" t="s">
        <v>414</v>
      </c>
      <c r="E127" t="s">
        <v>246</v>
      </c>
      <c r="F127" t="s">
        <v>245</v>
      </c>
      <c r="M127" s="327"/>
      <c r="N127" s="3">
        <v>3</v>
      </c>
      <c r="O127" t="s">
        <v>414</v>
      </c>
      <c r="P127" t="s">
        <v>246</v>
      </c>
      <c r="Q127" t="s">
        <v>245</v>
      </c>
    </row>
    <row r="128" spans="2:17">
      <c r="B128" s="327"/>
      <c r="C128" s="3">
        <v>42</v>
      </c>
      <c r="D128" t="s">
        <v>467</v>
      </c>
      <c r="E128" t="s">
        <v>247</v>
      </c>
      <c r="F128" t="s">
        <v>245</v>
      </c>
      <c r="M128" s="327"/>
      <c r="N128" s="3">
        <v>42</v>
      </c>
      <c r="O128" t="s">
        <v>467</v>
      </c>
      <c r="P128" t="s">
        <v>247</v>
      </c>
      <c r="Q128" t="s">
        <v>245</v>
      </c>
    </row>
    <row r="129" spans="2:18">
      <c r="B129" s="327"/>
      <c r="C129" s="3">
        <v>0</v>
      </c>
      <c r="D129" t="s">
        <v>378</v>
      </c>
      <c r="E129" t="s">
        <v>13</v>
      </c>
      <c r="F129" t="s">
        <v>245</v>
      </c>
      <c r="M129" s="327"/>
      <c r="N129" s="3">
        <v>0</v>
      </c>
      <c r="O129" t="s">
        <v>378</v>
      </c>
      <c r="P129" t="s">
        <v>13</v>
      </c>
      <c r="Q129" t="s">
        <v>245</v>
      </c>
    </row>
    <row r="130" spans="2:18">
      <c r="B130" s="327"/>
      <c r="M130" s="327"/>
    </row>
    <row r="131" spans="2:18">
      <c r="B131" s="327">
        <v>46138</v>
      </c>
      <c r="C131" s="3">
        <v>8</v>
      </c>
      <c r="D131" t="s">
        <v>493</v>
      </c>
      <c r="E131" t="s">
        <v>248</v>
      </c>
      <c r="F131" t="s">
        <v>245</v>
      </c>
      <c r="M131" s="327">
        <v>46138</v>
      </c>
      <c r="N131" s="3">
        <v>8</v>
      </c>
      <c r="O131" t="s">
        <v>493</v>
      </c>
      <c r="P131" t="s">
        <v>248</v>
      </c>
      <c r="Q131" t="s">
        <v>245</v>
      </c>
    </row>
    <row r="132" spans="2:18">
      <c r="B132" s="327"/>
      <c r="C132" s="3">
        <v>0</v>
      </c>
      <c r="D132" t="s">
        <v>412</v>
      </c>
      <c r="E132" t="s">
        <v>246</v>
      </c>
      <c r="F132" t="s">
        <v>245</v>
      </c>
      <c r="M132" s="327"/>
      <c r="N132" s="3">
        <v>0</v>
      </c>
      <c r="O132" t="s">
        <v>412</v>
      </c>
      <c r="P132" t="s">
        <v>246</v>
      </c>
      <c r="Q132" t="s">
        <v>245</v>
      </c>
    </row>
    <row r="133" spans="2:18">
      <c r="B133" s="327"/>
      <c r="C133" s="3">
        <v>52</v>
      </c>
      <c r="D133" t="s">
        <v>720</v>
      </c>
      <c r="E133" t="s">
        <v>247</v>
      </c>
      <c r="F133" t="s">
        <v>245</v>
      </c>
      <c r="M133" s="327"/>
      <c r="N133" s="3">
        <v>52</v>
      </c>
      <c r="O133" t="s">
        <v>720</v>
      </c>
      <c r="P133" t="s">
        <v>247</v>
      </c>
      <c r="Q133" t="s">
        <v>245</v>
      </c>
    </row>
    <row r="134" spans="2:18">
      <c r="B134" s="327"/>
      <c r="C134" s="3">
        <v>0</v>
      </c>
      <c r="D134" t="s">
        <v>378</v>
      </c>
      <c r="E134" t="s">
        <v>13</v>
      </c>
      <c r="F134" t="s">
        <v>245</v>
      </c>
      <c r="M134" s="327"/>
      <c r="N134" s="3">
        <v>0</v>
      </c>
      <c r="O134" t="s">
        <v>378</v>
      </c>
      <c r="P134" t="s">
        <v>13</v>
      </c>
      <c r="Q134" t="s">
        <v>245</v>
      </c>
    </row>
    <row r="135" spans="2:18">
      <c r="B135" s="327"/>
      <c r="M135" s="327"/>
    </row>
    <row r="136" spans="2:18">
      <c r="B136" s="327">
        <v>46139</v>
      </c>
      <c r="C136" s="3">
        <v>15</v>
      </c>
      <c r="D136" t="s">
        <v>415</v>
      </c>
      <c r="E136" t="s">
        <v>248</v>
      </c>
      <c r="F136" t="s">
        <v>245</v>
      </c>
      <c r="M136" s="327">
        <v>46139</v>
      </c>
      <c r="N136" s="3">
        <v>15</v>
      </c>
      <c r="O136" t="s">
        <v>415</v>
      </c>
      <c r="P136" t="s">
        <v>248</v>
      </c>
      <c r="Q136" t="s">
        <v>245</v>
      </c>
    </row>
    <row r="137" spans="2:18">
      <c r="B137" s="327"/>
      <c r="C137" s="3">
        <v>0</v>
      </c>
      <c r="D137" t="s">
        <v>412</v>
      </c>
      <c r="E137" t="s">
        <v>246</v>
      </c>
      <c r="F137" t="s">
        <v>245</v>
      </c>
      <c r="M137" s="327"/>
      <c r="N137" s="3">
        <v>0</v>
      </c>
      <c r="O137" t="s">
        <v>412</v>
      </c>
      <c r="P137" t="s">
        <v>246</v>
      </c>
      <c r="Q137" t="s">
        <v>245</v>
      </c>
    </row>
    <row r="138" spans="2:18" ht="12.75" customHeight="1">
      <c r="B138" s="327"/>
      <c r="C138" s="3">
        <v>53</v>
      </c>
      <c r="D138" t="s">
        <v>720</v>
      </c>
      <c r="E138" t="s">
        <v>247</v>
      </c>
      <c r="F138" t="s">
        <v>245</v>
      </c>
      <c r="M138" s="327"/>
      <c r="N138" s="3">
        <v>53</v>
      </c>
      <c r="O138" t="s">
        <v>720</v>
      </c>
      <c r="P138" t="s">
        <v>247</v>
      </c>
      <c r="Q138" t="s">
        <v>245</v>
      </c>
    </row>
    <row r="139" spans="2:18">
      <c r="B139" s="327"/>
      <c r="C139" s="3">
        <v>0</v>
      </c>
      <c r="D139" t="s">
        <v>378</v>
      </c>
      <c r="E139" t="s">
        <v>13</v>
      </c>
      <c r="F139" t="s">
        <v>245</v>
      </c>
      <c r="M139" s="327"/>
      <c r="N139" s="3">
        <v>0</v>
      </c>
      <c r="O139" t="s">
        <v>378</v>
      </c>
      <c r="P139" t="s">
        <v>13</v>
      </c>
      <c r="Q139" t="s">
        <v>245</v>
      </c>
    </row>
    <row r="140" spans="2:18">
      <c r="B140" s="327"/>
      <c r="M140" s="327"/>
    </row>
    <row r="141" spans="2:18">
      <c r="B141" s="327">
        <v>46140</v>
      </c>
      <c r="C141" s="3">
        <v>12</v>
      </c>
      <c r="D141" t="s">
        <v>494</v>
      </c>
      <c r="E141" t="s">
        <v>248</v>
      </c>
      <c r="F141" t="s">
        <v>245</v>
      </c>
      <c r="M141" s="327">
        <v>46140</v>
      </c>
      <c r="N141" s="3">
        <v>12</v>
      </c>
      <c r="O141" t="s">
        <v>494</v>
      </c>
      <c r="P141" t="s">
        <v>248</v>
      </c>
      <c r="Q141" t="s">
        <v>245</v>
      </c>
    </row>
    <row r="142" spans="2:18">
      <c r="B142" s="327"/>
      <c r="C142" s="3">
        <v>2</v>
      </c>
      <c r="D142" t="s">
        <v>414</v>
      </c>
      <c r="E142" t="s">
        <v>246</v>
      </c>
      <c r="F142" t="s">
        <v>245</v>
      </c>
      <c r="M142" s="327"/>
      <c r="N142" s="3">
        <v>2</v>
      </c>
      <c r="O142" t="s">
        <v>414</v>
      </c>
      <c r="P142" t="s">
        <v>246</v>
      </c>
      <c r="Q142" t="s">
        <v>245</v>
      </c>
    </row>
    <row r="143" spans="2:18">
      <c r="B143" s="327"/>
      <c r="C143" s="3">
        <v>52</v>
      </c>
      <c r="D143" t="s">
        <v>429</v>
      </c>
      <c r="E143" t="s">
        <v>247</v>
      </c>
      <c r="F143" t="s">
        <v>245</v>
      </c>
      <c r="M143" s="327"/>
      <c r="N143" s="3">
        <v>52</v>
      </c>
      <c r="O143" t="s">
        <v>429</v>
      </c>
      <c r="P143" t="s">
        <v>247</v>
      </c>
      <c r="Q143" t="s">
        <v>245</v>
      </c>
    </row>
    <row r="144" spans="2:18">
      <c r="B144" s="327"/>
      <c r="C144" s="3">
        <v>7</v>
      </c>
      <c r="D144" t="s">
        <v>744</v>
      </c>
      <c r="E144" t="s">
        <v>775</v>
      </c>
      <c r="F144" t="s">
        <v>308</v>
      </c>
      <c r="M144" s="327"/>
      <c r="N144" s="3">
        <v>0</v>
      </c>
      <c r="O144" t="s">
        <v>744</v>
      </c>
      <c r="P144" t="s">
        <v>775</v>
      </c>
      <c r="Q144" t="s">
        <v>308</v>
      </c>
      <c r="R144" s="512">
        <f>+summary!Q52</f>
        <v>0</v>
      </c>
    </row>
    <row r="145" spans="2:17">
      <c r="B145" s="327"/>
      <c r="G145" s="512">
        <f>+summary!H52</f>
        <v>0</v>
      </c>
      <c r="M145" s="327"/>
    </row>
    <row r="146" spans="2:17">
      <c r="B146" s="327">
        <v>46141</v>
      </c>
      <c r="C146" s="3">
        <v>12</v>
      </c>
      <c r="D146" t="s">
        <v>453</v>
      </c>
      <c r="E146" t="s">
        <v>248</v>
      </c>
      <c r="F146" t="s">
        <v>245</v>
      </c>
      <c r="M146" s="327">
        <v>46141</v>
      </c>
      <c r="N146" s="3">
        <v>12</v>
      </c>
      <c r="O146" t="s">
        <v>453</v>
      </c>
      <c r="P146" t="s">
        <v>248</v>
      </c>
      <c r="Q146" t="s">
        <v>245</v>
      </c>
    </row>
    <row r="147" spans="2:17">
      <c r="B147" s="327"/>
      <c r="C147" s="3">
        <v>0</v>
      </c>
      <c r="D147" t="s">
        <v>412</v>
      </c>
      <c r="E147" t="s">
        <v>246</v>
      </c>
      <c r="F147" t="s">
        <v>245</v>
      </c>
      <c r="M147" s="327"/>
      <c r="N147" s="3">
        <v>0</v>
      </c>
      <c r="O147" t="s">
        <v>412</v>
      </c>
      <c r="P147" t="s">
        <v>246</v>
      </c>
      <c r="Q147" t="s">
        <v>245</v>
      </c>
    </row>
    <row r="148" spans="2:17">
      <c r="B148" s="327"/>
      <c r="C148" s="3">
        <v>46</v>
      </c>
      <c r="D148" t="s">
        <v>388</v>
      </c>
      <c r="E148" t="s">
        <v>247</v>
      </c>
      <c r="F148" t="s">
        <v>245</v>
      </c>
      <c r="M148" s="327"/>
      <c r="N148" s="3">
        <v>46</v>
      </c>
      <c r="O148" t="s">
        <v>388</v>
      </c>
      <c r="P148" t="s">
        <v>247</v>
      </c>
      <c r="Q148" t="s">
        <v>245</v>
      </c>
    </row>
    <row r="149" spans="2:17">
      <c r="B149" s="327"/>
      <c r="C149" s="3">
        <v>236</v>
      </c>
      <c r="D149" t="s">
        <v>767</v>
      </c>
      <c r="E149" t="s">
        <v>776</v>
      </c>
      <c r="F149" t="s">
        <v>307</v>
      </c>
      <c r="M149" s="327"/>
      <c r="N149" s="3">
        <v>0</v>
      </c>
      <c r="O149" t="s">
        <v>767</v>
      </c>
      <c r="P149" t="s">
        <v>776</v>
      </c>
      <c r="Q149" t="s">
        <v>307</v>
      </c>
    </row>
    <row r="150" spans="2:17">
      <c r="B150" s="327"/>
      <c r="C150" s="3">
        <v>40</v>
      </c>
      <c r="D150" t="s">
        <v>766</v>
      </c>
      <c r="E150" t="s">
        <v>775</v>
      </c>
      <c r="F150" t="s">
        <v>308</v>
      </c>
      <c r="M150" s="327"/>
      <c r="N150" s="3">
        <v>0</v>
      </c>
      <c r="O150" t="s">
        <v>766</v>
      </c>
      <c r="P150" t="s">
        <v>775</v>
      </c>
      <c r="Q150" t="s">
        <v>308</v>
      </c>
    </row>
    <row r="151" spans="2:17">
      <c r="B151" s="327"/>
      <c r="M151" s="327"/>
    </row>
    <row r="152" spans="2:17">
      <c r="B152" s="327">
        <v>46142</v>
      </c>
      <c r="C152" s="3">
        <v>21</v>
      </c>
      <c r="D152" t="s">
        <v>453</v>
      </c>
      <c r="E152" t="s">
        <v>248</v>
      </c>
      <c r="F152" t="s">
        <v>245</v>
      </c>
      <c r="M152" s="327">
        <v>46142</v>
      </c>
      <c r="N152" s="3">
        <v>21</v>
      </c>
      <c r="O152" t="s">
        <v>453</v>
      </c>
      <c r="P152" t="s">
        <v>248</v>
      </c>
      <c r="Q152" t="s">
        <v>245</v>
      </c>
    </row>
    <row r="153" spans="2:17">
      <c r="B153" s="327"/>
      <c r="C153" s="3">
        <v>2</v>
      </c>
      <c r="D153" t="s">
        <v>412</v>
      </c>
      <c r="E153" t="s">
        <v>246</v>
      </c>
      <c r="F153" t="s">
        <v>245</v>
      </c>
      <c r="M153" s="327"/>
      <c r="N153" s="3">
        <v>2</v>
      </c>
      <c r="O153" t="s">
        <v>412</v>
      </c>
      <c r="P153" t="s">
        <v>246</v>
      </c>
      <c r="Q153" t="s">
        <v>245</v>
      </c>
    </row>
    <row r="154" spans="2:17">
      <c r="B154" s="327"/>
      <c r="C154" s="3">
        <v>45</v>
      </c>
      <c r="D154" t="s">
        <v>388</v>
      </c>
      <c r="E154" t="s">
        <v>247</v>
      </c>
      <c r="F154" t="s">
        <v>245</v>
      </c>
      <c r="M154" s="327"/>
      <c r="N154" s="3">
        <v>45</v>
      </c>
      <c r="O154" t="s">
        <v>388</v>
      </c>
      <c r="P154" t="s">
        <v>247</v>
      </c>
      <c r="Q154" t="s">
        <v>245</v>
      </c>
    </row>
    <row r="155" spans="2:17">
      <c r="B155" s="327"/>
      <c r="C155" s="3">
        <v>198</v>
      </c>
      <c r="D155" t="s">
        <v>815</v>
      </c>
      <c r="E155" t="s">
        <v>776</v>
      </c>
      <c r="F155" t="s">
        <v>307</v>
      </c>
      <c r="M155" s="327"/>
      <c r="N155" s="3">
        <v>0</v>
      </c>
      <c r="O155" t="s">
        <v>815</v>
      </c>
      <c r="P155" t="s">
        <v>776</v>
      </c>
      <c r="Q155" t="s">
        <v>307</v>
      </c>
    </row>
  </sheetData>
  <autoFilter ref="B1:F121"/>
  <conditionalFormatting sqref="G1:G7 R1:R7 R9:R76 R144 G9:G68 G70:G115 G117:G1048576">
    <cfRule type="cellIs" dxfId="7" priority="2" operator="greaterThan">
      <formula>0</formula>
    </cfRule>
  </conditionalFormatting>
  <conditionalFormatting sqref="R78:R104 R106:R143 R145:R1048576">
    <cfRule type="cellIs" dxfId="6" priority="1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28" workbookViewId="0">
      <selection activeCell="J1" sqref="J1:Q42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7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7" customWidth="1"/>
    <col min="13" max="17" width="13.5703125" customWidth="1"/>
  </cols>
  <sheetData>
    <row r="1" spans="1:17" ht="15">
      <c r="A1" s="421" t="s">
        <v>268</v>
      </c>
      <c r="E1" s="452"/>
      <c r="F1" s="1"/>
      <c r="J1" s="421" t="s">
        <v>373</v>
      </c>
      <c r="N1" s="452"/>
      <c r="O1" s="1"/>
    </row>
    <row r="2" spans="1:17" ht="30">
      <c r="A2" s="730" t="s">
        <v>229</v>
      </c>
      <c r="B2" s="730" t="s">
        <v>230</v>
      </c>
      <c r="C2" s="731" t="s">
        <v>231</v>
      </c>
      <c r="D2" s="453" t="s">
        <v>232</v>
      </c>
      <c r="E2" s="546" t="s">
        <v>233</v>
      </c>
      <c r="F2" s="455" t="s">
        <v>234</v>
      </c>
      <c r="G2" s="546" t="s">
        <v>235</v>
      </c>
      <c r="H2" s="546" t="s">
        <v>236</v>
      </c>
      <c r="J2" s="730" t="s">
        <v>229</v>
      </c>
      <c r="K2" s="730" t="s">
        <v>230</v>
      </c>
      <c r="L2" s="729" t="s">
        <v>231</v>
      </c>
      <c r="M2" s="453" t="s">
        <v>232</v>
      </c>
      <c r="N2" s="546" t="s">
        <v>233</v>
      </c>
      <c r="O2" s="455" t="s">
        <v>234</v>
      </c>
      <c r="P2" s="546" t="s">
        <v>235</v>
      </c>
      <c r="Q2" s="546" t="s">
        <v>236</v>
      </c>
    </row>
    <row r="3" spans="1:17" ht="15">
      <c r="A3" s="730"/>
      <c r="B3" s="730"/>
      <c r="C3" s="732"/>
      <c r="D3" s="453" t="s">
        <v>819</v>
      </c>
      <c r="E3" s="453" t="str">
        <f>+D3</f>
        <v>APRIL</v>
      </c>
      <c r="F3" s="453" t="str">
        <f>+E3</f>
        <v>APRIL</v>
      </c>
      <c r="G3" s="453" t="str">
        <f>+F3</f>
        <v>APRIL</v>
      </c>
      <c r="H3" s="453" t="str">
        <f>+G3</f>
        <v>APRIL</v>
      </c>
      <c r="J3" s="730"/>
      <c r="K3" s="730"/>
      <c r="L3" s="729"/>
      <c r="M3" s="453" t="str">
        <f>+H3</f>
        <v>APRIL</v>
      </c>
      <c r="N3" s="453" t="str">
        <f>+M3</f>
        <v>APRIL</v>
      </c>
      <c r="O3" s="453" t="str">
        <f>+N3</f>
        <v>APRIL</v>
      </c>
      <c r="P3" s="453" t="str">
        <f>+O3</f>
        <v>APRIL</v>
      </c>
      <c r="Q3" s="453" t="str">
        <f>+P3</f>
        <v>APRIL</v>
      </c>
    </row>
    <row r="4" spans="1:17" ht="15">
      <c r="A4" s="733" t="s">
        <v>237</v>
      </c>
      <c r="B4" s="545" t="s">
        <v>301</v>
      </c>
      <c r="C4" s="548"/>
      <c r="D4" s="6">
        <f>SUMIFS(Sheet1!$C$2:$C$180,Sheet1!$F$2:$F$180,B4,Sheet1!$E$2:$E$180,C4)</f>
        <v>0</v>
      </c>
      <c r="E4" s="6">
        <f>D4/Sheet1!$I$9*Sheet1!$I$10</f>
        <v>0</v>
      </c>
      <c r="F4" s="470">
        <f>D4/Sheet1!$I$9*Sheet1!$I$11</f>
        <v>0</v>
      </c>
      <c r="G4" s="544">
        <f>F4</f>
        <v>0</v>
      </c>
      <c r="H4" s="734">
        <f>SUM(G4:G11)</f>
        <v>2.2062962956468951E-2</v>
      </c>
      <c r="J4" s="733" t="s">
        <v>237</v>
      </c>
      <c r="K4" s="589" t="s">
        <v>301</v>
      </c>
      <c r="L4" s="548"/>
      <c r="M4" s="6">
        <f>SUMIFS(Sheet1!$N$2:$N$180,Sheet1!$Q$2:$Q$180,K4,Sheet1!$P$2:$P$180,L4)</f>
        <v>0</v>
      </c>
      <c r="N4" s="6">
        <f>M4/Sheet1!$T$9*Sheet1!$T$10</f>
        <v>0</v>
      </c>
      <c r="O4" s="470">
        <f>M4/Sheet1!$T$9*Sheet1!$T$11</f>
        <v>0</v>
      </c>
      <c r="P4" s="544">
        <f>O4</f>
        <v>0</v>
      </c>
      <c r="Q4" s="734">
        <f>SUM(P4:P11)</f>
        <v>5.3569972259295265E-3</v>
      </c>
    </row>
    <row r="5" spans="1:17" ht="15">
      <c r="A5" s="733"/>
      <c r="B5" s="545" t="s">
        <v>238</v>
      </c>
      <c r="C5" s="548"/>
      <c r="D5" s="6">
        <f>SUMIFS(Sheet1!$C$2:$C$180,Sheet1!$F$2:$F$180,B5,Sheet1!$E$2:$E$180,C5)</f>
        <v>0</v>
      </c>
      <c r="E5" s="6">
        <f>D5/Sheet1!$I$9*Sheet1!$I$10</f>
        <v>0</v>
      </c>
      <c r="F5" s="470">
        <f>D5/Sheet1!$I$9*Sheet1!$I$11</f>
        <v>0</v>
      </c>
      <c r="G5" s="549">
        <f t="shared" ref="G5:G14" si="0">F5</f>
        <v>0</v>
      </c>
      <c r="H5" s="733"/>
      <c r="J5" s="733"/>
      <c r="K5" s="589" t="s">
        <v>238</v>
      </c>
      <c r="L5" s="548"/>
      <c r="M5" s="6">
        <f>SUMIFS(Sheet1!$N$2:$N$180,Sheet1!$Q$2:$Q$180,K5,Sheet1!$P$2:$P$180,L5)</f>
        <v>0</v>
      </c>
      <c r="N5" s="6">
        <f>M5/Sheet1!$T$9*Sheet1!$T$10</f>
        <v>0</v>
      </c>
      <c r="O5" s="470">
        <f>M5/Sheet1!$T$9*Sheet1!$T$11</f>
        <v>0</v>
      </c>
      <c r="P5" s="549">
        <f t="shared" ref="P5:P14" si="1">O5</f>
        <v>0</v>
      </c>
      <c r="Q5" s="733"/>
    </row>
    <row r="6" spans="1:17" ht="15">
      <c r="A6" s="733"/>
      <c r="B6" s="592" t="s">
        <v>307</v>
      </c>
      <c r="C6" s="548" t="s">
        <v>776</v>
      </c>
      <c r="D6" s="6">
        <f>SUMIFS(Sheet1!$C$2:$C$180,Sheet1!$F$2:$F$180,B6,Sheet1!$E$2:$E$180,C6)</f>
        <v>434</v>
      </c>
      <c r="E6" s="6">
        <f>D6/Sheet1!$I$9*Sheet1!$I$10</f>
        <v>14.265039441788764</v>
      </c>
      <c r="F6" s="470">
        <f>D6/Sheet1!$I$9*Sheet1!$I$11</f>
        <v>1.0419288273239962E-2</v>
      </c>
      <c r="G6" s="549">
        <f t="shared" si="0"/>
        <v>1.0419288273239962E-2</v>
      </c>
      <c r="H6" s="733"/>
      <c r="J6" s="733"/>
      <c r="K6" s="592" t="s">
        <v>307</v>
      </c>
      <c r="L6" s="548"/>
      <c r="M6" s="6">
        <f>SUMIFS(Sheet1!$N$2:$N$180,Sheet1!$Q$2:$Q$180,K6,Sheet1!$P$2:$P$180,L6)</f>
        <v>0</v>
      </c>
      <c r="N6" s="6">
        <f>M6/Sheet1!$T$9*Sheet1!$T$10</f>
        <v>0</v>
      </c>
      <c r="O6" s="470">
        <f>M6/Sheet1!$T$9*Sheet1!$T$11</f>
        <v>0</v>
      </c>
      <c r="P6" s="549">
        <f t="shared" si="1"/>
        <v>0</v>
      </c>
      <c r="Q6" s="733"/>
    </row>
    <row r="7" spans="1:17" ht="15">
      <c r="A7" s="733"/>
      <c r="B7" s="592" t="s">
        <v>308</v>
      </c>
      <c r="C7" s="548" t="s">
        <v>775</v>
      </c>
      <c r="D7" s="6">
        <f>SUMIFS(Sheet1!$C$2:$C$180,Sheet1!$F$2:$F$180,B7,Sheet1!$E$2:$E$180,C7)</f>
        <v>47</v>
      </c>
      <c r="E7" s="6">
        <f>D7/Sheet1!$I$9*Sheet1!$I$10</f>
        <v>1.5448314602858799</v>
      </c>
      <c r="F7" s="470">
        <f>D7/Sheet1!$I$9*Sheet1!$I$11</f>
        <v>1.1283561033232218E-3</v>
      </c>
      <c r="G7" s="549">
        <f t="shared" si="0"/>
        <v>1.1283561033232218E-3</v>
      </c>
      <c r="H7" s="733"/>
      <c r="J7" s="733"/>
      <c r="K7" s="592" t="s">
        <v>308</v>
      </c>
      <c r="L7" s="548" t="s">
        <v>775</v>
      </c>
      <c r="M7" s="6">
        <f>SUMIFS(Sheet1!$N$2:$N$180,Sheet1!$Q$2:$Q$180,K7,Sheet1!$P$2:$P$180,L7)</f>
        <v>0</v>
      </c>
      <c r="N7" s="6">
        <f>M7/Sheet1!$T$9*Sheet1!$T$10</f>
        <v>0</v>
      </c>
      <c r="O7" s="470">
        <f>M7/Sheet1!$T$9*Sheet1!$T$11</f>
        <v>0</v>
      </c>
      <c r="P7" s="549">
        <f t="shared" si="1"/>
        <v>0</v>
      </c>
      <c r="Q7" s="733"/>
    </row>
    <row r="8" spans="1:17">
      <c r="A8" s="733"/>
      <c r="B8" s="735" t="s">
        <v>741</v>
      </c>
      <c r="C8" s="548" t="s">
        <v>740</v>
      </c>
      <c r="D8" s="6">
        <f>SUMIFS(Sheet1!$C$2:$C$180,Sheet1!$F$2:$F$180,B8,Sheet1!$E$2:$E$180,C8)</f>
        <v>11</v>
      </c>
      <c r="E8" s="6">
        <f>D8/Sheet1!$I$9*Sheet1!$I$10</f>
        <v>0.36155629921584426</v>
      </c>
      <c r="F8" s="470">
        <f>D8/Sheet1!$I$9*Sheet1!$I$11</f>
        <v>2.6408334333096682E-4</v>
      </c>
      <c r="G8" s="550">
        <f t="shared" si="0"/>
        <v>2.6408334333096682E-4</v>
      </c>
      <c r="H8" s="733"/>
      <c r="J8" s="733"/>
      <c r="K8" s="735" t="s">
        <v>741</v>
      </c>
      <c r="L8" s="548" t="s">
        <v>740</v>
      </c>
      <c r="M8" s="6">
        <f>SUMIFS(Sheet1!$N$2:$N$180,Sheet1!$Q$2:$Q$180,K8,Sheet1!$P$2:$P$180,L8)</f>
        <v>11</v>
      </c>
      <c r="N8" s="6">
        <f>M8/Sheet1!$T$9*Sheet1!$T$10</f>
        <v>0.36763791042205946</v>
      </c>
      <c r="O8" s="470">
        <f>M8/Sheet1!$T$9*Sheet1!$T$11</f>
        <v>2.7281004391307772E-4</v>
      </c>
      <c r="P8" s="550">
        <f t="shared" si="1"/>
        <v>2.7281004391307772E-4</v>
      </c>
      <c r="Q8" s="733"/>
    </row>
    <row r="9" spans="1:17">
      <c r="A9" s="733"/>
      <c r="B9" s="736"/>
      <c r="C9" s="548"/>
      <c r="D9" s="6">
        <f>SUMIFS(Sheet1!$C$2:$C$180,Sheet1!$F$2:$F$180,B8,Sheet1!$E$2:$E$180,C9)</f>
        <v>0</v>
      </c>
      <c r="E9" s="6">
        <f>D9/Sheet1!$I$9*Sheet1!$I$10</f>
        <v>0</v>
      </c>
      <c r="F9" s="470">
        <f>D9/Sheet1!$I$9*Sheet1!$I$11</f>
        <v>0</v>
      </c>
      <c r="G9" s="550">
        <f t="shared" si="0"/>
        <v>0</v>
      </c>
      <c r="H9" s="733"/>
      <c r="J9" s="733"/>
      <c r="K9" s="736"/>
      <c r="L9" s="548"/>
      <c r="M9" s="6">
        <f>SUMIFS(Sheet1!$N$2:$N$180,Sheet1!$Q$2:$Q$180,K8,Sheet1!$P$2:$P$180,L9)</f>
        <v>0</v>
      </c>
      <c r="N9" s="6">
        <f>M9/Sheet1!$T$9*Sheet1!$T$10</f>
        <v>0</v>
      </c>
      <c r="O9" s="470">
        <f>M9/Sheet1!$T$9*Sheet1!$T$11</f>
        <v>0</v>
      </c>
      <c r="P9" s="550">
        <f t="shared" si="1"/>
        <v>0</v>
      </c>
      <c r="Q9" s="733"/>
    </row>
    <row r="10" spans="1:17">
      <c r="A10" s="733"/>
      <c r="B10" s="735" t="s">
        <v>374</v>
      </c>
      <c r="C10" s="548" t="s">
        <v>739</v>
      </c>
      <c r="D10" s="6">
        <f>SUMIFS(Sheet1!$C$2:$C$180,Sheet1!$F$2:$F$180,B10,Sheet1!$E$2:$E$180,C10)</f>
        <v>427</v>
      </c>
      <c r="E10" s="6">
        <f>D10/Sheet1!$I$9*Sheet1!$I$10</f>
        <v>14.034958160469591</v>
      </c>
      <c r="F10" s="470">
        <f>D10/Sheet1!$I$9*Sheet1!$I$11</f>
        <v>1.0251235236574802E-2</v>
      </c>
      <c r="G10" s="550">
        <f t="shared" si="0"/>
        <v>1.0251235236574802E-2</v>
      </c>
      <c r="H10" s="733"/>
      <c r="J10" s="733"/>
      <c r="K10" s="735" t="s">
        <v>374</v>
      </c>
      <c r="L10" s="548" t="s">
        <v>739</v>
      </c>
      <c r="M10" s="6">
        <f>SUMIFS(Sheet1!$N$2:$N$180,Sheet1!$Q$2:$Q$180,K10,Sheet1!$P$2:$P$180,L10)</f>
        <v>205</v>
      </c>
      <c r="N10" s="6">
        <f>M10/Sheet1!$T$9*Sheet1!$T$10</f>
        <v>6.8514337851383802</v>
      </c>
      <c r="O10" s="470">
        <f>M10/Sheet1!$T$9*Sheet1!$T$11</f>
        <v>5.0841871820164483E-3</v>
      </c>
      <c r="P10" s="550">
        <f t="shared" si="1"/>
        <v>5.0841871820164483E-3</v>
      </c>
      <c r="Q10" s="733"/>
    </row>
    <row r="11" spans="1:17">
      <c r="A11" s="733"/>
      <c r="B11" s="736"/>
      <c r="C11" s="548"/>
      <c r="D11" s="6">
        <f>SUMIFS(Sheet1!$C$2:$C$180,Sheet1!$F$2:$F$180,B10,Sheet1!$E$2:$E$180,C11)</f>
        <v>0</v>
      </c>
      <c r="E11" s="6">
        <f>D11/Sheet1!$I$9*Sheet1!$I$10</f>
        <v>0</v>
      </c>
      <c r="F11" s="470">
        <f>D11/Sheet1!$I$9*Sheet1!$I$11</f>
        <v>0</v>
      </c>
      <c r="G11" s="550">
        <f t="shared" si="0"/>
        <v>0</v>
      </c>
      <c r="H11" s="733"/>
      <c r="J11" s="733"/>
      <c r="K11" s="736"/>
      <c r="L11" s="548"/>
      <c r="M11" s="6">
        <f>SUMIFS(Sheet1!$N$2:$N$180,Sheet1!$Q$2:$Q$180,K10,Sheet1!$P$2:$P$180,L11)</f>
        <v>0</v>
      </c>
      <c r="N11" s="6">
        <f>M11/Sheet1!$T$9*Sheet1!$T$10</f>
        <v>0</v>
      </c>
      <c r="O11" s="470">
        <f>M11/Sheet1!$T$9*Sheet1!$T$11</f>
        <v>0</v>
      </c>
      <c r="P11" s="550">
        <f t="shared" si="1"/>
        <v>0</v>
      </c>
      <c r="Q11" s="733"/>
    </row>
    <row r="12" spans="1:17" ht="15">
      <c r="A12" s="733" t="s">
        <v>10</v>
      </c>
      <c r="B12" s="545" t="s">
        <v>148</v>
      </c>
      <c r="C12" s="548" t="s">
        <v>148</v>
      </c>
      <c r="D12" s="6"/>
      <c r="E12" s="6">
        <f>+Sheet1!I2</f>
        <v>5.2469999999999999</v>
      </c>
      <c r="F12" s="470">
        <f>E12/Sheet1!$I$8</f>
        <v>3.8324468567213959E-3</v>
      </c>
      <c r="G12" s="549">
        <f t="shared" si="0"/>
        <v>3.8324468567213959E-3</v>
      </c>
      <c r="H12" s="737">
        <f>SUM(G12:G13)</f>
        <v>4.0412517877146246E-2</v>
      </c>
      <c r="J12" s="733" t="s">
        <v>10</v>
      </c>
      <c r="K12" s="545" t="s">
        <v>148</v>
      </c>
      <c r="L12" s="548" t="s">
        <v>148</v>
      </c>
      <c r="M12" s="6"/>
      <c r="N12" s="6">
        <f>+Sheet1!T2</f>
        <v>5.2469999999999999</v>
      </c>
      <c r="O12" s="470">
        <f>+Sheet1!U2</f>
        <v>3.8935981840626521E-3</v>
      </c>
      <c r="P12" s="549">
        <f t="shared" si="1"/>
        <v>3.8935981840626521E-3</v>
      </c>
      <c r="Q12" s="737">
        <f>SUM(P12:P13)</f>
        <v>4.1057348504100817E-2</v>
      </c>
    </row>
    <row r="13" spans="1:17" ht="15">
      <c r="A13" s="733"/>
      <c r="B13" s="545" t="s">
        <v>239</v>
      </c>
      <c r="C13" s="548" t="s">
        <v>240</v>
      </c>
      <c r="D13" s="6"/>
      <c r="E13" s="6">
        <f>+Sheet1!I3</f>
        <v>50.081746680335549</v>
      </c>
      <c r="F13" s="470">
        <f>E13/Sheet1!$I$8</f>
        <v>3.6580071020424848E-2</v>
      </c>
      <c r="G13" s="549">
        <f t="shared" si="0"/>
        <v>3.6580071020424848E-2</v>
      </c>
      <c r="H13" s="738"/>
      <c r="J13" s="733"/>
      <c r="K13" s="545" t="s">
        <v>239</v>
      </c>
      <c r="L13" s="548" t="s">
        <v>240</v>
      </c>
      <c r="M13" s="6"/>
      <c r="N13" s="6">
        <f>+Sheet1!T3</f>
        <v>50.081746680335549</v>
      </c>
      <c r="O13" s="470">
        <f>+Sheet1!U3</f>
        <v>3.7163750320038165E-2</v>
      </c>
      <c r="P13" s="549">
        <f t="shared" si="1"/>
        <v>3.7163750320038165E-2</v>
      </c>
      <c r="Q13" s="738"/>
    </row>
    <row r="14" spans="1:17" ht="15">
      <c r="A14" s="739" t="s">
        <v>12</v>
      </c>
      <c r="B14" s="545" t="s">
        <v>241</v>
      </c>
      <c r="C14" s="548" t="s">
        <v>241</v>
      </c>
      <c r="D14" s="6"/>
      <c r="E14" s="6">
        <f>+Sheet1!I4</f>
        <v>-8.7318547870791061</v>
      </c>
      <c r="F14" s="470">
        <f>E14/Sheet1!$I$8</f>
        <v>-6.377810069008766E-3</v>
      </c>
      <c r="G14" s="549">
        <f t="shared" si="0"/>
        <v>-6.377810069008766E-3</v>
      </c>
      <c r="H14" s="741">
        <f>SUM(G14:G23)</f>
        <v>8.4899727739214698E-2</v>
      </c>
      <c r="J14" s="739" t="s">
        <v>12</v>
      </c>
      <c r="K14" s="545" t="s">
        <v>241</v>
      </c>
      <c r="L14" s="548" t="s">
        <v>241</v>
      </c>
      <c r="M14" s="6"/>
      <c r="N14" s="6">
        <f>+Sheet1!T4</f>
        <v>-7.6802791591573438</v>
      </c>
      <c r="O14" s="470">
        <f>+Sheet1!U4</f>
        <v>-5.6992416594605043E-3</v>
      </c>
      <c r="P14" s="549">
        <f t="shared" si="1"/>
        <v>-5.6992416594605043E-3</v>
      </c>
      <c r="Q14" s="741">
        <f>SUM(P14:P23)</f>
        <v>8.6883985795508864E-2</v>
      </c>
    </row>
    <row r="15" spans="1:17" ht="15">
      <c r="A15" s="740"/>
      <c r="B15" s="545" t="s">
        <v>242</v>
      </c>
      <c r="C15" s="548" t="s">
        <v>242</v>
      </c>
      <c r="D15" s="6"/>
      <c r="E15" s="6">
        <f>+Sheet1!I5</f>
        <v>62.287290981440144</v>
      </c>
      <c r="F15" s="470">
        <f>E15/Sheet1!$I$8</f>
        <v>4.5495089105300403E-2</v>
      </c>
      <c r="G15" s="549">
        <f>F15</f>
        <v>4.5495089105300403E-2</v>
      </c>
      <c r="H15" s="741"/>
      <c r="J15" s="740"/>
      <c r="K15" s="545" t="s">
        <v>242</v>
      </c>
      <c r="L15" s="548" t="s">
        <v>242</v>
      </c>
      <c r="M15" s="6"/>
      <c r="N15" s="6">
        <f>+Sheet1!T5</f>
        <v>61.029805256697877</v>
      </c>
      <c r="O15" s="470">
        <f>+Sheet1!U5</f>
        <v>4.5287886205674893E-2</v>
      </c>
      <c r="P15" s="549">
        <f>O15</f>
        <v>4.5287886205674893E-2</v>
      </c>
      <c r="Q15" s="741"/>
    </row>
    <row r="16" spans="1:17">
      <c r="A16" s="740"/>
      <c r="B16" s="742" t="s">
        <v>243</v>
      </c>
      <c r="C16" s="548"/>
      <c r="D16" s="6">
        <f>SUMIFS(Sheet1!$C$2:$C$180,Sheet1!$F$2:$F$180,B16,Sheet1!$E$2:$E$180,C16)</f>
        <v>0</v>
      </c>
      <c r="E16" s="6">
        <f>D16/Sheet1!$I$9*Sheet1!$I$10</f>
        <v>0</v>
      </c>
      <c r="F16" s="470">
        <f>D16/Sheet1!$I$9*Sheet1!$I$11</f>
        <v>0</v>
      </c>
      <c r="G16" s="743">
        <f>SUM(F16:F17)</f>
        <v>0</v>
      </c>
      <c r="H16" s="741"/>
      <c r="J16" s="740"/>
      <c r="K16" s="742" t="s">
        <v>243</v>
      </c>
      <c r="L16" s="548"/>
      <c r="M16" s="6">
        <f>SUMIFS(Sheet1!$N$2:$N$180,Sheet1!$Q$2:$Q$180,K16,Sheet1!$P$2:$P$180,L16)</f>
        <v>0</v>
      </c>
      <c r="N16" s="6">
        <f>M16/Sheet1!$T$9*Sheet1!$T$10</f>
        <v>0</v>
      </c>
      <c r="O16" s="470">
        <f>M16/Sheet1!$T$9*Sheet1!$T$11</f>
        <v>0</v>
      </c>
      <c r="P16" s="743">
        <f>SUM(O16:O17)</f>
        <v>0</v>
      </c>
      <c r="Q16" s="741"/>
    </row>
    <row r="17" spans="1:17">
      <c r="A17" s="740"/>
      <c r="B17" s="742"/>
      <c r="C17" s="548"/>
      <c r="D17" s="6">
        <f>SUMIFS(Sheet1!$C$2:$C$180,Sheet1!$F$2:$F$180,B16,Sheet1!$E$2:$E$180,C17)</f>
        <v>0</v>
      </c>
      <c r="E17" s="6">
        <f>D17/Sheet1!$I$9*Sheet1!$I$10</f>
        <v>0</v>
      </c>
      <c r="F17" s="470">
        <f>D17/Sheet1!$I$9*Sheet1!$I$11</f>
        <v>0</v>
      </c>
      <c r="G17" s="743"/>
      <c r="H17" s="741"/>
      <c r="J17" s="740"/>
      <c r="K17" s="742"/>
      <c r="L17" s="548"/>
      <c r="M17" s="6">
        <f>SUMIFS(Sheet1!$N$2:$N$180,Sheet1!$Q$2:$Q$180,K16,Sheet1!$P$2:$P$180,L17)</f>
        <v>0</v>
      </c>
      <c r="N17" s="6">
        <f>M17/Sheet1!$T$9*Sheet1!$T$10</f>
        <v>0</v>
      </c>
      <c r="O17" s="470">
        <f>M17/Sheet1!$T$9*Sheet1!$T$11</f>
        <v>0</v>
      </c>
      <c r="P17" s="743"/>
      <c r="Q17" s="741"/>
    </row>
    <row r="18" spans="1:17" ht="15">
      <c r="A18" s="740"/>
      <c r="B18" s="545" t="s">
        <v>244</v>
      </c>
      <c r="C18" s="548" t="s">
        <v>221</v>
      </c>
      <c r="D18" s="6">
        <f>SUMIFS(Sheet1!$C$2:$C$180,Sheet1!$F$2:$F$180,B18,Sheet1!$E$2:$E$180,C18)</f>
        <v>0</v>
      </c>
      <c r="E18" s="6">
        <f>D18/Sheet1!$I$9*Sheet1!$I$10</f>
        <v>0</v>
      </c>
      <c r="F18" s="470">
        <f>D18/Sheet1!$I$9*Sheet1!$I$11</f>
        <v>0</v>
      </c>
      <c r="G18" s="549">
        <f>F18</f>
        <v>0</v>
      </c>
      <c r="H18" s="741"/>
      <c r="J18" s="740"/>
      <c r="K18" s="545" t="s">
        <v>244</v>
      </c>
      <c r="L18" s="548" t="s">
        <v>221</v>
      </c>
      <c r="M18" s="6">
        <f>SUMIFS(Sheet1!$N$2:$N$180,Sheet1!$Q$2:$Q$180,K18,Sheet1!$P$2:$P$180,L18)</f>
        <v>0</v>
      </c>
      <c r="N18" s="6">
        <f>M18/Sheet1!$T$9*Sheet1!$T$10</f>
        <v>0</v>
      </c>
      <c r="O18" s="470">
        <f>M18/Sheet1!$T$9*Sheet1!$T$11</f>
        <v>0</v>
      </c>
      <c r="P18" s="549">
        <f>O18</f>
        <v>0</v>
      </c>
      <c r="Q18" s="741"/>
    </row>
    <row r="19" spans="1:17">
      <c r="A19" s="740"/>
      <c r="B19" s="735" t="s">
        <v>245</v>
      </c>
      <c r="C19" s="548" t="s">
        <v>246</v>
      </c>
      <c r="D19" s="6">
        <f>SUMIFS(Sheet1!$C$2:$C$180,Sheet1!$F$2:$F$180,B19,Sheet1!$E$2:$E$180,C19)</f>
        <v>92</v>
      </c>
      <c r="E19" s="6">
        <f>D19/Sheet1!$I$9*Sheet1!$I$10</f>
        <v>3.0239254116234249</v>
      </c>
      <c r="F19" s="470">
        <f>D19/Sheet1!$I$9*Sheet1!$I$11</f>
        <v>2.2086970533135406E-3</v>
      </c>
      <c r="G19" s="745">
        <f>SUM(F19:F23)</f>
        <v>4.5782448702923063E-2</v>
      </c>
      <c r="H19" s="741"/>
      <c r="J19" s="740"/>
      <c r="K19" s="735" t="s">
        <v>245</v>
      </c>
      <c r="L19" s="548" t="s">
        <v>246</v>
      </c>
      <c r="M19" s="6">
        <f>SUMIFS(Sheet1!$N$2:$N$180,Sheet1!$Q$2:$Q$180,$K$19,Sheet1!$P$2:$P$180,L19)</f>
        <v>92</v>
      </c>
      <c r="N19" s="6">
        <f>M19/Sheet1!$T$9*Sheet1!$T$10</f>
        <v>3.0747897962572246</v>
      </c>
      <c r="O19" s="470">
        <f>M19/Sheet1!$T$9*Sheet1!$T$11</f>
        <v>2.2816840036366504E-3</v>
      </c>
      <c r="P19" s="745">
        <f>SUM(O19:O23)</f>
        <v>4.7295341249294479E-2</v>
      </c>
      <c r="Q19" s="741"/>
    </row>
    <row r="20" spans="1:17">
      <c r="A20" s="740"/>
      <c r="B20" s="744"/>
      <c r="C20" s="548" t="s">
        <v>247</v>
      </c>
      <c r="D20" s="6">
        <f>SUMIFS(Sheet1!$C$2:$C$180,Sheet1!$F$2:$F$180,B19,Sheet1!$E$2:$E$180,C20)</f>
        <v>1390</v>
      </c>
      <c r="E20" s="6">
        <f>D20/Sheet1!$I$9*Sheet1!$I$10</f>
        <v>45.687568719093044</v>
      </c>
      <c r="F20" s="470">
        <f>D20/Sheet1!$I$9*Sheet1!$I$11</f>
        <v>3.3370531566367621E-2</v>
      </c>
      <c r="G20" s="746"/>
      <c r="H20" s="741"/>
      <c r="J20" s="740"/>
      <c r="K20" s="744"/>
      <c r="L20" s="548" t="s">
        <v>247</v>
      </c>
      <c r="M20" s="6">
        <f>SUMIFS(Sheet1!$N$2:$N$180,Sheet1!$Q$2:$Q$180,$K$19,Sheet1!$P$2:$P$180,L20)</f>
        <v>1390</v>
      </c>
      <c r="N20" s="6">
        <f>M20/Sheet1!$T$9*Sheet1!$T$10</f>
        <v>46.456063226060238</v>
      </c>
      <c r="O20" s="470">
        <f>M20/Sheet1!$T$9*Sheet1!$T$11</f>
        <v>3.4473269185379823E-2</v>
      </c>
      <c r="P20" s="746"/>
      <c r="Q20" s="741"/>
    </row>
    <row r="21" spans="1:17">
      <c r="A21" s="740"/>
      <c r="B21" s="744"/>
      <c r="C21" s="548" t="s">
        <v>248</v>
      </c>
      <c r="D21" s="6">
        <f>SUMIFS(Sheet1!$C$2:$C$180,Sheet1!$F$2:$F$180,B19,Sheet1!$E$2:$E$180,C21)</f>
        <v>392</v>
      </c>
      <c r="E21" s="6">
        <f>D21/Sheet1!$I$9*Sheet1!$I$10</f>
        <v>12.884551753873724</v>
      </c>
      <c r="F21" s="470">
        <f>D21/Sheet1!$I$9*Sheet1!$I$11</f>
        <v>9.4109700532490001E-3</v>
      </c>
      <c r="G21" s="746"/>
      <c r="H21" s="741"/>
      <c r="J21" s="740"/>
      <c r="K21" s="744"/>
      <c r="L21" s="548" t="s">
        <v>248</v>
      </c>
      <c r="M21" s="6">
        <f>SUMIFS(Sheet1!$N$2:$N$180,Sheet1!$Q$2:$Q$180,$K$19,Sheet1!$P$2:$P$180,L21)</f>
        <v>392</v>
      </c>
      <c r="N21" s="6">
        <f>M21/Sheet1!$T$9*Sheet1!$T$10</f>
        <v>13.101278262313393</v>
      </c>
      <c r="O21" s="470">
        <f>M21/Sheet1!$T$9*Sheet1!$T$11</f>
        <v>9.7219579285387717E-3</v>
      </c>
      <c r="P21" s="746"/>
      <c r="Q21" s="741"/>
    </row>
    <row r="22" spans="1:17">
      <c r="A22" s="740"/>
      <c r="B22" s="744"/>
      <c r="C22" s="548" t="s">
        <v>13</v>
      </c>
      <c r="D22" s="6">
        <f>SUMIFS(Sheet1!$C$2:$C$180,Sheet1!$F$2:$F$180,B19,Sheet1!$E$2:$E$180,C22)</f>
        <v>33</v>
      </c>
      <c r="E22" s="6">
        <f>D22/Sheet1!$I$9*Sheet1!$I$10</f>
        <v>1.0846688976475329</v>
      </c>
      <c r="F22" s="470">
        <f>D22/Sheet1!$I$9*Sheet1!$I$11</f>
        <v>7.9225002999290051E-4</v>
      </c>
      <c r="G22" s="746"/>
      <c r="H22" s="741"/>
      <c r="J22" s="740"/>
      <c r="K22" s="744"/>
      <c r="L22" s="548" t="s">
        <v>13</v>
      </c>
      <c r="M22" s="6">
        <f>SUMIFS(Sheet1!$N$2:$N$180,Sheet1!$Q$2:$Q$180,$K$19,Sheet1!$P$2:$P$180,L22)</f>
        <v>33</v>
      </c>
      <c r="N22" s="6">
        <f>M22/Sheet1!$T$9*Sheet1!$T$10</f>
        <v>1.1029137312661785</v>
      </c>
      <c r="O22" s="470">
        <f>M22/Sheet1!$T$9*Sheet1!$T$11</f>
        <v>8.1843013173923322E-4</v>
      </c>
      <c r="P22" s="746"/>
      <c r="Q22" s="741"/>
    </row>
    <row r="23" spans="1:17">
      <c r="A23" s="740"/>
      <c r="B23" s="736"/>
      <c r="C23" s="548"/>
      <c r="D23" s="6">
        <f>SUMIFS(Sheet1!$C$2:$C$180,Sheet1!$F$2:$F$180,B19,Sheet1!$E$2:$E$180,C23)</f>
        <v>0</v>
      </c>
      <c r="E23" s="6">
        <f>D23/Sheet1!$I$9*Sheet1!$I$10</f>
        <v>0</v>
      </c>
      <c r="F23" s="470">
        <f>D23/Sheet1!$I$9*Sheet1!$I$11</f>
        <v>0</v>
      </c>
      <c r="G23" s="747"/>
      <c r="H23" s="741"/>
      <c r="J23" s="740"/>
      <c r="K23" s="736"/>
      <c r="L23" s="548"/>
      <c r="M23" s="6">
        <f>SUMIFS(Sheet1!$N$2:$N$180,Sheet1!$Q$2:$Q$180,$K$19,Sheet1!$P$2:$P$180,L23)</f>
        <v>0</v>
      </c>
      <c r="N23" s="6">
        <f>M23/Sheet1!$T$9*Sheet1!$T$10</f>
        <v>0</v>
      </c>
      <c r="O23" s="470">
        <f>M23/Sheet1!$T$9*Sheet1!$T$11</f>
        <v>0</v>
      </c>
      <c r="P23" s="747"/>
      <c r="Q23" s="741"/>
    </row>
    <row r="24" spans="1:17">
      <c r="A24" s="733" t="s">
        <v>249</v>
      </c>
      <c r="B24" s="742" t="s">
        <v>250</v>
      </c>
      <c r="C24" s="551" t="s">
        <v>736</v>
      </c>
      <c r="D24" s="6">
        <f>SUMIFS(Sheet1!$C$2:$C$180,Sheet1!$F$2:$F$180,B24,Sheet1!$E$2:$E$180,C24)</f>
        <v>207</v>
      </c>
      <c r="E24" s="6">
        <f>D24/Sheet1!$I$9*Sheet1!$I$10</f>
        <v>6.8038321761527056</v>
      </c>
      <c r="F24" s="470">
        <f>D24/Sheet1!$I$9*Sheet1!$I$11</f>
        <v>4.9695683699554662E-3</v>
      </c>
      <c r="G24" s="743">
        <f>SUM(F24:F30)</f>
        <v>4.9695683699554662E-3</v>
      </c>
      <c r="H24" s="741">
        <f>SUM(G24:G37)</f>
        <v>9.9151291632444821E-3</v>
      </c>
      <c r="J24" s="733" t="s">
        <v>249</v>
      </c>
      <c r="K24" s="742" t="s">
        <v>250</v>
      </c>
      <c r="L24" s="551" t="s">
        <v>736</v>
      </c>
      <c r="M24" s="6">
        <f>SUMIFS(Sheet1!$N$2:$N$180,Sheet1!$Q$2:$Q$180,$K$24,Sheet1!$P$2:$P$180,L24)</f>
        <v>207</v>
      </c>
      <c r="N24" s="6">
        <f>M24/Sheet1!$T$9*Sheet1!$T$10</f>
        <v>6.9182770415787562</v>
      </c>
      <c r="O24" s="470">
        <f>M24/Sheet1!$T$9*Sheet1!$T$11</f>
        <v>5.1337890081824631E-3</v>
      </c>
      <c r="P24" s="743">
        <f>SUM(O24:O30)</f>
        <v>5.1337890081824631E-3</v>
      </c>
      <c r="Q24" s="741">
        <f>SUM(P24:P37)</f>
        <v>1.0242777103281919E-2</v>
      </c>
    </row>
    <row r="25" spans="1:17">
      <c r="A25" s="733"/>
      <c r="B25" s="742"/>
      <c r="C25" s="551"/>
      <c r="D25" s="6">
        <f>SUMIFS(Sheet1!$C$2:$C$180,Sheet1!$F$2:$F$180,B24,Sheet1!$E$2:$E$180,C25)</f>
        <v>0</v>
      </c>
      <c r="E25" s="6">
        <f>D25/Sheet1!$I$9*Sheet1!$I$10</f>
        <v>0</v>
      </c>
      <c r="F25" s="470">
        <f>D25/Sheet1!$I$9*Sheet1!$I$11</f>
        <v>0</v>
      </c>
      <c r="G25" s="743"/>
      <c r="H25" s="741"/>
      <c r="J25" s="733"/>
      <c r="K25" s="742"/>
      <c r="L25" s="551"/>
      <c r="M25" s="6">
        <f>SUMIFS(Sheet1!$N$2:$N$180,Sheet1!$Q$2:$Q$180,$K$24,Sheet1!$P$2:$P$180,L25)</f>
        <v>0</v>
      </c>
      <c r="N25" s="6">
        <f>M25/Sheet1!$T$9*Sheet1!$T$10</f>
        <v>0</v>
      </c>
      <c r="O25" s="470">
        <f>M25/Sheet1!$T$9*Sheet1!$T$11</f>
        <v>0</v>
      </c>
      <c r="P25" s="743"/>
      <c r="Q25" s="741"/>
    </row>
    <row r="26" spans="1:17">
      <c r="A26" s="733"/>
      <c r="B26" s="742"/>
      <c r="C26" s="534"/>
      <c r="D26" s="6">
        <f>SUMIFS(Sheet1!$C$2:$C$180,Sheet1!$F$2:$F$180,B24,Sheet1!$E$2:$E$180,C26)</f>
        <v>0</v>
      </c>
      <c r="E26" s="6">
        <f>D26/Sheet1!$I$9*Sheet1!$I$10</f>
        <v>0</v>
      </c>
      <c r="F26" s="470">
        <f>D26/Sheet1!$I$9*Sheet1!$I$11</f>
        <v>0</v>
      </c>
      <c r="G26" s="743"/>
      <c r="H26" s="741"/>
      <c r="J26" s="733"/>
      <c r="K26" s="742"/>
      <c r="L26" s="534"/>
      <c r="M26" s="6">
        <f>SUMIFS(Sheet1!$N$2:$N$180,Sheet1!$Q$2:$Q$180,$K$24,Sheet1!$P$2:$P$180,L26)</f>
        <v>0</v>
      </c>
      <c r="N26" s="6">
        <f>M26/Sheet1!$T$9*Sheet1!$T$10</f>
        <v>0</v>
      </c>
      <c r="O26" s="470">
        <f>M26/Sheet1!$T$9*Sheet1!$T$11</f>
        <v>0</v>
      </c>
      <c r="P26" s="743"/>
      <c r="Q26" s="741"/>
    </row>
    <row r="27" spans="1:17">
      <c r="A27" s="733"/>
      <c r="B27" s="742"/>
      <c r="D27" s="6">
        <f>SUMIFS(Sheet1!$C$2:$C$180,Sheet1!$F$2:$F$180,B24,Sheet1!$E$2:$E$180,C27)</f>
        <v>0</v>
      </c>
      <c r="E27" s="6">
        <f>D27/Sheet1!$I$9*Sheet1!$I$10</f>
        <v>0</v>
      </c>
      <c r="F27" s="470">
        <f>D27/Sheet1!$I$9*Sheet1!$I$11</f>
        <v>0</v>
      </c>
      <c r="G27" s="743"/>
      <c r="H27" s="741"/>
      <c r="J27" s="733"/>
      <c r="K27" s="742"/>
      <c r="M27" s="6">
        <f>SUMIFS(Sheet1!$N$2:$N$180,Sheet1!$Q$2:$Q$180,$K$24,Sheet1!$P$2:$P$180,L27)</f>
        <v>0</v>
      </c>
      <c r="N27" s="6">
        <f>M27/Sheet1!$T$9*Sheet1!$T$10</f>
        <v>0</v>
      </c>
      <c r="O27" s="470">
        <f>M27/Sheet1!$T$9*Sheet1!$T$11</f>
        <v>0</v>
      </c>
      <c r="P27" s="743"/>
      <c r="Q27" s="741"/>
    </row>
    <row r="28" spans="1:17">
      <c r="A28" s="733"/>
      <c r="B28" s="742"/>
      <c r="C28" s="548"/>
      <c r="D28" s="6">
        <f>SUMIFS(Sheet1!$C$2:$C$180,Sheet1!$F$2:$F$180,B24,Sheet1!$E$2:$E$180,C28)</f>
        <v>0</v>
      </c>
      <c r="E28" s="6">
        <f>D28/Sheet1!$I$9*Sheet1!$I$10</f>
        <v>0</v>
      </c>
      <c r="F28" s="470">
        <f>D28/Sheet1!$I$9*Sheet1!$I$11</f>
        <v>0</v>
      </c>
      <c r="G28" s="743"/>
      <c r="H28" s="741"/>
      <c r="J28" s="733"/>
      <c r="K28" s="742"/>
      <c r="L28" s="548"/>
      <c r="M28" s="6">
        <f>SUMIFS(Sheet1!$N$2:$N$180,Sheet1!$Q$2:$Q$180,$K$24,Sheet1!$P$2:$P$180,L28)</f>
        <v>0</v>
      </c>
      <c r="N28" s="6">
        <f>M28/Sheet1!$T$9*Sheet1!$T$10</f>
        <v>0</v>
      </c>
      <c r="O28" s="470">
        <f>M28/Sheet1!$T$9*Sheet1!$T$11</f>
        <v>0</v>
      </c>
      <c r="P28" s="743"/>
      <c r="Q28" s="741"/>
    </row>
    <row r="29" spans="1:17">
      <c r="A29" s="733"/>
      <c r="B29" s="742"/>
      <c r="C29" s="548"/>
      <c r="D29" s="6">
        <f>SUMIFS(Sheet1!$C$2:$C$180,Sheet1!$F$2:$F$180,B24,Sheet1!$E$2:$E$180,C29)</f>
        <v>0</v>
      </c>
      <c r="E29" s="6">
        <f>D29/Sheet1!$I$9*Sheet1!$I$10</f>
        <v>0</v>
      </c>
      <c r="F29" s="470">
        <f>D29/Sheet1!$I$9*Sheet1!$I$11</f>
        <v>0</v>
      </c>
      <c r="G29" s="743"/>
      <c r="H29" s="741"/>
      <c r="J29" s="733"/>
      <c r="K29" s="742"/>
      <c r="L29" s="548"/>
      <c r="M29" s="6">
        <f>SUMIFS(Sheet1!$N$2:$N$180,Sheet1!$Q$2:$Q$180,$K$24,Sheet1!$P$2:$P$180,L29)</f>
        <v>0</v>
      </c>
      <c r="N29" s="6">
        <f>M29/Sheet1!$T$9*Sheet1!$T$10</f>
        <v>0</v>
      </c>
      <c r="O29" s="470">
        <f>M29/Sheet1!$T$9*Sheet1!$T$11</f>
        <v>0</v>
      </c>
      <c r="P29" s="743"/>
      <c r="Q29" s="741"/>
    </row>
    <row r="30" spans="1:17">
      <c r="A30" s="733"/>
      <c r="B30" s="742"/>
      <c r="C30" s="548"/>
      <c r="D30" s="6">
        <f>SUMIFS(Sheet1!$C$2:$C$180,Sheet1!$F$2:$F$180,B24,Sheet1!$E$2:$E$180,C30)</f>
        <v>0</v>
      </c>
      <c r="E30" s="6">
        <f>D30/Sheet1!$I$9*Sheet1!$I$10</f>
        <v>0</v>
      </c>
      <c r="F30" s="470">
        <f>D30/Sheet1!$I$9*Sheet1!$I$11</f>
        <v>0</v>
      </c>
      <c r="G30" s="743"/>
      <c r="H30" s="741"/>
      <c r="J30" s="733"/>
      <c r="K30" s="742"/>
      <c r="L30" s="548"/>
      <c r="M30" s="6">
        <f>SUMIFS(Sheet1!$N$2:$N$180,Sheet1!$Q$2:$Q$180,$K$24,Sheet1!$P$2:$P$180,L30)</f>
        <v>0</v>
      </c>
      <c r="N30" s="6">
        <f>M30/Sheet1!$T$9*Sheet1!$T$10</f>
        <v>0</v>
      </c>
      <c r="O30" s="470">
        <f>M30/Sheet1!$T$9*Sheet1!$T$11</f>
        <v>0</v>
      </c>
      <c r="P30" s="743"/>
      <c r="Q30" s="741"/>
    </row>
    <row r="31" spans="1:17">
      <c r="A31" s="733"/>
      <c r="B31" s="735" t="s">
        <v>251</v>
      </c>
      <c r="C31" s="547" t="s">
        <v>738</v>
      </c>
      <c r="D31" s="6">
        <f>SUMIFS(Sheet1!$C$2:$C$180,Sheet1!$F$2:$F$180,B31,Sheet1!$E$2:$E$180,C31)</f>
        <v>206</v>
      </c>
      <c r="E31" s="6">
        <f>D31/Sheet1!$I$9*Sheet1!$I$10</f>
        <v>6.7709634216785384</v>
      </c>
      <c r="F31" s="470">
        <f>D31/Sheet1!$I$9*Sheet1!$I$11</f>
        <v>4.9455607932890151E-3</v>
      </c>
      <c r="G31" s="745">
        <f>SUM(F31:F32)</f>
        <v>4.9455607932890151E-3</v>
      </c>
      <c r="H31" s="741"/>
      <c r="J31" s="733"/>
      <c r="K31" s="735" t="s">
        <v>251</v>
      </c>
      <c r="L31" s="547" t="s">
        <v>738</v>
      </c>
      <c r="M31" s="6">
        <f>SUMIFS(Sheet1!$N$2:$N$180,Sheet1!$Q$2:$Q$180,$K$31,Sheet1!$P$2:$P$180,L31)</f>
        <v>206</v>
      </c>
      <c r="N31" s="6">
        <f>M31/Sheet1!$T$9*Sheet1!$T$10</f>
        <v>6.8848554133585678</v>
      </c>
      <c r="O31" s="470">
        <f>M31/Sheet1!$T$9*Sheet1!$T$11</f>
        <v>5.1089880950994562E-3</v>
      </c>
      <c r="P31" s="745">
        <f>SUM(O31:O32)</f>
        <v>5.1089880950994562E-3</v>
      </c>
      <c r="Q31" s="741"/>
    </row>
    <row r="32" spans="1:17">
      <c r="A32" s="733"/>
      <c r="B32" s="736"/>
      <c r="C32" s="548"/>
      <c r="D32" s="6">
        <f>SUMIFS(Sheet1!$C$2:$C$180,Sheet1!$F$2:$F$180,B31,Sheet1!$E$2:$E$180,C32)</f>
        <v>0</v>
      </c>
      <c r="E32" s="6">
        <f>D32/Sheet1!$I$9*Sheet1!$I$10</f>
        <v>0</v>
      </c>
      <c r="F32" s="470">
        <f>D32/Sheet1!$I$9*Sheet1!$I$11</f>
        <v>0</v>
      </c>
      <c r="G32" s="747"/>
      <c r="H32" s="741"/>
      <c r="J32" s="733"/>
      <c r="K32" s="736"/>
      <c r="L32" s="548"/>
      <c r="M32" s="6">
        <f>SUMIFS(Sheet1!$N$2:$N$180,Sheet1!$Q$2:$Q$180,$K$31,Sheet1!$P$2:$P$180,L32)</f>
        <v>0</v>
      </c>
      <c r="N32" s="6">
        <f>M32/Sheet1!$T$9*Sheet1!$T$10</f>
        <v>0</v>
      </c>
      <c r="O32" s="470">
        <f>M32/Sheet1!$T$9*Sheet1!$T$11</f>
        <v>0</v>
      </c>
      <c r="P32" s="747"/>
      <c r="Q32" s="741"/>
    </row>
    <row r="33" spans="1:17">
      <c r="A33" s="733"/>
      <c r="B33" s="742" t="s">
        <v>252</v>
      </c>
      <c r="C33" s="548"/>
      <c r="D33" s="6">
        <f>SUMIFS(Sheet1!$C$2:$C$180,Sheet1!$F$2:$F$180,B33,Sheet1!$E$2:$E$180,C33)</f>
        <v>0</v>
      </c>
      <c r="E33" s="6">
        <f>D33/Sheet1!$I$9*Sheet1!$I$10</f>
        <v>0</v>
      </c>
      <c r="F33" s="470">
        <f>D33/Sheet1!$I$9*Sheet1!$I$11</f>
        <v>0</v>
      </c>
      <c r="G33" s="743">
        <f>SUM(F33:F35)</f>
        <v>0</v>
      </c>
      <c r="H33" s="741"/>
      <c r="J33" s="733"/>
      <c r="K33" s="742" t="s">
        <v>252</v>
      </c>
      <c r="L33" s="548"/>
      <c r="M33" s="6">
        <f>SUMIFS(Sheet1!$N$2:$N$180,Sheet1!$Q$2:$Q$180,$K$33,Sheet1!$P$2:$P$180,L33)</f>
        <v>0</v>
      </c>
      <c r="N33" s="6">
        <f>M33/Sheet1!$T$9*Sheet1!$T$10</f>
        <v>0</v>
      </c>
      <c r="O33" s="470">
        <f>M33/Sheet1!$T$9*Sheet1!$T$11</f>
        <v>0</v>
      </c>
      <c r="P33" s="743">
        <f>SUM(O33:O35)</f>
        <v>0</v>
      </c>
      <c r="Q33" s="741"/>
    </row>
    <row r="34" spans="1:17">
      <c r="A34" s="733"/>
      <c r="B34" s="742"/>
      <c r="C34" s="548"/>
      <c r="D34" s="6">
        <f>SUMIFS(Sheet1!$C$2:$C$180,Sheet1!$F$2:$F$180,B33,Sheet1!$E$2:$E$180,C34)</f>
        <v>0</v>
      </c>
      <c r="E34" s="6">
        <f>D34/Sheet1!$I$9*Sheet1!$I$10</f>
        <v>0</v>
      </c>
      <c r="F34" s="470">
        <f>D34/Sheet1!$I$9*Sheet1!$I$11</f>
        <v>0</v>
      </c>
      <c r="G34" s="743"/>
      <c r="H34" s="741"/>
      <c r="J34" s="733"/>
      <c r="K34" s="742"/>
      <c r="L34" s="548"/>
      <c r="M34" s="6">
        <f>SUMIFS(Sheet1!$N$2:$N$180,Sheet1!$Q$2:$Q$180,$K$33,Sheet1!$P$2:$P$180,L34)</f>
        <v>0</v>
      </c>
      <c r="N34" s="6">
        <f>M34/Sheet1!$T$9*Sheet1!$T$10</f>
        <v>0</v>
      </c>
      <c r="O34" s="470">
        <f>M34/Sheet1!$T$9*Sheet1!$T$11</f>
        <v>0</v>
      </c>
      <c r="P34" s="743"/>
      <c r="Q34" s="741"/>
    </row>
    <row r="35" spans="1:17">
      <c r="A35" s="733"/>
      <c r="B35" s="742"/>
      <c r="C35" s="548"/>
      <c r="D35" s="6">
        <f>SUMIFS(Sheet1!$C$2:$C$180,Sheet1!$F$2:$F$180,B33,Sheet1!$E$2:$E$180,C35)</f>
        <v>0</v>
      </c>
      <c r="E35" s="6">
        <f>D35/Sheet1!$I$9*Sheet1!$I$10</f>
        <v>0</v>
      </c>
      <c r="F35" s="470">
        <f>D35/Sheet1!$I$9*Sheet1!$I$11</f>
        <v>0</v>
      </c>
      <c r="G35" s="743"/>
      <c r="H35" s="741"/>
      <c r="J35" s="733"/>
      <c r="K35" s="742"/>
      <c r="L35" s="548"/>
      <c r="M35" s="6">
        <f>SUMIFS(Sheet1!$N$2:$N$180,Sheet1!$Q$2:$Q$180,$K$33,Sheet1!$P$2:$P$180,L35)</f>
        <v>0</v>
      </c>
      <c r="N35" s="6">
        <f>M35/Sheet1!$T$9*Sheet1!$T$10</f>
        <v>0</v>
      </c>
      <c r="O35" s="470">
        <f>M35/Sheet1!$T$9*Sheet1!$T$11</f>
        <v>0</v>
      </c>
      <c r="P35" s="743"/>
      <c r="Q35" s="741"/>
    </row>
    <row r="36" spans="1:17">
      <c r="A36" s="733"/>
      <c r="B36" s="735" t="s">
        <v>253</v>
      </c>
      <c r="C36" s="548"/>
      <c r="D36" s="6">
        <f>SUMIFS(Sheet1!$C$2:$C$180,Sheet1!$F$2:$F$180,B36,Sheet1!$E$2:$E$180,C36)</f>
        <v>0</v>
      </c>
      <c r="E36" s="6">
        <f>D36/Sheet1!$I$9*Sheet1!$I$10</f>
        <v>0</v>
      </c>
      <c r="F36" s="470">
        <f>D36/Sheet1!$I$9*Sheet1!$I$11</f>
        <v>0</v>
      </c>
      <c r="G36" s="745">
        <f>SUM(F36:F37)</f>
        <v>0</v>
      </c>
      <c r="H36" s="741"/>
      <c r="J36" s="733"/>
      <c r="K36" s="735" t="s">
        <v>253</v>
      </c>
      <c r="L36" s="548"/>
      <c r="M36" s="6">
        <f>SUMIFS(Sheet1!$N$2:$N$180,Sheet1!$Q$2:$Q$180,$K$36,Sheet1!$P$2:$P$180,L36)</f>
        <v>0</v>
      </c>
      <c r="N36" s="6">
        <f>M36/Sheet1!$T$9*Sheet1!$T$10</f>
        <v>0</v>
      </c>
      <c r="O36" s="470">
        <f>M36/Sheet1!$T$9*Sheet1!$T$11</f>
        <v>0</v>
      </c>
      <c r="P36" s="745">
        <f>SUM(O36:O37)</f>
        <v>0</v>
      </c>
      <c r="Q36" s="741"/>
    </row>
    <row r="37" spans="1:17">
      <c r="A37" s="733"/>
      <c r="B37" s="736"/>
      <c r="C37" s="548"/>
      <c r="D37" s="6">
        <f>SUMIFS(Sheet1!$C$2:$C$180,Sheet1!$F$2:$F$180,B36,Sheet1!$E$2:$E$180,C37)</f>
        <v>0</v>
      </c>
      <c r="E37" s="6">
        <f>D37/Sheet1!$I$9*Sheet1!$I$10</f>
        <v>0</v>
      </c>
      <c r="F37" s="470">
        <f>D37/Sheet1!$I$9*Sheet1!$I$11</f>
        <v>0</v>
      </c>
      <c r="G37" s="747"/>
      <c r="H37" s="741"/>
      <c r="J37" s="733"/>
      <c r="K37" s="736"/>
      <c r="L37" s="548"/>
      <c r="M37" s="6">
        <f>SUMIFS(Sheet1!$N$2:$N$180,Sheet1!$Q$2:$Q$180,$K$36,Sheet1!$P$2:$P$180,L37)</f>
        <v>0</v>
      </c>
      <c r="N37" s="6">
        <f>M37/Sheet1!$T$9*Sheet1!$T$10</f>
        <v>0</v>
      </c>
      <c r="O37" s="470">
        <f>M37/Sheet1!$T$9*Sheet1!$T$11</f>
        <v>0</v>
      </c>
      <c r="P37" s="747"/>
      <c r="Q37" s="741"/>
    </row>
    <row r="38" spans="1:17" ht="12.75" customHeight="1">
      <c r="A38" s="733" t="s">
        <v>393</v>
      </c>
      <c r="B38" s="735" t="s">
        <v>254</v>
      </c>
      <c r="C38" t="s">
        <v>737</v>
      </c>
      <c r="D38" s="6">
        <f>SUMIFS(Sheet1!$C$2:$C$180,Sheet1!$F$2:$F$180,B38,Sheet1!$E$2:$E$180,C38)</f>
        <v>738</v>
      </c>
      <c r="E38" s="6">
        <f>D38/Sheet1!$I$9*Sheet1!$I$10</f>
        <v>24.257140801935734</v>
      </c>
      <c r="F38" s="470">
        <f>D38/Sheet1!$I$9*Sheet1!$I$11</f>
        <v>1.7717591579841228E-2</v>
      </c>
      <c r="G38" s="745">
        <f>SUM(F38:F39)</f>
        <v>1.7717591579841228E-2</v>
      </c>
      <c r="H38" s="749">
        <f>SUM(G38:G39)</f>
        <v>1.7717591579841228E-2</v>
      </c>
      <c r="J38" s="733" t="s">
        <v>393</v>
      </c>
      <c r="K38" s="735" t="s">
        <v>254</v>
      </c>
      <c r="L38" s="595" t="s">
        <v>737</v>
      </c>
      <c r="M38" s="6">
        <f>SUMIFS(Sheet1!$N$2:$N$180,Sheet1!$Q$2:$Q$180,K38,Sheet1!$P$2:$P$180,L38)</f>
        <v>738</v>
      </c>
      <c r="N38" s="6">
        <f>M38/Sheet1!$T$9*Sheet1!$T$10</f>
        <v>24.665161626498172</v>
      </c>
      <c r="O38" s="470">
        <f>M38/Sheet1!$T$9*Sheet1!$T$11</f>
        <v>1.8303073855259217E-2</v>
      </c>
      <c r="P38" s="745">
        <f>SUM(O38:O39)</f>
        <v>1.8303073855259217E-2</v>
      </c>
      <c r="Q38" s="749">
        <f>SUM(P38:P39)</f>
        <v>1.8303073855259217E-2</v>
      </c>
    </row>
    <row r="39" spans="1:17" ht="12.75" customHeight="1">
      <c r="A39" s="733"/>
      <c r="B39" s="736"/>
      <c r="C39" s="551"/>
      <c r="D39" s="6">
        <f>SUMIFS(Sheet1!$C$2:$C$180,Sheet1!$F$2:$F$180,B38,Sheet1!$E$2:$E$180,C39)</f>
        <v>0</v>
      </c>
      <c r="E39" s="6">
        <f>D39/Sheet1!$I$9*Sheet1!$I$10</f>
        <v>0</v>
      </c>
      <c r="F39" s="470">
        <f>D39/Sheet1!$I$9*Sheet1!$I$11</f>
        <v>0</v>
      </c>
      <c r="G39" s="747"/>
      <c r="H39" s="750"/>
      <c r="J39" s="733"/>
      <c r="K39" s="736"/>
      <c r="L39" s="551"/>
      <c r="M39" s="6">
        <f>SUMIFS(Sheet1!$N$2:$N$180,Sheet1!$Q$2:$Q$180,K38,Sheet1!$P$2:$P$180,L39)</f>
        <v>0</v>
      </c>
      <c r="N39" s="6">
        <f>M39/Sheet1!$T$9*Sheet1!$T$10</f>
        <v>0</v>
      </c>
      <c r="O39" s="470">
        <f>M39/Sheet1!$T$9*Sheet1!$T$11</f>
        <v>0</v>
      </c>
      <c r="P39" s="747"/>
      <c r="Q39" s="750"/>
    </row>
    <row r="40" spans="1:17" ht="15">
      <c r="A40" s="552"/>
      <c r="B40" s="748" t="s">
        <v>2</v>
      </c>
      <c r="C40" s="748"/>
      <c r="D40" s="305">
        <f>SUM(D4:D39)</f>
        <v>3977</v>
      </c>
      <c r="E40" s="305">
        <f>SUM(E4:E39)</f>
        <v>239.60321941846138</v>
      </c>
      <c r="F40" s="456">
        <f>SUM(F4:F39)</f>
        <v>0.17500792931591558</v>
      </c>
      <c r="G40" s="456">
        <f>SUM(G4:G39)</f>
        <v>0.17500792931591558</v>
      </c>
      <c r="H40" s="456">
        <f>SUM(H4:H39)</f>
        <v>0.17500792931591561</v>
      </c>
      <c r="J40" s="552"/>
      <c r="K40" s="748" t="s">
        <v>2</v>
      </c>
      <c r="L40" s="748"/>
      <c r="M40" s="305">
        <f>SUM(M4:M39)</f>
        <v>3274</v>
      </c>
      <c r="N40" s="305">
        <f>SUM(N4:N39)</f>
        <v>218.10068357076904</v>
      </c>
      <c r="O40" s="456">
        <f>SUM(O4:O39)</f>
        <v>0.16184418248408036</v>
      </c>
      <c r="P40" s="456">
        <f>SUM(P4:P39)</f>
        <v>0.16184418248408036</v>
      </c>
      <c r="Q40" s="456">
        <f>SUM(Q4:Q39)</f>
        <v>0.16184418248408036</v>
      </c>
    </row>
    <row r="41" spans="1:17" ht="15">
      <c r="A41" s="552"/>
      <c r="B41" s="748" t="s">
        <v>1</v>
      </c>
      <c r="C41" s="748"/>
      <c r="D41" s="748"/>
      <c r="E41" s="748"/>
      <c r="F41" s="553">
        <f>+Efficiency1!X162</f>
        <v>0.82499207068408431</v>
      </c>
      <c r="G41" s="553">
        <f>+F41</f>
        <v>0.82499207068408431</v>
      </c>
      <c r="H41" s="553">
        <f>+G41</f>
        <v>0.82499207068408431</v>
      </c>
      <c r="J41" s="552"/>
      <c r="K41" s="748" t="s">
        <v>1</v>
      </c>
      <c r="L41" s="748"/>
      <c r="M41" s="748"/>
      <c r="N41" s="748"/>
      <c r="O41" s="553">
        <f>+Efficiency2!X162</f>
        <v>0.8381558175159195</v>
      </c>
      <c r="P41" s="553">
        <f>+O41</f>
        <v>0.8381558175159195</v>
      </c>
      <c r="Q41" s="553">
        <f>+P41</f>
        <v>0.8381558175159195</v>
      </c>
    </row>
    <row r="42" spans="1:17" ht="15">
      <c r="A42" s="552"/>
      <c r="B42" s="748" t="s">
        <v>57</v>
      </c>
      <c r="C42" s="748"/>
      <c r="D42" s="748"/>
      <c r="E42" s="748"/>
      <c r="F42" s="472">
        <f>SUM(F40:F41)</f>
        <v>0.99999999999999989</v>
      </c>
      <c r="G42" s="472">
        <f>SUM(G40:G41)</f>
        <v>0.99999999999999989</v>
      </c>
      <c r="H42" s="544">
        <f>SUM(H40:H41)</f>
        <v>0.99999999999999989</v>
      </c>
      <c r="J42" s="552"/>
      <c r="K42" s="748" t="s">
        <v>57</v>
      </c>
      <c r="L42" s="748"/>
      <c r="M42" s="748"/>
      <c r="N42" s="748"/>
      <c r="O42" s="472">
        <f>SUM(O40:O41)</f>
        <v>0.99999999999999989</v>
      </c>
      <c r="P42" s="472">
        <f>SUM(P40:P41)</f>
        <v>0.99999999999999989</v>
      </c>
      <c r="Q42" s="544">
        <f>SUM(Q40:Q41)</f>
        <v>0.99999999999999989</v>
      </c>
    </row>
  </sheetData>
  <mergeCells count="64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19685039370078741" right="0.19685039370078741" top="0.19685039370078741" bottom="0.19685039370078741" header="0.31496062992125984" footer="0.31496062992125984"/>
  <pageSetup paperSize="9" scale="34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1"/>
  <sheetViews>
    <sheetView topLeftCell="A19" zoomScale="80" zoomScaleNormal="80" workbookViewId="0">
      <selection activeCell="I24" sqref="I24:I3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7.1406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36" ht="15.75">
      <c r="A1" s="147"/>
    </row>
    <row r="2" spans="1:36" ht="15.75">
      <c r="A2" s="147" t="s">
        <v>183</v>
      </c>
    </row>
    <row r="3" spans="1:36" ht="15">
      <c r="A3" s="149"/>
    </row>
    <row r="4" spans="1:36" ht="20.25">
      <c r="A4" s="150" t="s">
        <v>3</v>
      </c>
      <c r="B4" s="151"/>
      <c r="F4" s="152" t="s">
        <v>29</v>
      </c>
      <c r="G4" s="153">
        <v>30</v>
      </c>
      <c r="H4" s="153" t="str">
        <f>+'1'!H4</f>
        <v>.04.26</v>
      </c>
    </row>
    <row r="5" spans="1:36" ht="13.5" thickBot="1">
      <c r="C5" s="154"/>
      <c r="D5" s="154"/>
    </row>
    <row r="6" spans="1:3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2" t="s">
        <v>190</v>
      </c>
      <c r="P6" s="422" t="s">
        <v>190</v>
      </c>
      <c r="Q6" s="422" t="s">
        <v>191</v>
      </c>
      <c r="R6" s="422" t="s">
        <v>192</v>
      </c>
      <c r="S6" s="422" t="s">
        <v>193</v>
      </c>
      <c r="T6" s="422" t="s">
        <v>188</v>
      </c>
      <c r="U6" s="423" t="s">
        <v>194</v>
      </c>
      <c r="V6" s="422" t="s">
        <v>195</v>
      </c>
      <c r="W6" s="422" t="s">
        <v>189</v>
      </c>
    </row>
    <row r="7" spans="1:36" ht="13.5" customHeight="1" thickBot="1">
      <c r="A7" s="751" t="s">
        <v>391</v>
      </c>
      <c r="B7" s="214" t="s">
        <v>655</v>
      </c>
      <c r="C7" s="215">
        <v>5099</v>
      </c>
      <c r="D7" s="216">
        <v>690</v>
      </c>
      <c r="E7" s="217"/>
      <c r="F7" s="227"/>
      <c r="G7" s="228" t="s">
        <v>12</v>
      </c>
      <c r="H7" s="229" t="s">
        <v>385</v>
      </c>
      <c r="I7" s="754" t="s">
        <v>783</v>
      </c>
      <c r="J7" s="213" t="str">
        <f>+'29'!J7</f>
        <v>F 11,5 VP OW</v>
      </c>
      <c r="K7" s="237"/>
      <c r="L7" s="241"/>
      <c r="M7" s="116">
        <f>+K7+'29'!M7+L7</f>
        <v>168614</v>
      </c>
      <c r="N7" s="424">
        <v>14.5</v>
      </c>
      <c r="O7" s="198">
        <v>1200</v>
      </c>
      <c r="P7" s="198">
        <v>1120</v>
      </c>
      <c r="Q7" s="198">
        <v>896</v>
      </c>
      <c r="R7" s="425">
        <f>1-(Q7/P7)</f>
        <v>0.19999999999999996</v>
      </c>
      <c r="S7" s="426">
        <v>45</v>
      </c>
      <c r="T7" s="427">
        <v>256.5</v>
      </c>
      <c r="U7" s="428">
        <f>(O7*(1-R7)*N7*T7*S7)/100000000</f>
        <v>1.606716</v>
      </c>
      <c r="V7" s="429">
        <f>+C14/1000</f>
        <v>5.0990000000000002</v>
      </c>
      <c r="W7" s="430">
        <f>SUM(V7:V9)/SUM(U7:U9)</f>
        <v>0.24411953900426042</v>
      </c>
      <c r="X7" s="148" t="s">
        <v>643</v>
      </c>
      <c r="Y7" s="148">
        <v>1100</v>
      </c>
      <c r="Z7" s="148">
        <f>+Y7-(Y7*0.25)</f>
        <v>825</v>
      </c>
      <c r="AA7" s="148">
        <f>60-18+60+31</f>
        <v>133</v>
      </c>
      <c r="AB7" s="148">
        <f t="shared" ref="AB7" si="0">+Y7*AA7</f>
        <v>146300</v>
      </c>
      <c r="AC7" s="148">
        <f t="shared" ref="AC7" si="1">+Z7*AA7</f>
        <v>109725</v>
      </c>
      <c r="AE7" s="148" t="s">
        <v>643</v>
      </c>
      <c r="AF7" s="148">
        <v>1100</v>
      </c>
      <c r="AG7" s="148">
        <f>+AF7-(AF7*0.25)</f>
        <v>825</v>
      </c>
      <c r="AH7" s="148">
        <f>60-18+60+31</f>
        <v>133</v>
      </c>
      <c r="AI7" s="148">
        <f t="shared" ref="AI7:AI8" si="2">+AF7*AH7</f>
        <v>146300</v>
      </c>
      <c r="AJ7" s="148">
        <f t="shared" ref="AJ7:AJ8" si="3">+AG7*AH7</f>
        <v>109725</v>
      </c>
    </row>
    <row r="8" spans="1:36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+'29'!J8</f>
        <v>F 14 VP OW</v>
      </c>
      <c r="K8" s="238"/>
      <c r="L8" s="238"/>
      <c r="M8" s="116">
        <f>+K8+'29'!M8+L8</f>
        <v>90331</v>
      </c>
      <c r="N8" s="424">
        <v>18</v>
      </c>
      <c r="O8" s="198">
        <v>1200</v>
      </c>
      <c r="P8" s="198">
        <v>930</v>
      </c>
      <c r="Q8" s="198">
        <v>744</v>
      </c>
      <c r="R8" s="425">
        <f>1-(Q8/P8)</f>
        <v>0.19999999999999996</v>
      </c>
      <c r="S8" s="426">
        <f>480-S7</f>
        <v>435</v>
      </c>
      <c r="T8" s="427">
        <v>256.5</v>
      </c>
      <c r="U8" s="428">
        <f>(O8*(1-R8)*N8*T8*S8)/100000000</f>
        <v>19.280591999999999</v>
      </c>
      <c r="V8" s="429"/>
      <c r="W8" s="431"/>
      <c r="Y8" s="148">
        <v>1160</v>
      </c>
      <c r="Z8" s="148">
        <f t="shared" ref="Z8:Z9" si="4">+Y8-(Y8*0.25)</f>
        <v>870</v>
      </c>
      <c r="AA8" s="148">
        <f>60-31+60+50</f>
        <v>139</v>
      </c>
      <c r="AB8" s="148">
        <f t="shared" ref="AB8:AB9" si="5">+Y8*AA8</f>
        <v>161240</v>
      </c>
      <c r="AC8" s="148">
        <f t="shared" ref="AC8:AC9" si="6">+Z8*AA8</f>
        <v>120930</v>
      </c>
      <c r="AF8" s="148">
        <v>1160</v>
      </c>
      <c r="AG8" s="148">
        <f t="shared" ref="AG8" si="7">+AF8-(AF8*0.25)</f>
        <v>870</v>
      </c>
      <c r="AH8" s="148">
        <f>60-31+60+50</f>
        <v>139</v>
      </c>
      <c r="AI8" s="148">
        <f t="shared" si="2"/>
        <v>161240</v>
      </c>
      <c r="AJ8" s="148">
        <f t="shared" si="3"/>
        <v>120930</v>
      </c>
    </row>
    <row r="9" spans="1:36" ht="13.5" thickBot="1">
      <c r="A9" s="752"/>
      <c r="B9" s="214"/>
      <c r="C9" s="215"/>
      <c r="D9" s="216"/>
      <c r="E9" s="219"/>
      <c r="F9" s="227">
        <v>12</v>
      </c>
      <c r="G9" s="560" t="s">
        <v>12</v>
      </c>
      <c r="H9" s="232" t="s">
        <v>565</v>
      </c>
      <c r="I9" s="755"/>
      <c r="J9" s="213" t="str">
        <f>+'29'!J9</f>
        <v>F 13 VP OW</v>
      </c>
      <c r="K9" s="238"/>
      <c r="L9" s="238"/>
      <c r="M9" s="116">
        <f>+K9+'29'!M9+L9</f>
        <v>73071</v>
      </c>
      <c r="N9" s="432"/>
      <c r="X9" s="148" t="s">
        <v>460</v>
      </c>
      <c r="Y9" s="148">
        <v>1210</v>
      </c>
      <c r="Z9" s="148">
        <f t="shared" si="4"/>
        <v>907.5</v>
      </c>
      <c r="AA9" s="148">
        <f>60-50</f>
        <v>10</v>
      </c>
      <c r="AB9" s="148">
        <f t="shared" si="5"/>
        <v>12100</v>
      </c>
      <c r="AC9" s="148">
        <f t="shared" si="6"/>
        <v>9075</v>
      </c>
    </row>
    <row r="10" spans="1:36" ht="39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777</v>
      </c>
      <c r="I10" s="755"/>
      <c r="J10" s="213" t="str">
        <f>+'29'!J10</f>
        <v>F 12 VP OW</v>
      </c>
      <c r="K10" s="238">
        <f>+C17+C25</f>
        <v>19164</v>
      </c>
      <c r="L10" s="238"/>
      <c r="M10" s="116">
        <f>+K10+'29'!M10+L10</f>
        <v>65665</v>
      </c>
      <c r="N10" s="432"/>
    </row>
    <row r="11" spans="1:36" ht="151.5" customHeight="1" thickBot="1">
      <c r="A11" s="752"/>
      <c r="B11" s="214"/>
      <c r="C11" s="215"/>
      <c r="D11" s="216"/>
      <c r="E11" s="218"/>
      <c r="F11" s="227">
        <v>198</v>
      </c>
      <c r="G11" s="231" t="s">
        <v>20</v>
      </c>
      <c r="H11" s="232" t="s">
        <v>782</v>
      </c>
      <c r="I11" s="755"/>
      <c r="J11" s="213" t="str">
        <f>+'29'!J11</f>
        <v>F 16 VP OW</v>
      </c>
      <c r="K11" s="238"/>
      <c r="L11" s="238"/>
      <c r="M11" s="116">
        <f>+K11+'29'!M11+L11</f>
        <v>37034</v>
      </c>
      <c r="N11" s="432"/>
    </row>
    <row r="12" spans="1:3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+'29'!J12</f>
        <v>F 15 VP OW</v>
      </c>
      <c r="K12" s="238"/>
      <c r="L12" s="238"/>
      <c r="M12" s="116">
        <f>+K12+'29'!M12+L12</f>
        <v>3202</v>
      </c>
      <c r="N12" s="432"/>
    </row>
    <row r="13" spans="1:3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+'29'!J13</f>
        <v>T 14 VP OW</v>
      </c>
      <c r="K13" s="238"/>
      <c r="L13" s="238"/>
      <c r="M13" s="116">
        <f>+K13+'29'!M13+L13</f>
        <v>5600</v>
      </c>
      <c r="N13" s="433"/>
      <c r="O13" s="434"/>
      <c r="P13" s="434"/>
      <c r="Q13" s="434"/>
      <c r="R13" s="434"/>
      <c r="S13" s="434"/>
      <c r="T13" s="434"/>
      <c r="U13" s="434"/>
      <c r="V13" s="434"/>
      <c r="W13" s="434"/>
    </row>
    <row r="14" spans="1:36" ht="13.5" thickBot="1">
      <c r="A14" s="753"/>
      <c r="B14" s="164" t="s">
        <v>2</v>
      </c>
      <c r="C14" s="98">
        <f>SUM(C7:C13)</f>
        <v>5099</v>
      </c>
      <c r="D14" s="110">
        <f>SUM(D7:D13)</f>
        <v>690</v>
      </c>
      <c r="E14" s="111">
        <f>SUM(E5:E13)</f>
        <v>0</v>
      </c>
      <c r="F14" s="115">
        <f>SUM(F7:F13)</f>
        <v>210</v>
      </c>
      <c r="G14" s="158"/>
      <c r="H14" s="165"/>
      <c r="I14" s="166"/>
      <c r="J14" s="213" t="str">
        <f>+'29'!J14</f>
        <v>T 13 VP OW</v>
      </c>
      <c r="K14" s="238"/>
      <c r="L14" s="238"/>
      <c r="M14" s="116">
        <f>+K14+'29'!M14+L14</f>
        <v>319384</v>
      </c>
      <c r="AA14" s="175">
        <f>SUM(AA6:AA11)</f>
        <v>282</v>
      </c>
      <c r="AB14" s="175">
        <f>SUM(AB6:AB11)</f>
        <v>319640</v>
      </c>
      <c r="AC14" s="175">
        <f>SUM(AC6:AC11)</f>
        <v>239730</v>
      </c>
      <c r="AH14" s="175">
        <f>SUM(AH6:AH11)</f>
        <v>272</v>
      </c>
      <c r="AI14" s="175">
        <f>SUM(AI6:AI11)</f>
        <v>307540</v>
      </c>
      <c r="AJ14" s="175">
        <f>SUM(AJ6:AJ11)</f>
        <v>230655</v>
      </c>
    </row>
    <row r="15" spans="1:36" ht="13.5" customHeight="1" thickBot="1">
      <c r="A15" s="751" t="s">
        <v>389</v>
      </c>
      <c r="B15" s="164"/>
      <c r="C15" s="112">
        <f>C14/($C$23+$D$23+$E$23)</f>
        <v>0.52670178700547465</v>
      </c>
      <c r="D15" s="113">
        <f>D14/($C$23+$D$23+$E$23)</f>
        <v>7.1273628757359778E-2</v>
      </c>
      <c r="E15" s="114">
        <f>E14/($C$23+$D$23+$E$23)</f>
        <v>0</v>
      </c>
      <c r="F15" s="227">
        <v>15</v>
      </c>
      <c r="G15" s="228" t="s">
        <v>12</v>
      </c>
      <c r="H15" s="229" t="s">
        <v>494</v>
      </c>
      <c r="I15" s="754" t="s">
        <v>784</v>
      </c>
      <c r="J15" s="213" t="str">
        <f>+'29'!J15</f>
        <v>T 12 VP OW</v>
      </c>
      <c r="K15" s="238"/>
      <c r="L15" s="238"/>
      <c r="M15" s="116">
        <f>+K15+'29'!M15+L15</f>
        <v>12729</v>
      </c>
      <c r="N15" s="424">
        <v>18</v>
      </c>
      <c r="O15" s="198">
        <v>1200</v>
      </c>
      <c r="P15" s="198">
        <v>850</v>
      </c>
      <c r="Q15" s="198">
        <v>680</v>
      </c>
      <c r="R15" s="425">
        <f>1-(Q15/P15)</f>
        <v>0.19999999999999996</v>
      </c>
      <c r="S15" s="426">
        <v>480</v>
      </c>
      <c r="T15" s="427">
        <v>256.5</v>
      </c>
      <c r="U15" s="428">
        <f>(O15*(1-R15)*N15*T15*S15)/100000000</f>
        <v>21.275136</v>
      </c>
      <c r="V15" s="429">
        <f>+C23/1000</f>
        <v>9.6809999999999992</v>
      </c>
      <c r="W15" s="430">
        <f>SUM(V15:V17)/SUM(U15:U17)</f>
        <v>0.4550382192621471</v>
      </c>
      <c r="AA15" s="148">
        <f>480-AA14</f>
        <v>198</v>
      </c>
      <c r="AB15" s="175">
        <f>+AB14/AA14</f>
        <v>1133.4751773049645</v>
      </c>
      <c r="AC15" s="175">
        <f>+AC14/AA14</f>
        <v>850.10638297872345</v>
      </c>
      <c r="AH15" s="148">
        <f>480-AH14</f>
        <v>208</v>
      </c>
      <c r="AI15" s="175">
        <f>+AI14/AH14</f>
        <v>1130.6617647058824</v>
      </c>
      <c r="AJ15" s="175">
        <f>+AJ14/AH14</f>
        <v>847.99632352941171</v>
      </c>
    </row>
    <row r="16" spans="1:36" ht="13.5" thickBot="1">
      <c r="A16" s="757"/>
      <c r="B16" s="220" t="s">
        <v>655</v>
      </c>
      <c r="C16" s="221">
        <f>3382+1943</f>
        <v>5325</v>
      </c>
      <c r="D16" s="222"/>
      <c r="E16" s="223"/>
      <c r="F16" s="227">
        <v>2</v>
      </c>
      <c r="G16" s="560" t="s">
        <v>12</v>
      </c>
      <c r="H16" s="229" t="s">
        <v>414</v>
      </c>
      <c r="I16" s="755"/>
      <c r="J16" s="213" t="str">
        <f>+'29'!J16</f>
        <v>T 12,5 VP OW</v>
      </c>
      <c r="K16" s="228">
        <f>+C7+C16</f>
        <v>10424</v>
      </c>
      <c r="L16" s="228"/>
      <c r="M16" s="116">
        <f>+K16+'29'!M16+L16</f>
        <v>117795</v>
      </c>
      <c r="N16" s="435"/>
      <c r="O16" s="198"/>
      <c r="P16" s="198"/>
      <c r="Q16" s="436"/>
      <c r="R16" s="425"/>
      <c r="S16" s="198"/>
      <c r="T16" s="427"/>
      <c r="U16" s="428"/>
      <c r="V16" s="429"/>
      <c r="W16" s="431"/>
    </row>
    <row r="17" spans="1:36" ht="13.5" thickBot="1">
      <c r="A17" s="757"/>
      <c r="B17" s="214" t="s">
        <v>469</v>
      </c>
      <c r="C17" s="215">
        <f>9681-C16</f>
        <v>4356</v>
      </c>
      <c r="D17" s="216"/>
      <c r="E17" s="224"/>
      <c r="F17" s="227">
        <f>35-17</f>
        <v>18</v>
      </c>
      <c r="G17" s="560" t="s">
        <v>12</v>
      </c>
      <c r="H17" s="232" t="s">
        <v>386</v>
      </c>
      <c r="I17" s="755"/>
      <c r="J17" s="213" t="str">
        <f>+'29'!J17</f>
        <v>T 13,5 VP OW</v>
      </c>
      <c r="K17" s="228"/>
      <c r="L17" s="228"/>
      <c r="M17" s="116">
        <f>+K17+'29'!M17+L17</f>
        <v>43528</v>
      </c>
      <c r="N17" s="432"/>
      <c r="O17" s="198"/>
      <c r="R17" s="425"/>
      <c r="T17" s="427"/>
      <c r="U17" s="428"/>
      <c r="X17" s="148" t="s">
        <v>460</v>
      </c>
      <c r="Y17" s="148">
        <v>1230</v>
      </c>
      <c r="Z17" s="148">
        <f>+Y17-(Y17*0.27)</f>
        <v>897.9</v>
      </c>
      <c r="AA17" s="148">
        <v>480</v>
      </c>
      <c r="AB17" s="148">
        <f t="shared" ref="AB17" si="8">+Y17*AA17</f>
        <v>590400</v>
      </c>
      <c r="AC17" s="148">
        <f t="shared" ref="AC17" si="9">+Z17*AA17</f>
        <v>430992</v>
      </c>
      <c r="AE17" s="148" t="s">
        <v>460</v>
      </c>
      <c r="AF17" s="148">
        <v>1210</v>
      </c>
      <c r="AG17" s="148">
        <v>907.5</v>
      </c>
      <c r="AH17" s="148">
        <v>10</v>
      </c>
      <c r="AI17" s="148">
        <f t="shared" ref="AI17" si="10">+AF17*AH17</f>
        <v>12100</v>
      </c>
      <c r="AJ17" s="148">
        <f t="shared" ref="AJ17" si="11">+AG17*AH17</f>
        <v>9075</v>
      </c>
    </row>
    <row r="18" spans="1:36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778</v>
      </c>
      <c r="I18" s="755"/>
      <c r="J18" s="213" t="str">
        <f>+'29'!J18</f>
        <v>F 14,5 VP OW</v>
      </c>
      <c r="K18" s="238"/>
      <c r="L18" s="238"/>
      <c r="M18" s="116">
        <f>+K18+'29'!M18+L18</f>
        <v>158908</v>
      </c>
      <c r="N18" s="432"/>
      <c r="AI18" s="148">
        <f t="shared" ref="AI18:AI20" si="12">+AF18*AH18</f>
        <v>0</v>
      </c>
      <c r="AJ18" s="148">
        <f t="shared" ref="AJ18:AJ20" si="13">+AG18*AH18</f>
        <v>0</v>
      </c>
    </row>
    <row r="19" spans="1:36" ht="51.75" thickBot="1">
      <c r="A19" s="757"/>
      <c r="B19" s="214"/>
      <c r="C19" s="215"/>
      <c r="D19" s="216"/>
      <c r="E19" s="224"/>
      <c r="F19" s="234"/>
      <c r="G19" s="231"/>
      <c r="H19" s="232" t="s">
        <v>779</v>
      </c>
      <c r="I19" s="755"/>
      <c r="J19" s="213" t="str">
        <f>+'29'!J19</f>
        <v>T 15 VP OW</v>
      </c>
      <c r="K19" s="238"/>
      <c r="L19" s="238"/>
      <c r="M19" s="116">
        <f>+K19+'29'!M19+L19</f>
        <v>33635</v>
      </c>
      <c r="N19" s="432"/>
      <c r="AE19" s="148" t="s">
        <v>460</v>
      </c>
      <c r="AF19" s="148">
        <v>1230</v>
      </c>
      <c r="AG19" s="148">
        <v>897.9</v>
      </c>
      <c r="AH19" s="148">
        <v>480</v>
      </c>
      <c r="AI19" s="148">
        <f t="shared" si="12"/>
        <v>590400</v>
      </c>
      <c r="AJ19" s="148">
        <f t="shared" si="13"/>
        <v>430992</v>
      </c>
    </row>
    <row r="20" spans="1:3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+'29'!J20</f>
        <v>0</v>
      </c>
      <c r="K20" s="239"/>
      <c r="L20" s="239"/>
      <c r="M20" s="116">
        <f>+K20+'29'!M20+L20</f>
        <v>0</v>
      </c>
      <c r="N20" s="432"/>
      <c r="AE20" s="148" t="s">
        <v>460</v>
      </c>
      <c r="AF20" s="148">
        <v>1230</v>
      </c>
      <c r="AG20" s="148">
        <v>934.8</v>
      </c>
      <c r="AH20" s="148">
        <v>480</v>
      </c>
      <c r="AI20" s="148">
        <f t="shared" si="12"/>
        <v>590400</v>
      </c>
      <c r="AJ20" s="148">
        <f t="shared" si="13"/>
        <v>448704</v>
      </c>
    </row>
    <row r="21" spans="1:3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+'29'!J21</f>
        <v>0</v>
      </c>
      <c r="K21" s="238"/>
      <c r="L21" s="238"/>
      <c r="M21" s="116">
        <f>+K21+'29'!M21+L21</f>
        <v>0</v>
      </c>
      <c r="N21" s="433"/>
      <c r="O21" s="434"/>
      <c r="P21" s="434"/>
      <c r="Q21" s="434"/>
      <c r="R21" s="434"/>
      <c r="S21" s="434"/>
      <c r="T21" s="434"/>
      <c r="U21" s="434"/>
      <c r="V21" s="434"/>
      <c r="W21" s="434"/>
    </row>
    <row r="22" spans="1:3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+'29'!J22</f>
        <v>0</v>
      </c>
      <c r="K22" s="238"/>
      <c r="L22" s="238"/>
      <c r="M22" s="116">
        <f>+K22+'29'!M22+L22</f>
        <v>0</v>
      </c>
    </row>
    <row r="23" spans="1:36" ht="13.5" thickBot="1">
      <c r="A23" s="758"/>
      <c r="B23" s="167" t="s">
        <v>2</v>
      </c>
      <c r="C23" s="99">
        <f>SUM(C16:C22)</f>
        <v>9681</v>
      </c>
      <c r="D23" s="110">
        <f>SUM(D16:D22)</f>
        <v>0</v>
      </c>
      <c r="E23" s="111">
        <f>SUM(E18:E22)</f>
        <v>0</v>
      </c>
      <c r="F23" s="115">
        <f>SUM(F15:F22)</f>
        <v>35</v>
      </c>
      <c r="G23" s="158"/>
      <c r="H23" s="165"/>
      <c r="I23" s="168"/>
      <c r="J23" s="213">
        <f>+'29'!J23</f>
        <v>0</v>
      </c>
      <c r="K23" s="238"/>
      <c r="L23" s="238"/>
      <c r="M23" s="116">
        <f>+K23+'29'!M23+L23</f>
        <v>0</v>
      </c>
      <c r="N23" s="437"/>
      <c r="O23" s="438"/>
      <c r="P23" s="438"/>
      <c r="Q23" s="438"/>
      <c r="R23" s="438"/>
      <c r="S23" s="438"/>
      <c r="T23" s="438"/>
      <c r="U23" s="438"/>
      <c r="V23" s="438"/>
      <c r="W23" s="438"/>
    </row>
    <row r="24" spans="1:36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35">
        <v>6</v>
      </c>
      <c r="G24" s="228" t="s">
        <v>12</v>
      </c>
      <c r="H24" s="229" t="s">
        <v>400</v>
      </c>
      <c r="I24" s="754" t="s">
        <v>409</v>
      </c>
      <c r="J24" s="213">
        <f>+'29'!J24</f>
        <v>0</v>
      </c>
      <c r="K24" s="238"/>
      <c r="L24" s="238"/>
      <c r="M24" s="116">
        <f>+K24+'29'!M24+L24</f>
        <v>0</v>
      </c>
      <c r="N24" s="424">
        <v>18</v>
      </c>
      <c r="O24" s="198">
        <v>1200</v>
      </c>
      <c r="P24" s="198">
        <v>770</v>
      </c>
      <c r="Q24" s="198">
        <v>616</v>
      </c>
      <c r="R24" s="425">
        <f>1-(Q24/P24)</f>
        <v>0.19999999999999996</v>
      </c>
      <c r="S24" s="426">
        <v>480</v>
      </c>
      <c r="T24" s="427">
        <v>256.5</v>
      </c>
      <c r="U24" s="428">
        <f>(O24*(1-R24)*N24*T24*S24)/100000000</f>
        <v>21.275136</v>
      </c>
      <c r="V24" s="429">
        <f>+C32/1000</f>
        <v>14.808</v>
      </c>
      <c r="W24" s="430">
        <f>SUM(V24:V25)/SUM(U24:U25)</f>
        <v>0.69602375279763196</v>
      </c>
      <c r="AH24" s="175">
        <f>SUM(AH16:AH21)</f>
        <v>970</v>
      </c>
      <c r="AI24" s="175">
        <f>SUM(AI16:AI21)</f>
        <v>1192900</v>
      </c>
      <c r="AJ24" s="175">
        <f>SUM(AJ16:AJ21)</f>
        <v>888771</v>
      </c>
    </row>
    <row r="25" spans="1:36" ht="13.5" thickBot="1">
      <c r="A25" s="757"/>
      <c r="B25" s="214" t="s">
        <v>469</v>
      </c>
      <c r="C25" s="225">
        <v>14808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+'29'!J25</f>
        <v>0</v>
      </c>
      <c r="K25" s="238"/>
      <c r="L25" s="238"/>
      <c r="M25" s="116">
        <f>+K25+'29'!M25+L25</f>
        <v>0</v>
      </c>
      <c r="N25" s="424"/>
      <c r="O25" s="198"/>
      <c r="P25" s="198"/>
      <c r="Q25" s="198"/>
      <c r="R25" s="425"/>
      <c r="S25" s="426"/>
      <c r="T25" s="427"/>
      <c r="U25" s="428"/>
      <c r="V25" s="429"/>
      <c r="W25" s="430"/>
      <c r="AA25" s="175">
        <f>SUM(AA17:AA22)</f>
        <v>480</v>
      </c>
      <c r="AB25" s="175">
        <f>SUM(AB17:AB22)</f>
        <v>590400</v>
      </c>
      <c r="AC25" s="175">
        <f>SUM(AC17:AC22)</f>
        <v>430992</v>
      </c>
      <c r="AH25" s="148">
        <f>480-AH24</f>
        <v>-490</v>
      </c>
      <c r="AI25" s="175">
        <f>+AI24/AH24</f>
        <v>1229.7938144329896</v>
      </c>
      <c r="AJ25" s="175">
        <f>+AJ24/AH24</f>
        <v>916.25876288659799</v>
      </c>
    </row>
    <row r="26" spans="1:36" ht="13.5" thickBot="1">
      <c r="A26" s="757"/>
      <c r="B26" s="214"/>
      <c r="C26" s="225"/>
      <c r="D26" s="216"/>
      <c r="E26" s="226"/>
      <c r="F26" s="230">
        <f>21-6</f>
        <v>15</v>
      </c>
      <c r="G26" s="560" t="s">
        <v>12</v>
      </c>
      <c r="H26" s="232" t="s">
        <v>427</v>
      </c>
      <c r="I26" s="755"/>
      <c r="J26" s="213">
        <f>+'29'!J26</f>
        <v>0</v>
      </c>
      <c r="K26" s="238"/>
      <c r="L26" s="238"/>
      <c r="M26" s="116">
        <f>+K26+'29'!M26+L26</f>
        <v>0</v>
      </c>
      <c r="AA26" s="148">
        <f>480-AA25</f>
        <v>0</v>
      </c>
      <c r="AB26" s="175">
        <f>+AB25/AA25</f>
        <v>1230</v>
      </c>
      <c r="AC26" s="175">
        <f>+AC25/AA25</f>
        <v>897.9</v>
      </c>
    </row>
    <row r="27" spans="1:36" ht="26.25" thickBot="1">
      <c r="A27" s="757"/>
      <c r="B27" s="214"/>
      <c r="C27" s="215"/>
      <c r="D27" s="216"/>
      <c r="E27" s="224"/>
      <c r="F27" s="230"/>
      <c r="G27" s="236" t="s">
        <v>13</v>
      </c>
      <c r="H27" s="232" t="s">
        <v>780</v>
      </c>
      <c r="I27" s="755"/>
      <c r="J27" s="213">
        <f>+'29'!J27</f>
        <v>0</v>
      </c>
      <c r="K27" s="238"/>
      <c r="L27" s="238"/>
      <c r="M27" s="116">
        <f>+K27+'29'!M27+L27</f>
        <v>0</v>
      </c>
      <c r="X27" s="148" t="s">
        <v>460</v>
      </c>
      <c r="Y27" s="148">
        <v>1230</v>
      </c>
      <c r="Z27" s="148">
        <f>+Y27-(Y27*0.24)</f>
        <v>934.8</v>
      </c>
      <c r="AA27" s="148">
        <v>480</v>
      </c>
      <c r="AB27" s="148">
        <f t="shared" ref="AB27" si="14">+Y27*AA27</f>
        <v>590400</v>
      </c>
      <c r="AC27" s="148">
        <f t="shared" ref="AC27" si="15">+Z27*AA27</f>
        <v>448704</v>
      </c>
    </row>
    <row r="28" spans="1:36" ht="13.5" thickBot="1">
      <c r="A28" s="757"/>
      <c r="B28" s="214"/>
      <c r="C28" s="215"/>
      <c r="D28" s="216"/>
      <c r="E28" s="224"/>
      <c r="F28" s="230"/>
      <c r="G28" s="231"/>
      <c r="H28" s="232" t="s">
        <v>781</v>
      </c>
      <c r="I28" s="755"/>
      <c r="J28" s="213">
        <f>+'29'!J28</f>
        <v>0</v>
      </c>
      <c r="K28" s="238"/>
      <c r="L28" s="238"/>
      <c r="M28" s="116">
        <f>+K28+'29'!M28+L28</f>
        <v>0</v>
      </c>
    </row>
    <row r="29" spans="1:3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+'29'!J29</f>
        <v>0</v>
      </c>
      <c r="K29" s="238"/>
      <c r="L29" s="238"/>
      <c r="M29" s="116">
        <f>+K29+'29'!M29+L29</f>
        <v>0</v>
      </c>
    </row>
    <row r="30" spans="1:3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+'29'!J30</f>
        <v>0</v>
      </c>
      <c r="K30" s="238"/>
      <c r="L30" s="238"/>
      <c r="M30" s="116">
        <f>+K30+'29'!M30+L30</f>
        <v>0</v>
      </c>
      <c r="N30" s="154"/>
    </row>
    <row r="31" spans="1:36" ht="13.5" thickBot="1">
      <c r="A31" s="757"/>
      <c r="B31" s="214"/>
      <c r="C31" s="225"/>
      <c r="D31" s="216"/>
      <c r="E31" s="224"/>
      <c r="F31" s="235"/>
      <c r="G31" s="236"/>
      <c r="H31" s="233"/>
      <c r="I31" s="756"/>
      <c r="J31" s="213">
        <f>+'29'!J31</f>
        <v>0</v>
      </c>
      <c r="K31" s="238"/>
      <c r="L31" s="238"/>
      <c r="M31" s="116">
        <f>+K31+'29'!M31+L31</f>
        <v>0</v>
      </c>
    </row>
    <row r="32" spans="1:36" ht="13.5" thickBot="1">
      <c r="A32" s="758"/>
      <c r="B32" s="164" t="s">
        <v>2</v>
      </c>
      <c r="C32" s="98">
        <f>SUM(C25:C31)</f>
        <v>14808</v>
      </c>
      <c r="D32" s="99">
        <f>SUM(D25:D31)</f>
        <v>0</v>
      </c>
      <c r="E32" s="100">
        <f>SUM(E25:E31)</f>
        <v>0</v>
      </c>
      <c r="F32" s="101">
        <f>SUM(F24:F31)</f>
        <v>21</v>
      </c>
      <c r="G32" s="170"/>
      <c r="H32" s="171"/>
      <c r="I32" s="168"/>
      <c r="J32" s="213">
        <f>+'29'!J32</f>
        <v>0</v>
      </c>
      <c r="K32" s="240"/>
      <c r="L32" s="242"/>
      <c r="M32" s="116">
        <f>+K32+'29'!M32+L32</f>
        <v>0</v>
      </c>
    </row>
    <row r="33" spans="1:2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9" ht="13.5" thickBot="1">
      <c r="A34" s="759" t="s">
        <v>57</v>
      </c>
      <c r="B34" s="760"/>
      <c r="C34" s="106">
        <f>C14+C23+C32</f>
        <v>29588</v>
      </c>
      <c r="D34" s="106">
        <f>D14+D23+D32</f>
        <v>690</v>
      </c>
      <c r="E34" s="106">
        <f>E14+E23+E32</f>
        <v>0</v>
      </c>
      <c r="F34" s="107">
        <f>F14+F23+F32</f>
        <v>266</v>
      </c>
      <c r="H34" s="177"/>
      <c r="I34" s="177"/>
      <c r="J34" s="122" t="s">
        <v>28</v>
      </c>
      <c r="K34" s="123">
        <f>SUM(K7:K32)</f>
        <v>29588</v>
      </c>
      <c r="L34" s="211">
        <f>SUM(L7:L32)</f>
        <v>0</v>
      </c>
      <c r="M34" s="119">
        <f>SUM(M7:M32)</f>
        <v>1129496</v>
      </c>
      <c r="N34" s="154"/>
    </row>
    <row r="35" spans="1:29" ht="13.5" thickBot="1">
      <c r="A35" s="178"/>
      <c r="B35" s="179"/>
      <c r="C35" s="103">
        <f>C34/($C$34+$D$34+$E$34)</f>
        <v>0.97721117643173261</v>
      </c>
      <c r="D35" s="103">
        <f>D34/($C$34+$D$34+$E$34)</f>
        <v>2.2788823568267388E-2</v>
      </c>
      <c r="E35" s="108">
        <f>E34/($C$34+$D$34+$E$34)</f>
        <v>0</v>
      </c>
      <c r="K35" s="154"/>
      <c r="AA35" s="175">
        <f>SUM(AA27:AA32)</f>
        <v>480</v>
      </c>
      <c r="AB35" s="175">
        <f>SUM(AB27:AB32)</f>
        <v>590400</v>
      </c>
      <c r="AC35" s="175">
        <f>SUM(AC27:AC32)</f>
        <v>448704</v>
      </c>
    </row>
    <row r="36" spans="1:2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AA36" s="148">
        <f>480-AA35</f>
        <v>0</v>
      </c>
      <c r="AB36" s="175">
        <f>+AB35/AA35</f>
        <v>1230</v>
      </c>
      <c r="AC36" s="175">
        <f>+AC35/AA35</f>
        <v>934.8</v>
      </c>
    </row>
    <row r="37" spans="1:2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(12.5*272+12*970)/1242*G42*2.74*1242/1000000</f>
        <v>37.142590732367161</v>
      </c>
      <c r="J37" s="124">
        <f>+I37+'29'!J37</f>
        <v>1308.0591941548473</v>
      </c>
      <c r="K37" s="125" t="s">
        <v>63</v>
      </c>
    </row>
    <row r="38" spans="1:29" ht="17.45" customHeight="1">
      <c r="A38" s="763" t="s">
        <v>12</v>
      </c>
      <c r="B38" s="764"/>
      <c r="C38" s="163">
        <f>SUMIF($G$7:$G$31,"Process",$F$7:$F$31)</f>
        <v>68</v>
      </c>
      <c r="D38" s="117">
        <f>+C38+'29'!D38</f>
        <v>1874</v>
      </c>
      <c r="E38" s="142">
        <f t="shared" ref="E38:E51" si="16">D38/60</f>
        <v>31.233333333333334</v>
      </c>
      <c r="F38" s="321">
        <v>1133.4751773049645</v>
      </c>
      <c r="G38" s="321">
        <v>850.10638297872345</v>
      </c>
      <c r="H38" s="186" t="s">
        <v>64</v>
      </c>
      <c r="I38" s="244">
        <f>8.142+10.85+14.697</f>
        <v>33.688999999999993</v>
      </c>
      <c r="J38" s="126">
        <f>+I38+'29'!J38</f>
        <v>1169.921</v>
      </c>
      <c r="K38" s="127" t="s">
        <v>63</v>
      </c>
    </row>
    <row r="39" spans="1:29" ht="17.45" customHeight="1">
      <c r="A39" s="765" t="s">
        <v>13</v>
      </c>
      <c r="B39" s="766"/>
      <c r="C39" s="163">
        <f>SUMIF($G$7:$G$31,"Cleaning",$F$7:$F$31)</f>
        <v>0</v>
      </c>
      <c r="D39" s="117">
        <f>+C39+'29'!D39</f>
        <v>33</v>
      </c>
      <c r="E39" s="142">
        <f t="shared" si="16"/>
        <v>0.55000000000000004</v>
      </c>
      <c r="F39" s="321">
        <v>1230</v>
      </c>
      <c r="G39" s="321">
        <v>897.9</v>
      </c>
      <c r="H39" s="186" t="s">
        <v>65</v>
      </c>
      <c r="I39" s="141"/>
      <c r="J39" s="128">
        <f>J37/G4</f>
        <v>43.601973138494913</v>
      </c>
      <c r="K39" s="129" t="s">
        <v>63</v>
      </c>
      <c r="X39" s="148" t="s">
        <v>643</v>
      </c>
      <c r="Y39" s="148">
        <v>1130.6617647058824</v>
      </c>
      <c r="Z39" s="148">
        <v>847.99632352941171</v>
      </c>
      <c r="AA39" s="148">
        <v>272</v>
      </c>
    </row>
    <row r="40" spans="1:29" ht="17.45" customHeight="1">
      <c r="A40" s="765" t="s">
        <v>66</v>
      </c>
      <c r="B40" s="766"/>
      <c r="C40" s="163">
        <f>SUMIF($G$7:$G$31,"Mechanical",$F$7:$F$31)</f>
        <v>0</v>
      </c>
      <c r="D40" s="117">
        <f>+C40+'29'!D40</f>
        <v>206</v>
      </c>
      <c r="E40" s="142">
        <f t="shared" si="16"/>
        <v>3.4333333333333331</v>
      </c>
      <c r="F40" s="321">
        <v>1230</v>
      </c>
      <c r="G40" s="321">
        <v>934.8</v>
      </c>
      <c r="H40" s="186" t="s">
        <v>67</v>
      </c>
      <c r="I40" s="117">
        <f>(K34+L34)/1000</f>
        <v>29.588000000000001</v>
      </c>
      <c r="J40" s="130">
        <f>+I40+'29'!J40</f>
        <v>1129.4960000000003</v>
      </c>
      <c r="K40" s="129" t="s">
        <v>63</v>
      </c>
      <c r="X40" s="148" t="s">
        <v>460</v>
      </c>
      <c r="Y40" s="148">
        <v>1229.7938144329896</v>
      </c>
      <c r="Z40" s="148">
        <v>916.25876288659799</v>
      </c>
      <c r="AA40" s="148">
        <v>970</v>
      </c>
    </row>
    <row r="41" spans="1:29" ht="17.45" customHeight="1">
      <c r="A41" s="765" t="s">
        <v>68</v>
      </c>
      <c r="B41" s="766"/>
      <c r="C41" s="163">
        <f>SUMIF($G$7:$G$31,"Electrical",$F$7:$F$31)</f>
        <v>0</v>
      </c>
      <c r="D41" s="117">
        <f>+C41+'29'!D41</f>
        <v>0</v>
      </c>
      <c r="E41" s="142">
        <f t="shared" si="16"/>
        <v>0</v>
      </c>
      <c r="F41" s="321"/>
      <c r="G41" s="321"/>
      <c r="H41" s="186" t="s">
        <v>69</v>
      </c>
      <c r="I41" s="141"/>
      <c r="J41" s="128">
        <f>J40/G4</f>
        <v>37.649866666666675</v>
      </c>
      <c r="K41" s="129" t="s">
        <v>63</v>
      </c>
      <c r="AA41" s="148">
        <f>SUM(AA39:AA40)</f>
        <v>1242</v>
      </c>
    </row>
    <row r="42" spans="1:29" ht="17.45" customHeight="1">
      <c r="A42" s="765" t="s">
        <v>16</v>
      </c>
      <c r="B42" s="766"/>
      <c r="C42" s="163">
        <f>SUMIF($G$7:$G$31,"Instrument",$F$7:$F$31)</f>
        <v>0</v>
      </c>
      <c r="D42" s="117">
        <f>+C42+'29'!D42</f>
        <v>0</v>
      </c>
      <c r="E42" s="142">
        <f t="shared" si="16"/>
        <v>0</v>
      </c>
      <c r="F42" s="321">
        <f>+(282*F38+480*F39+480*F40)/1242</f>
        <v>1208.083735909823</v>
      </c>
      <c r="G42" s="321">
        <f>+(282*G38+480*G39+480*G40)/1242</f>
        <v>901.3091787439613</v>
      </c>
      <c r="H42" s="186" t="s">
        <v>70</v>
      </c>
      <c r="I42" s="245" t="s">
        <v>785</v>
      </c>
      <c r="J42" s="131"/>
      <c r="K42" s="129" t="s">
        <v>71</v>
      </c>
    </row>
    <row r="43" spans="1:29" ht="17.45" customHeight="1">
      <c r="A43" s="765" t="s">
        <v>72</v>
      </c>
      <c r="B43" s="766"/>
      <c r="C43" s="163">
        <f>SUMIF($G$7:$G$31,"Water",$F$7:$F$31)</f>
        <v>0</v>
      </c>
      <c r="D43" s="117">
        <f>+C43+'29'!D43</f>
        <v>0</v>
      </c>
      <c r="E43" s="142">
        <f t="shared" si="16"/>
        <v>0</v>
      </c>
      <c r="F43" s="321"/>
      <c r="G43" s="322"/>
      <c r="H43" s="187" t="s">
        <v>73</v>
      </c>
      <c r="I43" s="117">
        <f>+Report1!Z38</f>
        <v>47.7</v>
      </c>
      <c r="J43" s="132">
        <f>+I43+'29'!J43</f>
        <v>1615.5999999999997</v>
      </c>
      <c r="K43" s="129" t="s">
        <v>63</v>
      </c>
      <c r="L43" s="188"/>
      <c r="Z43" s="148">
        <v>282</v>
      </c>
    </row>
    <row r="44" spans="1:29" ht="17.45" customHeight="1">
      <c r="A44" s="765" t="s">
        <v>17</v>
      </c>
      <c r="B44" s="766"/>
      <c r="C44" s="163">
        <f>SUMIF($G$7:$G$31,"PLN",$F$7:$F$31)</f>
        <v>0</v>
      </c>
      <c r="D44" s="117">
        <f>+C44+'29'!D44</f>
        <v>438</v>
      </c>
      <c r="E44" s="142">
        <f t="shared" si="16"/>
        <v>7.3</v>
      </c>
      <c r="F44" s="321"/>
      <c r="G44" s="322"/>
      <c r="H44" s="187" t="s">
        <v>74</v>
      </c>
      <c r="I44" s="117">
        <f>I43/I38</f>
        <v>1.4158924277954232</v>
      </c>
      <c r="J44" s="133">
        <f>J43/J38</f>
        <v>1.3809479443483788</v>
      </c>
      <c r="K44" s="129" t="s">
        <v>63</v>
      </c>
      <c r="Z44" s="148">
        <v>480</v>
      </c>
    </row>
    <row r="45" spans="1:29" ht="17.45" customHeight="1">
      <c r="A45" s="765" t="s">
        <v>18</v>
      </c>
      <c r="B45" s="766"/>
      <c r="C45" s="163">
        <f>SUMIF($G$7:$G$31,"Boiler",$F$7:$F$31)</f>
        <v>0</v>
      </c>
      <c r="D45" s="117">
        <f>+C45+'29'!D45</f>
        <v>0</v>
      </c>
      <c r="E45" s="142">
        <f t="shared" si="16"/>
        <v>0</v>
      </c>
      <c r="F45" s="321"/>
      <c r="G45" s="324"/>
      <c r="H45" s="187" t="s">
        <v>75</v>
      </c>
      <c r="I45" s="117">
        <f>I43/I40</f>
        <v>1.6121400567797757</v>
      </c>
      <c r="J45" s="133">
        <f>J43/J40</f>
        <v>1.4303724847188473</v>
      </c>
      <c r="K45" s="129" t="s">
        <v>63</v>
      </c>
      <c r="Z45" s="148">
        <v>480</v>
      </c>
    </row>
    <row r="46" spans="1:29" ht="17.45" customHeight="1">
      <c r="A46" s="765" t="s">
        <v>76</v>
      </c>
      <c r="B46" s="766"/>
      <c r="C46" s="163">
        <f>SUMIF($G$7:$G$31,"Gas",$F$7:$F$31)</f>
        <v>0</v>
      </c>
      <c r="D46" s="117">
        <f>+C46+'29'!D46</f>
        <v>0</v>
      </c>
      <c r="E46" s="142">
        <f t="shared" si="16"/>
        <v>0</v>
      </c>
      <c r="F46" s="321"/>
      <c r="G46" s="322"/>
      <c r="H46" s="187" t="s">
        <v>77</v>
      </c>
      <c r="I46" s="139">
        <f>+SUMIF(Listrik!P37,"&gt;0")</f>
        <v>37686.180000001092</v>
      </c>
      <c r="J46" s="134">
        <f>+I46+'29'!J46</f>
        <v>1064891.1800000013</v>
      </c>
      <c r="K46" s="129" t="s">
        <v>78</v>
      </c>
      <c r="Z46" s="148">
        <f>SUM(Z43:Z45)</f>
        <v>1242</v>
      </c>
    </row>
    <row r="47" spans="1:29" ht="17.45" customHeight="1">
      <c r="A47" s="765" t="s">
        <v>79</v>
      </c>
      <c r="B47" s="766"/>
      <c r="C47" s="163">
        <f>SUMIF($G$7:$G$31,"Gas",$F$7:$F$31)</f>
        <v>0</v>
      </c>
      <c r="D47" s="117">
        <f>+C47+'29'!D47</f>
        <v>0</v>
      </c>
      <c r="E47" s="142">
        <f t="shared" si="16"/>
        <v>0</v>
      </c>
      <c r="F47" s="321"/>
      <c r="G47" s="322"/>
      <c r="H47" s="187" t="s">
        <v>80</v>
      </c>
      <c r="I47" s="117">
        <f>I46/I38</f>
        <v>1118.6494107869364</v>
      </c>
      <c r="J47" s="134">
        <f>J46/J38</f>
        <v>910.22486133679217</v>
      </c>
      <c r="K47" s="129" t="s">
        <v>24</v>
      </c>
    </row>
    <row r="48" spans="1:29" ht="17.45" customHeight="1">
      <c r="A48" s="765" t="s">
        <v>14</v>
      </c>
      <c r="B48" s="766"/>
      <c r="C48" s="163">
        <f>SUMIF($G$7:$G$31,"Start Up",$F$7:$F$31)</f>
        <v>0</v>
      </c>
      <c r="D48" s="117">
        <f>+C48+'29'!D48</f>
        <v>0</v>
      </c>
      <c r="E48" s="142">
        <f t="shared" si="16"/>
        <v>0</v>
      </c>
      <c r="F48" s="321"/>
      <c r="G48" s="322"/>
      <c r="H48" s="187" t="s">
        <v>81</v>
      </c>
      <c r="I48" s="117">
        <f>I46/I40</f>
        <v>1273.6981208598449</v>
      </c>
      <c r="J48" s="134">
        <f>J46/J40</f>
        <v>942.80208163641214</v>
      </c>
      <c r="K48" s="129" t="s">
        <v>24</v>
      </c>
    </row>
    <row r="49" spans="1:23" ht="17.45" customHeight="1">
      <c r="A49" s="765" t="s">
        <v>20</v>
      </c>
      <c r="B49" s="766"/>
      <c r="C49" s="163">
        <f>SUMIF($G$7:$G$31,"Others",$F$7:$F$31)</f>
        <v>198</v>
      </c>
      <c r="D49" s="117">
        <f>+C49+'29'!D49</f>
        <v>475</v>
      </c>
      <c r="E49" s="142">
        <f t="shared" si="16"/>
        <v>7.916666666666667</v>
      </c>
      <c r="F49" s="184"/>
      <c r="H49" s="187" t="s">
        <v>270</v>
      </c>
      <c r="I49" s="117">
        <f>+Report1!T38</f>
        <v>4742.5323845730964</v>
      </c>
      <c r="J49" s="134">
        <f>+I49+'29'!J49</f>
        <v>156134.67148482808</v>
      </c>
      <c r="K49" s="129" t="s">
        <v>82</v>
      </c>
    </row>
    <row r="50" spans="1:23" ht="17.45" customHeight="1">
      <c r="A50" s="765" t="s">
        <v>19</v>
      </c>
      <c r="B50" s="766"/>
      <c r="C50" s="163">
        <f>SUMIF($G$7:$G$31,"Steam",$F$7:$F$31)</f>
        <v>0</v>
      </c>
      <c r="D50" s="117">
        <f>+C50+'29'!D50</f>
        <v>0</v>
      </c>
      <c r="E50" s="142">
        <f t="shared" si="16"/>
        <v>0</v>
      </c>
      <c r="F50" s="184"/>
      <c r="H50" s="187" t="s">
        <v>83</v>
      </c>
      <c r="I50" s="139">
        <f>I49/I38</f>
        <v>140.77391387613457</v>
      </c>
      <c r="J50" s="132">
        <f>J49/J38</f>
        <v>133.45744839594133</v>
      </c>
      <c r="K50" s="129" t="s">
        <v>82</v>
      </c>
    </row>
    <row r="51" spans="1:23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+C51+'29'!D51</f>
        <v>738</v>
      </c>
      <c r="E51" s="142">
        <f t="shared" si="16"/>
        <v>12.3</v>
      </c>
      <c r="F51" s="184"/>
      <c r="H51" s="189" t="s">
        <v>85</v>
      </c>
      <c r="I51" s="140">
        <f>I49/I40</f>
        <v>160.28566934477141</v>
      </c>
      <c r="J51" s="135">
        <f>J49/J40</f>
        <v>138.23393042988027</v>
      </c>
      <c r="K51" s="136" t="s">
        <v>82</v>
      </c>
    </row>
    <row r="52" spans="1:23" ht="13.5" thickBot="1">
      <c r="A52" s="763" t="s">
        <v>28</v>
      </c>
      <c r="B52" s="764"/>
      <c r="C52" s="143">
        <f>SUM(C38:C51)</f>
        <v>266</v>
      </c>
      <c r="D52" s="143">
        <f>SUM(D38:D51)</f>
        <v>3764</v>
      </c>
      <c r="E52" s="144">
        <f>SUM(E38:E51)</f>
        <v>62.733333333333334</v>
      </c>
      <c r="F52" s="184"/>
      <c r="H52" s="190"/>
      <c r="I52" s="191"/>
      <c r="J52" s="137"/>
      <c r="K52" s="138"/>
    </row>
    <row r="53" spans="1:23" ht="13.5" thickBot="1">
      <c r="A53" s="769"/>
      <c r="B53" s="770"/>
      <c r="C53" s="145">
        <f>C52/(24*60)</f>
        <v>0.18472222222222223</v>
      </c>
      <c r="D53" s="145">
        <f>D52/(24*60*G4)</f>
        <v>8.7129629629629626E-2</v>
      </c>
      <c r="E53" s="146">
        <f>E52/(G4*24)</f>
        <v>8.7129629629629626E-2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+D34+'29'!J56</f>
        <v>5247</v>
      </c>
      <c r="K56" s="200">
        <f>J56/(J40+J56/1000)/1000</f>
        <v>4.6239544989482182E-3</v>
      </c>
    </row>
    <row r="57" spans="1:23">
      <c r="A57" s="175"/>
      <c r="I57" s="198" t="s">
        <v>88</v>
      </c>
      <c r="J57" s="199">
        <f>+E34+'29'!J57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1"/>
  <sheetViews>
    <sheetView topLeftCell="C4" zoomScale="80" zoomScaleNormal="80" workbookViewId="0">
      <selection activeCell="G11" sqref="G1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29" ht="15.75">
      <c r="A1" s="147"/>
    </row>
    <row r="2" spans="1:29" ht="15.75">
      <c r="A2" s="147" t="s">
        <v>183</v>
      </c>
    </row>
    <row r="3" spans="1:29" ht="15">
      <c r="A3" s="149"/>
    </row>
    <row r="4" spans="1:29" ht="20.25">
      <c r="A4" s="150" t="s">
        <v>3</v>
      </c>
      <c r="B4" s="151"/>
      <c r="F4" s="152" t="s">
        <v>29</v>
      </c>
      <c r="G4" s="153">
        <v>29</v>
      </c>
      <c r="H4" s="153" t="str">
        <f>+'1'!H4</f>
        <v>.04.26</v>
      </c>
    </row>
    <row r="5" spans="1:29" ht="13.5" thickBot="1">
      <c r="C5" s="154"/>
      <c r="D5" s="154"/>
    </row>
    <row r="6" spans="1:2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2" t="s">
        <v>190</v>
      </c>
      <c r="P6" s="422" t="s">
        <v>190</v>
      </c>
      <c r="Q6" s="422" t="s">
        <v>191</v>
      </c>
      <c r="R6" s="422" t="s">
        <v>192</v>
      </c>
      <c r="S6" s="422" t="s">
        <v>193</v>
      </c>
      <c r="T6" s="422" t="s">
        <v>188</v>
      </c>
      <c r="U6" s="423" t="s">
        <v>194</v>
      </c>
      <c r="V6" s="422" t="s">
        <v>195</v>
      </c>
      <c r="W6" s="422" t="s">
        <v>189</v>
      </c>
      <c r="X6" s="148" t="s">
        <v>643</v>
      </c>
      <c r="Y6" s="148">
        <v>1230</v>
      </c>
      <c r="Z6" s="148">
        <f>+Y6-(Y6*0.24)</f>
        <v>934.8</v>
      </c>
      <c r="AA6" s="148">
        <f>60+30</f>
        <v>90</v>
      </c>
      <c r="AB6" s="148">
        <f t="shared" ref="AB6:AB8" si="0">+Y6*AA6</f>
        <v>110700</v>
      </c>
      <c r="AC6" s="148">
        <f t="shared" ref="AC6:AC8" si="1">+Z6*AA6</f>
        <v>84132</v>
      </c>
    </row>
    <row r="7" spans="1:29" ht="13.5" customHeight="1" thickBot="1">
      <c r="A7" s="751" t="s">
        <v>390</v>
      </c>
      <c r="B7" s="214" t="s">
        <v>655</v>
      </c>
      <c r="C7" s="215">
        <v>4057</v>
      </c>
      <c r="D7" s="216"/>
      <c r="E7" s="217"/>
      <c r="F7" s="227"/>
      <c r="G7" s="228" t="s">
        <v>12</v>
      </c>
      <c r="H7" s="229" t="s">
        <v>385</v>
      </c>
      <c r="I7" s="754" t="s">
        <v>762</v>
      </c>
      <c r="J7" s="213" t="str">
        <f>+'28'!J7</f>
        <v>F 11,5 VP OW</v>
      </c>
      <c r="K7" s="237"/>
      <c r="L7" s="241"/>
      <c r="M7" s="116">
        <f>+K7+'28'!M7+L7</f>
        <v>168614</v>
      </c>
      <c r="N7" s="424">
        <v>14.5</v>
      </c>
      <c r="O7" s="198">
        <v>1200</v>
      </c>
      <c r="P7" s="198">
        <v>1120</v>
      </c>
      <c r="Q7" s="198">
        <v>896</v>
      </c>
      <c r="R7" s="425">
        <f>1-(Q7/P7)</f>
        <v>0.19999999999999996</v>
      </c>
      <c r="S7" s="426">
        <v>45</v>
      </c>
      <c r="T7" s="427">
        <v>256.5</v>
      </c>
      <c r="U7" s="428">
        <f>(O7*(1-R7)*N7*T7*S7)/100000000</f>
        <v>1.606716</v>
      </c>
      <c r="V7" s="429">
        <f>+C14/1000</f>
        <v>4.0570000000000004</v>
      </c>
      <c r="W7" s="430">
        <f>SUM(V7:V9)/SUM(U7:U9)</f>
        <v>0.19423278480884185</v>
      </c>
      <c r="Y7" s="148">
        <v>1200</v>
      </c>
      <c r="Z7" s="148">
        <f>+Y7-(Y7*0.25)</f>
        <v>900</v>
      </c>
      <c r="AA7" s="148">
        <f>60-20+120</f>
        <v>160</v>
      </c>
      <c r="AB7" s="148">
        <f t="shared" si="0"/>
        <v>192000</v>
      </c>
      <c r="AC7" s="148">
        <f t="shared" si="1"/>
        <v>144000</v>
      </c>
    </row>
    <row r="8" spans="1:2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+'28'!J8</f>
        <v>F 14 VP OW</v>
      </c>
      <c r="K8" s="238"/>
      <c r="L8" s="238"/>
      <c r="M8" s="116">
        <f>+K8+'28'!M8+L8</f>
        <v>90331</v>
      </c>
      <c r="N8" s="424">
        <v>18</v>
      </c>
      <c r="O8" s="198">
        <v>1200</v>
      </c>
      <c r="P8" s="198">
        <v>930</v>
      </c>
      <c r="Q8" s="198">
        <v>744</v>
      </c>
      <c r="R8" s="425">
        <f>1-(Q8/P8)</f>
        <v>0.19999999999999996</v>
      </c>
      <c r="S8" s="426">
        <f>480-S7</f>
        <v>435</v>
      </c>
      <c r="T8" s="427">
        <v>256.5</v>
      </c>
      <c r="U8" s="428">
        <f>(O8*(1-R8)*N8*T8*S8)/100000000</f>
        <v>19.280591999999999</v>
      </c>
      <c r="V8" s="429"/>
      <c r="W8" s="431"/>
      <c r="Z8" s="148">
        <f t="shared" ref="Z8" si="2">+Y8-(Y8*0.24)</f>
        <v>0</v>
      </c>
      <c r="AB8" s="148">
        <f t="shared" si="0"/>
        <v>0</v>
      </c>
      <c r="AC8" s="148">
        <f t="shared" si="1"/>
        <v>0</v>
      </c>
    </row>
    <row r="9" spans="1:29" ht="13.5" thickBot="1">
      <c r="A9" s="752"/>
      <c r="B9" s="214"/>
      <c r="C9" s="215"/>
      <c r="D9" s="216"/>
      <c r="E9" s="219"/>
      <c r="F9" s="227">
        <v>10</v>
      </c>
      <c r="G9" s="560" t="s">
        <v>12</v>
      </c>
      <c r="H9" s="232" t="s">
        <v>565</v>
      </c>
      <c r="I9" s="755"/>
      <c r="J9" s="213" t="str">
        <f>+'28'!J9</f>
        <v>F 13 VP OW</v>
      </c>
      <c r="K9" s="238"/>
      <c r="L9" s="238"/>
      <c r="M9" s="116">
        <f>+K9+'28'!M9+L9</f>
        <v>73071</v>
      </c>
      <c r="N9" s="432"/>
    </row>
    <row r="10" spans="1:2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753</v>
      </c>
      <c r="I10" s="755"/>
      <c r="J10" s="213" t="str">
        <f>+'28'!J10</f>
        <v>F 12 VP OW</v>
      </c>
      <c r="K10" s="238"/>
      <c r="L10" s="238"/>
      <c r="M10" s="116">
        <f>+K10+'28'!M10+L10</f>
        <v>46501</v>
      </c>
      <c r="N10" s="432"/>
    </row>
    <row r="11" spans="1:29" ht="90" thickBot="1">
      <c r="A11" s="752"/>
      <c r="B11" s="214"/>
      <c r="C11" s="215"/>
      <c r="D11" s="216"/>
      <c r="E11" s="218"/>
      <c r="F11" s="227">
        <f>60-30+180+20</f>
        <v>230</v>
      </c>
      <c r="G11" s="231" t="s">
        <v>20</v>
      </c>
      <c r="H11" s="232" t="s">
        <v>754</v>
      </c>
      <c r="I11" s="755"/>
      <c r="J11" s="213" t="str">
        <f>+'28'!J11</f>
        <v>F 16 VP OW</v>
      </c>
      <c r="K11" s="238"/>
      <c r="L11" s="238"/>
      <c r="M11" s="116">
        <f>+K11+'28'!M11+L11</f>
        <v>37034</v>
      </c>
      <c r="N11" s="432"/>
    </row>
    <row r="12" spans="1:29" ht="13.5" thickBot="1">
      <c r="A12" s="752"/>
      <c r="B12" s="214"/>
      <c r="C12" s="215"/>
      <c r="D12" s="216"/>
      <c r="E12" s="218"/>
      <c r="F12" s="227">
        <v>34</v>
      </c>
      <c r="G12" s="231" t="s">
        <v>20</v>
      </c>
      <c r="H12" s="232" t="s">
        <v>765</v>
      </c>
      <c r="I12" s="755"/>
      <c r="J12" s="213" t="str">
        <f>+'28'!J12</f>
        <v>F 15 VP OW</v>
      </c>
      <c r="K12" s="238"/>
      <c r="L12" s="238"/>
      <c r="M12" s="116">
        <f>+K12+'28'!M12+L12</f>
        <v>3202</v>
      </c>
      <c r="N12" s="432"/>
    </row>
    <row r="13" spans="1:2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+'28'!J13</f>
        <v>T 14 VP OW</v>
      </c>
      <c r="K13" s="238"/>
      <c r="L13" s="238"/>
      <c r="M13" s="116">
        <f>+K13+'28'!M13+L13</f>
        <v>5600</v>
      </c>
      <c r="N13" s="433"/>
      <c r="O13" s="434"/>
      <c r="P13" s="434"/>
      <c r="Q13" s="434"/>
      <c r="R13" s="434"/>
      <c r="S13" s="434"/>
      <c r="T13" s="434"/>
      <c r="U13" s="434"/>
      <c r="V13" s="434"/>
      <c r="W13" s="434"/>
    </row>
    <row r="14" spans="1:29" ht="13.5" thickBot="1">
      <c r="A14" s="753"/>
      <c r="B14" s="164" t="s">
        <v>2</v>
      </c>
      <c r="C14" s="98">
        <f>SUM(C7:C13)</f>
        <v>4057</v>
      </c>
      <c r="D14" s="110">
        <f>SUM(D7:D13)</f>
        <v>0</v>
      </c>
      <c r="E14" s="111">
        <f>SUM(E5:E13)</f>
        <v>0</v>
      </c>
      <c r="F14" s="115">
        <f>SUM(F7:F13)</f>
        <v>274</v>
      </c>
      <c r="G14" s="158"/>
      <c r="H14" s="165"/>
      <c r="I14" s="166"/>
      <c r="J14" s="213" t="str">
        <f>+'28'!J14</f>
        <v>T 13 VP OW</v>
      </c>
      <c r="K14" s="238"/>
      <c r="L14" s="238"/>
      <c r="M14" s="116">
        <f>+K14+'28'!M14+L14</f>
        <v>319384</v>
      </c>
      <c r="AA14" s="175">
        <f>SUM(AA6:AA11)</f>
        <v>250</v>
      </c>
      <c r="AB14" s="175">
        <f>SUM(AB6:AB11)</f>
        <v>302700</v>
      </c>
      <c r="AC14" s="175">
        <f>SUM(AC6:AC11)</f>
        <v>228132</v>
      </c>
    </row>
    <row r="15" spans="1:29" ht="13.5" customHeight="1" thickBot="1">
      <c r="A15" s="751" t="s">
        <v>389</v>
      </c>
      <c r="B15" s="164"/>
      <c r="C15" s="112">
        <f>C14/($C$23+$D$23+$E$23)</f>
        <v>0.32651911468812878</v>
      </c>
      <c r="D15" s="113">
        <f>D14/($C$23+$D$23+$E$23)</f>
        <v>0</v>
      </c>
      <c r="E15" s="114">
        <f>E14/($C$23+$D$23+$E$23)</f>
        <v>0</v>
      </c>
      <c r="F15" s="227">
        <v>6</v>
      </c>
      <c r="G15" s="228" t="s">
        <v>12</v>
      </c>
      <c r="H15" s="229" t="s">
        <v>400</v>
      </c>
      <c r="I15" s="754" t="s">
        <v>761</v>
      </c>
      <c r="J15" s="213" t="str">
        <f>+'28'!J15</f>
        <v>T 12 VP OW</v>
      </c>
      <c r="K15" s="238"/>
      <c r="L15" s="238"/>
      <c r="M15" s="116">
        <f>+K15+'28'!M15+L15</f>
        <v>12729</v>
      </c>
      <c r="N15" s="424">
        <v>18</v>
      </c>
      <c r="O15" s="198">
        <v>1200</v>
      </c>
      <c r="P15" s="198">
        <v>850</v>
      </c>
      <c r="Q15" s="198">
        <v>680</v>
      </c>
      <c r="R15" s="425">
        <f>1-(Q15/P15)</f>
        <v>0.19999999999999996</v>
      </c>
      <c r="S15" s="426">
        <v>480</v>
      </c>
      <c r="T15" s="427">
        <v>256.5</v>
      </c>
      <c r="U15" s="428">
        <f>(O15*(1-R15)*N15*T15*S15)/100000000</f>
        <v>21.275136</v>
      </c>
      <c r="V15" s="429">
        <f>+C23/1000</f>
        <v>12.425000000000001</v>
      </c>
      <c r="W15" s="430">
        <f>SUM(V15:V17)/SUM(U15:U17)</f>
        <v>0.58401506810579262</v>
      </c>
      <c r="AA15" s="148">
        <f>480-AA14</f>
        <v>230</v>
      </c>
      <c r="AB15" s="175">
        <f>+AB14/AA14</f>
        <v>1210.8</v>
      </c>
      <c r="AC15" s="175">
        <f>+AC14/AA14</f>
        <v>912.52800000000002</v>
      </c>
    </row>
    <row r="16" spans="1:29" ht="13.5" thickBot="1">
      <c r="A16" s="757"/>
      <c r="B16" s="214" t="s">
        <v>655</v>
      </c>
      <c r="C16" s="221">
        <v>12425</v>
      </c>
      <c r="D16" s="222"/>
      <c r="E16" s="223"/>
      <c r="F16" s="230"/>
      <c r="G16" s="560" t="s">
        <v>12</v>
      </c>
      <c r="H16" s="229" t="s">
        <v>412</v>
      </c>
      <c r="I16" s="755"/>
      <c r="J16" s="213" t="str">
        <f>+'28'!J16</f>
        <v>T 12,5 VP OW</v>
      </c>
      <c r="K16" s="228">
        <f>+C34</f>
        <v>28553</v>
      </c>
      <c r="L16" s="228"/>
      <c r="M16" s="116">
        <f>+K16+'28'!M16+L16</f>
        <v>107371</v>
      </c>
      <c r="N16" s="435"/>
      <c r="O16" s="198"/>
      <c r="P16" s="198"/>
      <c r="Q16" s="436"/>
      <c r="R16" s="425"/>
      <c r="S16" s="198"/>
      <c r="T16" s="427"/>
      <c r="U16" s="428"/>
      <c r="V16" s="429"/>
      <c r="W16" s="431"/>
    </row>
    <row r="17" spans="1:39" ht="13.5" thickBot="1">
      <c r="A17" s="757"/>
      <c r="B17" s="214"/>
      <c r="C17" s="215"/>
      <c r="D17" s="216"/>
      <c r="E17" s="224"/>
      <c r="F17" s="227">
        <f>24-6</f>
        <v>18</v>
      </c>
      <c r="G17" s="560" t="s">
        <v>12</v>
      </c>
      <c r="H17" s="232" t="s">
        <v>386</v>
      </c>
      <c r="I17" s="755"/>
      <c r="J17" s="213" t="str">
        <f>+'28'!J17</f>
        <v>T 13,5 VP OW</v>
      </c>
      <c r="K17" s="228"/>
      <c r="L17" s="228"/>
      <c r="M17" s="116">
        <f>+K17+'28'!M17+L17</f>
        <v>43528</v>
      </c>
      <c r="N17" s="432"/>
      <c r="O17" s="198"/>
      <c r="R17" s="425"/>
      <c r="T17" s="427"/>
      <c r="U17" s="428"/>
      <c r="X17" s="148" t="s">
        <v>643</v>
      </c>
      <c r="Y17" s="148">
        <v>1180</v>
      </c>
      <c r="Z17" s="148">
        <f>+Y17-(Y17*0.25)</f>
        <v>885</v>
      </c>
      <c r="AA17" s="148">
        <f>60*5</f>
        <v>300</v>
      </c>
      <c r="AB17" s="148">
        <f t="shared" ref="AB17:AB19" si="3">+Y17*AA17</f>
        <v>354000</v>
      </c>
      <c r="AC17" s="148">
        <f t="shared" ref="AC17:AC19" si="4">+Z17*AA17</f>
        <v>265500</v>
      </c>
      <c r="AD17" s="180" t="s">
        <v>92</v>
      </c>
      <c r="AE17" s="422" t="s">
        <v>567</v>
      </c>
      <c r="AF17" s="422" t="s">
        <v>568</v>
      </c>
      <c r="AG17" s="422" t="s">
        <v>191</v>
      </c>
      <c r="AH17" s="422" t="s">
        <v>192</v>
      </c>
      <c r="AI17" s="569" t="s">
        <v>193</v>
      </c>
      <c r="AJ17" s="422" t="s">
        <v>188</v>
      </c>
      <c r="AK17" s="423" t="s">
        <v>194</v>
      </c>
      <c r="AL17" s="422" t="s">
        <v>195</v>
      </c>
      <c r="AM17" s="422" t="s">
        <v>189</v>
      </c>
    </row>
    <row r="18" spans="1:39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758</v>
      </c>
      <c r="I18" s="755"/>
      <c r="J18" s="213" t="str">
        <f>+'28'!J18</f>
        <v>F 14,5 VP OW</v>
      </c>
      <c r="K18" s="238"/>
      <c r="L18" s="238"/>
      <c r="M18" s="116">
        <f>+K18+'28'!M18+L18</f>
        <v>158908</v>
      </c>
      <c r="N18" s="432"/>
      <c r="Y18" s="148">
        <v>1190</v>
      </c>
      <c r="Z18" s="148">
        <f>+Y18-(Y18*0.265)</f>
        <v>874.65</v>
      </c>
      <c r="AA18" s="148">
        <f>480-AA17</f>
        <v>180</v>
      </c>
      <c r="AB18" s="148">
        <f t="shared" si="3"/>
        <v>214200</v>
      </c>
      <c r="AC18" s="148">
        <f t="shared" si="4"/>
        <v>157437</v>
      </c>
      <c r="AD18" s="424">
        <v>12.5</v>
      </c>
      <c r="AE18" s="198">
        <v>1210.8</v>
      </c>
      <c r="AF18" s="198">
        <v>1230</v>
      </c>
      <c r="AG18" s="148">
        <v>912.52800000000002</v>
      </c>
      <c r="AH18" s="425">
        <f>1-(AG18/AE18)</f>
        <v>0.2463429137760158</v>
      </c>
      <c r="AI18" s="570">
        <v>34</v>
      </c>
      <c r="AJ18" s="427">
        <v>256</v>
      </c>
      <c r="AK18" s="428">
        <f>(AE18*(1-AH18)*AD18*AJ18*AI18)/100000000</f>
        <v>0.99283046400000008</v>
      </c>
      <c r="AL18" s="429">
        <f>+S25/1000</f>
        <v>0</v>
      </c>
      <c r="AM18" s="430">
        <f>SUM(AL18:AL20)/SUM(AK18:AK20)</f>
        <v>0</v>
      </c>
    </row>
    <row r="19" spans="1:39" ht="13.5" thickBot="1">
      <c r="A19" s="757"/>
      <c r="B19" s="214"/>
      <c r="C19" s="215"/>
      <c r="D19" s="216"/>
      <c r="E19" s="224"/>
      <c r="F19" s="234"/>
      <c r="G19" s="231"/>
      <c r="H19" s="232" t="s">
        <v>759</v>
      </c>
      <c r="I19" s="755"/>
      <c r="J19" s="213" t="str">
        <f>+'28'!J19</f>
        <v>T 15 VP OW</v>
      </c>
      <c r="K19" s="238"/>
      <c r="L19" s="238"/>
      <c r="M19" s="116">
        <f>+K19+'28'!M19+L19</f>
        <v>33635</v>
      </c>
      <c r="N19" s="432"/>
      <c r="Z19" s="148">
        <f t="shared" ref="Z19" si="5">+Y19-(Y19*0.24)</f>
        <v>0</v>
      </c>
      <c r="AB19" s="148">
        <f t="shared" si="3"/>
        <v>0</v>
      </c>
      <c r="AC19" s="148">
        <f t="shared" si="4"/>
        <v>0</v>
      </c>
      <c r="AD19" s="424"/>
      <c r="AE19" s="198"/>
      <c r="AF19" s="198"/>
      <c r="AG19" s="198"/>
      <c r="AH19" s="425"/>
      <c r="AI19" s="426"/>
      <c r="AJ19" s="427"/>
      <c r="AK19" s="428"/>
      <c r="AL19" s="429"/>
      <c r="AM19" s="431"/>
    </row>
    <row r="20" spans="1:3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+'28'!J20</f>
        <v>0</v>
      </c>
      <c r="K20" s="239"/>
      <c r="L20" s="239"/>
      <c r="M20" s="116">
        <f>+K20+'28'!M20+L20</f>
        <v>0</v>
      </c>
      <c r="N20" s="432"/>
      <c r="AK20" s="148">
        <f>980/1000</f>
        <v>0.98</v>
      </c>
    </row>
    <row r="21" spans="1:3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+'28'!J21</f>
        <v>0</v>
      </c>
      <c r="K21" s="238"/>
      <c r="L21" s="238"/>
      <c r="M21" s="116">
        <f>+K21+'28'!M21+L21</f>
        <v>0</v>
      </c>
      <c r="N21" s="433"/>
      <c r="O21" s="434"/>
      <c r="P21" s="434"/>
      <c r="Q21" s="434"/>
      <c r="R21" s="434"/>
      <c r="S21" s="434"/>
      <c r="T21" s="434"/>
      <c r="U21" s="434"/>
      <c r="V21" s="434"/>
      <c r="W21" s="434"/>
    </row>
    <row r="22" spans="1:3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+'28'!J22</f>
        <v>0</v>
      </c>
      <c r="K22" s="238"/>
      <c r="L22" s="238"/>
      <c r="M22" s="116">
        <f>+K22+'28'!M22+L22</f>
        <v>0</v>
      </c>
    </row>
    <row r="23" spans="1:39" ht="13.5" thickBot="1">
      <c r="A23" s="758"/>
      <c r="B23" s="167" t="s">
        <v>2</v>
      </c>
      <c r="C23" s="99">
        <f>SUM(C16:C22)</f>
        <v>12425</v>
      </c>
      <c r="D23" s="110">
        <f>SUM(D16:D22)</f>
        <v>0</v>
      </c>
      <c r="E23" s="111">
        <f>SUM(E18:E22)</f>
        <v>0</v>
      </c>
      <c r="F23" s="115">
        <f>SUM(F15:F22)</f>
        <v>24</v>
      </c>
      <c r="G23" s="158"/>
      <c r="H23" s="165"/>
      <c r="I23" s="168"/>
      <c r="J23" s="213">
        <f>+'28'!J23</f>
        <v>0</v>
      </c>
      <c r="K23" s="238"/>
      <c r="L23" s="238"/>
      <c r="M23" s="116">
        <f>+K23+'28'!M23+L23</f>
        <v>0</v>
      </c>
      <c r="N23" s="437"/>
      <c r="O23" s="438"/>
      <c r="P23" s="438"/>
      <c r="Q23" s="438"/>
      <c r="R23" s="438"/>
      <c r="S23" s="438"/>
      <c r="T23" s="438"/>
      <c r="U23" s="438"/>
      <c r="V23" s="438"/>
      <c r="W23" s="438"/>
    </row>
    <row r="24" spans="1:39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400</v>
      </c>
      <c r="I24" s="754" t="s">
        <v>760</v>
      </c>
      <c r="J24" s="213">
        <f>+'28'!J24</f>
        <v>0</v>
      </c>
      <c r="K24" s="238"/>
      <c r="L24" s="238"/>
      <c r="M24" s="116">
        <f>+K24+'28'!M24+L24</f>
        <v>0</v>
      </c>
      <c r="N24" s="424">
        <v>18</v>
      </c>
      <c r="O24" s="198">
        <v>1200</v>
      </c>
      <c r="P24" s="198">
        <v>770</v>
      </c>
      <c r="Q24" s="198">
        <v>616</v>
      </c>
      <c r="R24" s="425">
        <f>1-(Q24/P24)</f>
        <v>0.19999999999999996</v>
      </c>
      <c r="S24" s="426">
        <v>480</v>
      </c>
      <c r="T24" s="427">
        <v>256.5</v>
      </c>
      <c r="U24" s="428">
        <f>(O24*(1-R24)*N24*T24*S24)/100000000</f>
        <v>21.275136</v>
      </c>
      <c r="V24" s="429">
        <f>+C32/1000</f>
        <v>12.071</v>
      </c>
      <c r="W24" s="430">
        <f>SUM(V24:V25)/SUM(U24:U25)</f>
        <v>0.56737592652756719</v>
      </c>
    </row>
    <row r="25" spans="1:39" ht="13.5" customHeight="1" thickBot="1">
      <c r="A25" s="757"/>
      <c r="B25" s="214" t="s">
        <v>655</v>
      </c>
      <c r="C25" s="225">
        <v>12071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+'28'!J25</f>
        <v>0</v>
      </c>
      <c r="K25" s="238"/>
      <c r="L25" s="238"/>
      <c r="M25" s="116">
        <f>+K25+'28'!M25+L25</f>
        <v>0</v>
      </c>
      <c r="N25" s="424"/>
      <c r="O25" s="198"/>
      <c r="P25" s="198"/>
      <c r="Q25" s="198"/>
      <c r="R25" s="425"/>
      <c r="S25" s="426"/>
      <c r="T25" s="427"/>
      <c r="U25" s="428"/>
      <c r="V25" s="429"/>
      <c r="W25" s="430"/>
      <c r="AA25" s="175">
        <f>SUM(AA17:AA22)</f>
        <v>480</v>
      </c>
      <c r="AB25" s="175">
        <f>SUM(AB17:AB22)</f>
        <v>568200</v>
      </c>
      <c r="AC25" s="175">
        <f>SUM(AC17:AC22)</f>
        <v>422937</v>
      </c>
    </row>
    <row r="26" spans="1:39" ht="13.5" customHeight="1" thickBot="1">
      <c r="A26" s="757"/>
      <c r="B26" s="214"/>
      <c r="C26" s="225"/>
      <c r="D26" s="216"/>
      <c r="E26" s="226"/>
      <c r="F26" s="227">
        <v>18</v>
      </c>
      <c r="G26" s="560" t="s">
        <v>12</v>
      </c>
      <c r="H26" s="232" t="s">
        <v>450</v>
      </c>
      <c r="I26" s="755"/>
      <c r="J26" s="213">
        <f>+'28'!J26</f>
        <v>0</v>
      </c>
      <c r="K26" s="238"/>
      <c r="L26" s="238"/>
      <c r="M26" s="116">
        <f>+K26+'28'!M26+L26</f>
        <v>0</v>
      </c>
      <c r="AA26" s="148">
        <f>480-AA25</f>
        <v>0</v>
      </c>
      <c r="AB26" s="175">
        <f>+AB25/AA25</f>
        <v>1183.75</v>
      </c>
      <c r="AC26" s="175">
        <f>+AC25/AA25</f>
        <v>881.11874999999998</v>
      </c>
    </row>
    <row r="27" spans="1:39" ht="51.7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755</v>
      </c>
      <c r="I27" s="755"/>
      <c r="J27" s="213">
        <f>+'28'!J27</f>
        <v>0</v>
      </c>
      <c r="K27" s="238"/>
      <c r="L27" s="238"/>
      <c r="M27" s="116">
        <f>+K27+'28'!M27+L27</f>
        <v>0</v>
      </c>
      <c r="X27" s="148" t="s">
        <v>643</v>
      </c>
      <c r="Y27" s="148">
        <v>1200</v>
      </c>
      <c r="Z27" s="148">
        <f>+Y27-(Y27*0.25)</f>
        <v>900</v>
      </c>
      <c r="AA27" s="148">
        <f>474/2</f>
        <v>237</v>
      </c>
      <c r="AB27" s="148">
        <f t="shared" ref="AB27:AB29" si="6">+Y27*AA27</f>
        <v>284400</v>
      </c>
      <c r="AC27" s="148">
        <f t="shared" ref="AC27:AC29" si="7">+Z27*AA27</f>
        <v>213300</v>
      </c>
    </row>
    <row r="28" spans="1:39" ht="26.25" thickBot="1">
      <c r="A28" s="757"/>
      <c r="B28" s="214"/>
      <c r="C28" s="215"/>
      <c r="D28" s="216"/>
      <c r="E28" s="224"/>
      <c r="F28" s="230"/>
      <c r="G28" s="231"/>
      <c r="H28" s="232" t="s">
        <v>756</v>
      </c>
      <c r="I28" s="755"/>
      <c r="J28" s="213">
        <f>+'28'!J28</f>
        <v>0</v>
      </c>
      <c r="K28" s="238"/>
      <c r="L28" s="238"/>
      <c r="M28" s="116">
        <f>+K28+'28'!M28+L28</f>
        <v>0</v>
      </c>
      <c r="Y28" s="148">
        <v>1190</v>
      </c>
      <c r="Z28" s="148">
        <f>+Y28-(Y28*0.25)</f>
        <v>892.5</v>
      </c>
      <c r="AA28" s="148">
        <v>237</v>
      </c>
      <c r="AB28" s="148">
        <f t="shared" si="6"/>
        <v>282030</v>
      </c>
      <c r="AC28" s="148">
        <f t="shared" si="7"/>
        <v>211522.5</v>
      </c>
    </row>
    <row r="29" spans="1:39" ht="26.25" thickBot="1">
      <c r="A29" s="757"/>
      <c r="B29" s="214"/>
      <c r="C29" s="215"/>
      <c r="D29" s="216"/>
      <c r="E29" s="224"/>
      <c r="F29" s="235">
        <v>6</v>
      </c>
      <c r="G29" s="231" t="s">
        <v>20</v>
      </c>
      <c r="H29" s="232" t="s">
        <v>757</v>
      </c>
      <c r="I29" s="755"/>
      <c r="J29" s="213">
        <f>+'28'!J29</f>
        <v>0</v>
      </c>
      <c r="K29" s="238"/>
      <c r="L29" s="238"/>
      <c r="M29" s="116">
        <f>+K29+'28'!M29+L29</f>
        <v>0</v>
      </c>
      <c r="Z29" s="148">
        <f t="shared" ref="Z29" si="8">+Y29-(Y29*0.24)</f>
        <v>0</v>
      </c>
      <c r="AB29" s="148">
        <f t="shared" si="6"/>
        <v>0</v>
      </c>
      <c r="AC29" s="148">
        <f t="shared" si="7"/>
        <v>0</v>
      </c>
    </row>
    <row r="30" spans="1:39" ht="13.5" customHeight="1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+'28'!J30</f>
        <v>0</v>
      </c>
      <c r="K30" s="238"/>
      <c r="L30" s="238"/>
      <c r="M30" s="116">
        <f>+K30+'28'!M30+L30</f>
        <v>0</v>
      </c>
      <c r="N30" s="154"/>
    </row>
    <row r="31" spans="1:39" ht="13.5" customHeight="1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+'28'!J31</f>
        <v>0</v>
      </c>
      <c r="K31" s="238"/>
      <c r="L31" s="238"/>
      <c r="M31" s="116">
        <f>+K31+'28'!M31+L31</f>
        <v>0</v>
      </c>
    </row>
    <row r="32" spans="1:39" ht="13.5" customHeight="1" thickBot="1">
      <c r="A32" s="758"/>
      <c r="B32" s="164" t="s">
        <v>2</v>
      </c>
      <c r="C32" s="98">
        <f>SUM(C25:C31)</f>
        <v>12071</v>
      </c>
      <c r="D32" s="99">
        <f>SUM(D25:D31)</f>
        <v>0</v>
      </c>
      <c r="E32" s="100">
        <f>SUM(E25:E31)</f>
        <v>0</v>
      </c>
      <c r="F32" s="101">
        <f>SUM(F24:F31)</f>
        <v>30</v>
      </c>
      <c r="G32" s="170"/>
      <c r="H32" s="171"/>
      <c r="I32" s="168"/>
      <c r="J32" s="213">
        <f>+'28'!J32</f>
        <v>0</v>
      </c>
      <c r="K32" s="240"/>
      <c r="L32" s="242"/>
      <c r="M32" s="116">
        <f>+K32+'28'!M32+L32</f>
        <v>0</v>
      </c>
    </row>
    <row r="33" spans="1:2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9" ht="13.5" thickBot="1">
      <c r="A34" s="759" t="s">
        <v>57</v>
      </c>
      <c r="B34" s="760"/>
      <c r="C34" s="106">
        <f>C14+C23+C32</f>
        <v>28553</v>
      </c>
      <c r="D34" s="106">
        <f>D14+D23+D32</f>
        <v>0</v>
      </c>
      <c r="E34" s="106">
        <f>E14+E23+E32</f>
        <v>0</v>
      </c>
      <c r="F34" s="107">
        <f>F14+F23+F32</f>
        <v>328</v>
      </c>
      <c r="H34" s="177"/>
      <c r="I34" s="177"/>
      <c r="J34" s="122" t="s">
        <v>28</v>
      </c>
      <c r="K34" s="123">
        <f>SUM(K7:K32)</f>
        <v>28553</v>
      </c>
      <c r="L34" s="211">
        <f>SUM(L7:L32)</f>
        <v>0</v>
      </c>
      <c r="M34" s="119">
        <f>SUM(M7:M32)</f>
        <v>1099908</v>
      </c>
      <c r="N34" s="154"/>
    </row>
    <row r="35" spans="1:2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AA35" s="175">
        <f>SUM(AA27:AA32)</f>
        <v>474</v>
      </c>
      <c r="AB35" s="175">
        <f>SUM(AB27:AB32)</f>
        <v>566430</v>
      </c>
      <c r="AC35" s="175">
        <f>SUM(AC27:AC32)</f>
        <v>424822.5</v>
      </c>
    </row>
    <row r="36" spans="1:29" ht="13.5" thickBot="1">
      <c r="A36" s="177"/>
      <c r="B36" s="177"/>
      <c r="C36" s="154"/>
      <c r="D36" s="154"/>
      <c r="E36" s="154"/>
      <c r="G36" s="154"/>
      <c r="H36" s="180" t="s">
        <v>0</v>
      </c>
      <c r="I36" s="161" t="s">
        <v>37</v>
      </c>
      <c r="J36" s="161" t="s">
        <v>38</v>
      </c>
      <c r="K36" s="181"/>
      <c r="AA36" s="148">
        <f>480-AA35</f>
        <v>6</v>
      </c>
      <c r="AB36" s="175">
        <f>+AB35/AA35</f>
        <v>1195</v>
      </c>
      <c r="AC36" s="175">
        <f>+AC35/AA35</f>
        <v>896.25</v>
      </c>
    </row>
    <row r="37" spans="1:2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(12.5*1204)/1204*G42*2.74*1204/1000000</f>
        <v>36.849283875000005</v>
      </c>
      <c r="J37" s="124">
        <f>+I37+'28'!J37</f>
        <v>1270.9166034224802</v>
      </c>
      <c r="K37" s="125" t="s">
        <v>63</v>
      </c>
    </row>
    <row r="38" spans="1:29" ht="17.45" customHeight="1">
      <c r="A38" s="763" t="s">
        <v>12</v>
      </c>
      <c r="B38" s="764"/>
      <c r="C38" s="163">
        <f>SUMIF($G$7:$G$31,"Process",$F$7:$F$31)</f>
        <v>58</v>
      </c>
      <c r="D38" s="117">
        <f>+C38+'28'!D38</f>
        <v>1806</v>
      </c>
      <c r="E38" s="142">
        <f t="shared" ref="E38:E51" si="9">D38/60</f>
        <v>30.1</v>
      </c>
      <c r="F38" s="321">
        <v>1210.8</v>
      </c>
      <c r="G38" s="321">
        <v>912.52800000000002</v>
      </c>
      <c r="H38" s="186" t="s">
        <v>64</v>
      </c>
      <c r="I38" s="244">
        <f>4.057+12.139+13.148</f>
        <v>29.343999999999998</v>
      </c>
      <c r="J38" s="126">
        <f>+I38+'28'!J38</f>
        <v>1136.232</v>
      </c>
      <c r="K38" s="127" t="s">
        <v>63</v>
      </c>
      <c r="X38" s="148">
        <v>250</v>
      </c>
    </row>
    <row r="39" spans="1:29" ht="17.45" customHeight="1">
      <c r="A39" s="765" t="s">
        <v>13</v>
      </c>
      <c r="B39" s="766"/>
      <c r="C39" s="163">
        <f>SUMIF($G$7:$G$31,"Cleaning",$F$7:$F$31)</f>
        <v>0</v>
      </c>
      <c r="D39" s="117">
        <f>+C39+'28'!D39</f>
        <v>33</v>
      </c>
      <c r="E39" s="142">
        <f t="shared" si="9"/>
        <v>0.55000000000000004</v>
      </c>
      <c r="F39" s="321">
        <v>1183.75</v>
      </c>
      <c r="G39" s="321">
        <v>881.11874999999998</v>
      </c>
      <c r="H39" s="186" t="s">
        <v>65</v>
      </c>
      <c r="I39" s="141"/>
      <c r="J39" s="128">
        <f>J37/G4</f>
        <v>43.824710462844145</v>
      </c>
      <c r="K39" s="129" t="s">
        <v>63</v>
      </c>
      <c r="X39" s="148">
        <v>480</v>
      </c>
    </row>
    <row r="40" spans="1:29" ht="17.45" customHeight="1">
      <c r="A40" s="765" t="s">
        <v>66</v>
      </c>
      <c r="B40" s="766"/>
      <c r="C40" s="163">
        <f>SUMIF($G$7:$G$31,"Mechanical",$F$7:$F$31)</f>
        <v>0</v>
      </c>
      <c r="D40" s="117">
        <f>+C40+'28'!D40</f>
        <v>206</v>
      </c>
      <c r="E40" s="142">
        <f t="shared" si="9"/>
        <v>3.4333333333333331</v>
      </c>
      <c r="F40" s="321">
        <v>1195</v>
      </c>
      <c r="G40" s="321">
        <v>896.25</v>
      </c>
      <c r="H40" s="186" t="s">
        <v>67</v>
      </c>
      <c r="I40" s="117">
        <f>(K34+L34)/1000</f>
        <v>28.553000000000001</v>
      </c>
      <c r="J40" s="130">
        <f>+I40+'28'!J40</f>
        <v>1099.9080000000004</v>
      </c>
      <c r="K40" s="129" t="s">
        <v>63</v>
      </c>
      <c r="X40" s="148">
        <v>474</v>
      </c>
    </row>
    <row r="41" spans="1:29" ht="17.45" customHeight="1">
      <c r="A41" s="765" t="s">
        <v>68</v>
      </c>
      <c r="B41" s="766"/>
      <c r="C41" s="163">
        <f>SUMIF($G$7:$G$31,"Electrical",$F$7:$F$31)</f>
        <v>0</v>
      </c>
      <c r="D41" s="117">
        <f>+C41+'28'!D41</f>
        <v>0</v>
      </c>
      <c r="E41" s="142">
        <f t="shared" si="9"/>
        <v>0</v>
      </c>
      <c r="F41" s="321"/>
      <c r="G41" s="321"/>
      <c r="H41" s="186" t="s">
        <v>69</v>
      </c>
      <c r="I41" s="141"/>
      <c r="J41" s="128">
        <f>J40/G4</f>
        <v>37.927862068965531</v>
      </c>
      <c r="K41" s="129" t="s">
        <v>63</v>
      </c>
      <c r="X41" s="148">
        <f>SUM(X38:X40)</f>
        <v>1204</v>
      </c>
    </row>
    <row r="42" spans="1:29" ht="17.45" customHeight="1">
      <c r="A42" s="765" t="s">
        <v>16</v>
      </c>
      <c r="B42" s="766"/>
      <c r="C42" s="163">
        <f>SUMIF($G$7:$G$31,"Instrument",$F$7:$F$31)</f>
        <v>0</v>
      </c>
      <c r="D42" s="117">
        <f>+C42+'28'!D42</f>
        <v>0</v>
      </c>
      <c r="E42" s="142">
        <f t="shared" si="9"/>
        <v>0</v>
      </c>
      <c r="F42" s="321">
        <f>+(250*F38+480*F39+474*F40)/1204</f>
        <v>1193.7956810631229</v>
      </c>
      <c r="G42" s="321">
        <f>+(250*G38+480*G39+474*G40)/1204</f>
        <v>893.5975913621262</v>
      </c>
      <c r="H42" s="186" t="s">
        <v>70</v>
      </c>
      <c r="I42" s="245" t="s">
        <v>763</v>
      </c>
      <c r="J42" s="131"/>
      <c r="K42" s="129" t="s">
        <v>71</v>
      </c>
    </row>
    <row r="43" spans="1:29" ht="17.45" customHeight="1">
      <c r="A43" s="765" t="s">
        <v>72</v>
      </c>
      <c r="B43" s="766"/>
      <c r="C43" s="163">
        <f>SUMIF($G$7:$G$31,"Water",$F$7:$F$31)</f>
        <v>0</v>
      </c>
      <c r="D43" s="117">
        <f>+C43+'28'!D43</f>
        <v>0</v>
      </c>
      <c r="E43" s="142">
        <f t="shared" si="9"/>
        <v>0</v>
      </c>
      <c r="F43" s="321"/>
      <c r="G43" s="322"/>
      <c r="H43" s="187" t="s">
        <v>73</v>
      </c>
      <c r="I43" s="117">
        <f>+Report1!Z37</f>
        <v>48.6</v>
      </c>
      <c r="J43" s="132">
        <f>+I43+'28'!J43</f>
        <v>1567.8999999999996</v>
      </c>
      <c r="K43" s="129" t="s">
        <v>63</v>
      </c>
      <c r="L43" s="188"/>
    </row>
    <row r="44" spans="1:29" ht="17.45" customHeight="1">
      <c r="A44" s="765" t="s">
        <v>17</v>
      </c>
      <c r="B44" s="766"/>
      <c r="C44" s="163">
        <f>SUMIF($G$7:$G$31,"PLN",$F$7:$F$31)</f>
        <v>0</v>
      </c>
      <c r="D44" s="117">
        <f>+C44+'28'!D44</f>
        <v>438</v>
      </c>
      <c r="E44" s="142">
        <f t="shared" si="9"/>
        <v>7.3</v>
      </c>
      <c r="F44" s="321"/>
      <c r="G44" s="322"/>
      <c r="H44" s="187" t="s">
        <v>74</v>
      </c>
      <c r="I44" s="117">
        <f>I43/I38</f>
        <v>1.6562159214830972</v>
      </c>
      <c r="J44" s="133">
        <f>J43/J38</f>
        <v>1.3799118489885867</v>
      </c>
      <c r="K44" s="129" t="s">
        <v>63</v>
      </c>
    </row>
    <row r="45" spans="1:29" ht="17.45" customHeight="1">
      <c r="A45" s="765" t="s">
        <v>18</v>
      </c>
      <c r="B45" s="766"/>
      <c r="C45" s="163">
        <f>SUMIF($G$7:$G$31,"Boiler",$F$7:$F$31)</f>
        <v>0</v>
      </c>
      <c r="D45" s="117">
        <f>+C45+'28'!D45</f>
        <v>0</v>
      </c>
      <c r="E45" s="142">
        <f t="shared" si="9"/>
        <v>0</v>
      </c>
      <c r="F45" s="321"/>
      <c r="G45" s="324"/>
      <c r="H45" s="187" t="s">
        <v>75</v>
      </c>
      <c r="I45" s="117">
        <f>I43/I40</f>
        <v>1.7020978531152593</v>
      </c>
      <c r="J45" s="133">
        <f>J43/J40</f>
        <v>1.4254828585663519</v>
      </c>
      <c r="K45" s="129" t="s">
        <v>63</v>
      </c>
    </row>
    <row r="46" spans="1:29" ht="17.45" customHeight="1">
      <c r="A46" s="765" t="s">
        <v>76</v>
      </c>
      <c r="B46" s="766"/>
      <c r="C46" s="163">
        <f>SUMIF($G$7:$G$31,"Gas",$F$7:$F$31)</f>
        <v>0</v>
      </c>
      <c r="D46" s="117">
        <f>+C46+'28'!D46</f>
        <v>0</v>
      </c>
      <c r="E46" s="142">
        <f t="shared" si="9"/>
        <v>0</v>
      </c>
      <c r="F46" s="321"/>
      <c r="G46" s="322"/>
      <c r="H46" s="187" t="s">
        <v>77</v>
      </c>
      <c r="I46" s="139">
        <f>+SUMIF(Listrik!P36,"&gt;0")</f>
        <v>32807.739999998907</v>
      </c>
      <c r="J46" s="134">
        <f>+I46+'28'!J46</f>
        <v>1027205.0000000002</v>
      </c>
      <c r="K46" s="129" t="s">
        <v>78</v>
      </c>
    </row>
    <row r="47" spans="1:29" ht="17.45" customHeight="1">
      <c r="A47" s="765" t="s">
        <v>79</v>
      </c>
      <c r="B47" s="766"/>
      <c r="C47" s="163">
        <f>SUMIF($G$7:$G$31,"Gas",$F$7:$F$31)</f>
        <v>0</v>
      </c>
      <c r="D47" s="117">
        <f>+C47+'28'!D47</f>
        <v>0</v>
      </c>
      <c r="E47" s="142">
        <f t="shared" si="9"/>
        <v>0</v>
      </c>
      <c r="F47" s="321"/>
      <c r="G47" s="322"/>
      <c r="H47" s="187" t="s">
        <v>80</v>
      </c>
      <c r="I47" s="117">
        <f>I46/I38</f>
        <v>1118.0391221373675</v>
      </c>
      <c r="J47" s="134">
        <f>J46/J38</f>
        <v>904.04512458723241</v>
      </c>
      <c r="K47" s="129" t="s">
        <v>24</v>
      </c>
    </row>
    <row r="48" spans="1:29" ht="17.45" customHeight="1">
      <c r="A48" s="765" t="s">
        <v>14</v>
      </c>
      <c r="B48" s="766"/>
      <c r="C48" s="163">
        <f>SUMIF($G$7:$G$31,"Start Up",$F$7:$F$31)</f>
        <v>0</v>
      </c>
      <c r="D48" s="117">
        <f>+C48+'28'!D48</f>
        <v>0</v>
      </c>
      <c r="E48" s="142">
        <f t="shared" si="9"/>
        <v>0</v>
      </c>
      <c r="F48" s="321"/>
      <c r="G48" s="322"/>
      <c r="H48" s="187" t="s">
        <v>81</v>
      </c>
      <c r="I48" s="117">
        <f>I46/I40</f>
        <v>1149.0120127481844</v>
      </c>
      <c r="J48" s="134">
        <f>J46/J40</f>
        <v>933.90083534259225</v>
      </c>
      <c r="K48" s="129" t="s">
        <v>24</v>
      </c>
    </row>
    <row r="49" spans="1:23" ht="17.45" customHeight="1">
      <c r="A49" s="771" t="s">
        <v>20</v>
      </c>
      <c r="B49" s="766"/>
      <c r="C49" s="163">
        <f>SUMIF($G$7:$G$31,"Others",$F$7:$F$31)</f>
        <v>270</v>
      </c>
      <c r="D49" s="117">
        <f>+C49+'28'!D49</f>
        <v>277</v>
      </c>
      <c r="E49" s="142">
        <f t="shared" si="9"/>
        <v>4.6166666666666663</v>
      </c>
      <c r="F49" s="184"/>
      <c r="H49" s="187" t="s">
        <v>270</v>
      </c>
      <c r="I49" s="117">
        <f>+Report1!T37</f>
        <v>4486.6732065963797</v>
      </c>
      <c r="J49" s="134">
        <f>+I49+'28'!J49</f>
        <v>151392.13910025498</v>
      </c>
      <c r="K49" s="129" t="s">
        <v>82</v>
      </c>
    </row>
    <row r="50" spans="1:23" ht="17.45" customHeight="1">
      <c r="A50" s="765" t="s">
        <v>19</v>
      </c>
      <c r="B50" s="766"/>
      <c r="C50" s="163">
        <f>SUMIF($G$7:$G$31,"Steam",$F$7:$F$31)</f>
        <v>0</v>
      </c>
      <c r="D50" s="117">
        <f>+C50+'28'!D50</f>
        <v>0</v>
      </c>
      <c r="E50" s="142">
        <f t="shared" si="9"/>
        <v>0</v>
      </c>
      <c r="F50" s="184"/>
      <c r="H50" s="187" t="s">
        <v>83</v>
      </c>
      <c r="I50" s="139">
        <f>I49/I38</f>
        <v>152.89916870898242</v>
      </c>
      <c r="J50" s="132">
        <f>J49/J38</f>
        <v>133.24051698971246</v>
      </c>
      <c r="K50" s="129" t="s">
        <v>82</v>
      </c>
    </row>
    <row r="51" spans="1:23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+C51+'28'!D51</f>
        <v>738</v>
      </c>
      <c r="E51" s="142">
        <f t="shared" si="9"/>
        <v>12.3</v>
      </c>
      <c r="F51" s="184"/>
      <c r="H51" s="189" t="s">
        <v>85</v>
      </c>
      <c r="I51" s="140">
        <f>I49/I40</f>
        <v>157.13491425056489</v>
      </c>
      <c r="J51" s="135">
        <f>J49/J40</f>
        <v>137.64072913394114</v>
      </c>
      <c r="K51" s="136" t="s">
        <v>82</v>
      </c>
    </row>
    <row r="52" spans="1:23" ht="13.5" thickBot="1">
      <c r="A52" s="763" t="s">
        <v>28</v>
      </c>
      <c r="B52" s="764"/>
      <c r="C52" s="143">
        <f>SUM(C38:C51)</f>
        <v>328</v>
      </c>
      <c r="D52" s="143">
        <f>SUM(D38:D51)</f>
        <v>3498</v>
      </c>
      <c r="E52" s="144">
        <f>SUM(E38:E51)</f>
        <v>58.3</v>
      </c>
      <c r="F52" s="184"/>
      <c r="H52" s="190"/>
      <c r="I52" s="191"/>
      <c r="J52" s="137"/>
      <c r="K52" s="138"/>
    </row>
    <row r="53" spans="1:23" ht="13.5" thickBot="1">
      <c r="A53" s="769"/>
      <c r="B53" s="770"/>
      <c r="C53" s="145">
        <f>C52/(24*60)</f>
        <v>0.22777777777777777</v>
      </c>
      <c r="D53" s="145">
        <f>D52/(24*60*G4)</f>
        <v>8.376436781609195E-2</v>
      </c>
      <c r="E53" s="146">
        <f>E52/(G4*24)</f>
        <v>8.376436781609195E-2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+D34+'28'!J56</f>
        <v>4557</v>
      </c>
      <c r="K56" s="200">
        <f>J56/(J40+J56/1000)/1000</f>
        <v>4.1259795466583359E-3</v>
      </c>
    </row>
    <row r="57" spans="1:23">
      <c r="A57" s="175"/>
      <c r="I57" s="198" t="s">
        <v>88</v>
      </c>
      <c r="J57" s="199">
        <f>+E34+'28'!J57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  <c r="J59" s="148">
        <v>4557</v>
      </c>
    </row>
    <row r="60" spans="1:23">
      <c r="H60" s="203"/>
      <c r="J60" s="154">
        <f>+J56-J59</f>
        <v>0</v>
      </c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1"/>
  <sheetViews>
    <sheetView topLeftCell="D4" zoomScale="80" zoomScaleNormal="80" workbookViewId="0">
      <selection activeCell="G12" sqref="G1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425781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36" ht="15.75">
      <c r="A1" s="147"/>
    </row>
    <row r="2" spans="1:36" ht="15.75">
      <c r="A2" s="147" t="s">
        <v>183</v>
      </c>
    </row>
    <row r="3" spans="1:36" ht="15">
      <c r="A3" s="149"/>
    </row>
    <row r="4" spans="1:36" ht="20.25">
      <c r="A4" s="150" t="s">
        <v>3</v>
      </c>
      <c r="B4" s="151"/>
      <c r="F4" s="152" t="s">
        <v>29</v>
      </c>
      <c r="G4" s="153">
        <v>28</v>
      </c>
      <c r="H4" s="153" t="str">
        <f>+'1'!H4</f>
        <v>.04.26</v>
      </c>
    </row>
    <row r="5" spans="1:36" ht="13.5" thickBot="1">
      <c r="C5" s="154"/>
      <c r="D5" s="154"/>
    </row>
    <row r="6" spans="1:3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2" t="s">
        <v>190</v>
      </c>
      <c r="P6" s="422" t="s">
        <v>190</v>
      </c>
      <c r="Q6" s="422" t="s">
        <v>191</v>
      </c>
      <c r="R6" s="422" t="s">
        <v>192</v>
      </c>
      <c r="S6" s="422" t="s">
        <v>193</v>
      </c>
      <c r="T6" s="422" t="s">
        <v>188</v>
      </c>
      <c r="U6" s="423" t="s">
        <v>194</v>
      </c>
      <c r="V6" s="422" t="s">
        <v>195</v>
      </c>
      <c r="W6" s="422" t="s">
        <v>189</v>
      </c>
      <c r="X6" s="148" t="s">
        <v>526</v>
      </c>
      <c r="Y6" s="148">
        <v>1230</v>
      </c>
      <c r="Z6" s="148">
        <f>+Y6-(Y6*0.25)</f>
        <v>922.5</v>
      </c>
      <c r="AA6" s="148">
        <f>60*5+50</f>
        <v>350</v>
      </c>
      <c r="AB6" s="148">
        <f t="shared" ref="AB6:AB7" si="0">+Y6*AA6</f>
        <v>430500</v>
      </c>
      <c r="AC6" s="148">
        <f t="shared" ref="AC6:AC7" si="1">+Z6*AA6</f>
        <v>322875</v>
      </c>
      <c r="AE6" s="148" t="s">
        <v>643</v>
      </c>
      <c r="AF6" s="148">
        <v>1230</v>
      </c>
      <c r="AG6" s="148">
        <v>934.8</v>
      </c>
      <c r="AH6" s="148">
        <v>130</v>
      </c>
      <c r="AI6" s="148">
        <f t="shared" ref="AI6:AI7" si="2">+AF6*AH6</f>
        <v>159900</v>
      </c>
      <c r="AJ6" s="148">
        <f t="shared" ref="AJ6:AJ7" si="3">+AG6*AH6</f>
        <v>121524</v>
      </c>
    </row>
    <row r="7" spans="1:36" ht="13.5" customHeight="1" thickBot="1">
      <c r="A7" s="751" t="s">
        <v>390</v>
      </c>
      <c r="B7" s="214" t="s">
        <v>534</v>
      </c>
      <c r="C7" s="215">
        <v>12726</v>
      </c>
      <c r="D7" s="216">
        <v>289</v>
      </c>
      <c r="E7" s="217"/>
      <c r="F7" s="227">
        <v>6</v>
      </c>
      <c r="G7" s="228" t="s">
        <v>12</v>
      </c>
      <c r="H7" s="229" t="s">
        <v>493</v>
      </c>
      <c r="I7" s="754" t="s">
        <v>748</v>
      </c>
      <c r="J7" s="213" t="str">
        <f>+'27'!J7</f>
        <v>F 11,5 VP OW</v>
      </c>
      <c r="K7" s="237"/>
      <c r="L7" s="241"/>
      <c r="M7" s="116">
        <f>+K7+'27'!M7+L7</f>
        <v>168614</v>
      </c>
      <c r="N7" s="424">
        <v>14.5</v>
      </c>
      <c r="O7" s="198">
        <v>1200</v>
      </c>
      <c r="P7" s="198">
        <v>1120</v>
      </c>
      <c r="Q7" s="198">
        <v>896</v>
      </c>
      <c r="R7" s="425">
        <f>1-(Q7/P7)</f>
        <v>0.19999999999999996</v>
      </c>
      <c r="S7" s="426">
        <v>45</v>
      </c>
      <c r="T7" s="427">
        <v>256.5</v>
      </c>
      <c r="U7" s="428">
        <f>(O7*(1-R7)*N7*T7*S7)/100000000</f>
        <v>1.606716</v>
      </c>
      <c r="V7" s="429">
        <f>+C14/1000</f>
        <v>13.47</v>
      </c>
      <c r="W7" s="430">
        <f>SUM(V7:V9)/SUM(U7:U9)</f>
        <v>0.64488923129778153</v>
      </c>
      <c r="X7" s="148" t="s">
        <v>643</v>
      </c>
      <c r="Y7" s="148">
        <v>1230</v>
      </c>
      <c r="Z7" s="148">
        <f>+Y7-(Y7*0.24)</f>
        <v>934.8</v>
      </c>
      <c r="AA7" s="148">
        <f>480-AA6</f>
        <v>130</v>
      </c>
      <c r="AB7" s="148">
        <f t="shared" si="0"/>
        <v>159900</v>
      </c>
      <c r="AC7" s="148">
        <f t="shared" si="1"/>
        <v>121524</v>
      </c>
      <c r="AE7" s="148" t="s">
        <v>643</v>
      </c>
      <c r="AF7" s="148">
        <v>1230</v>
      </c>
      <c r="AG7" s="148">
        <v>934.8</v>
      </c>
      <c r="AH7" s="148">
        <v>480</v>
      </c>
      <c r="AI7" s="148">
        <f t="shared" si="2"/>
        <v>590400</v>
      </c>
      <c r="AJ7" s="148">
        <f t="shared" si="3"/>
        <v>448704</v>
      </c>
    </row>
    <row r="8" spans="1:36" ht="13.5" thickBot="1">
      <c r="A8" s="752"/>
      <c r="B8" s="214" t="s">
        <v>518</v>
      </c>
      <c r="C8" s="215">
        <v>744</v>
      </c>
      <c r="D8" s="216"/>
      <c r="E8" s="218"/>
      <c r="F8" s="230"/>
      <c r="G8" s="560" t="s">
        <v>12</v>
      </c>
      <c r="H8" s="229" t="s">
        <v>412</v>
      </c>
      <c r="I8" s="755"/>
      <c r="J8" s="213" t="str">
        <f>+'27'!J8</f>
        <v>F 14 VP OW</v>
      </c>
      <c r="K8" s="238"/>
      <c r="L8" s="238"/>
      <c r="M8" s="116">
        <f>+K8+'27'!M8+L8</f>
        <v>90331</v>
      </c>
      <c r="N8" s="424">
        <v>18</v>
      </c>
      <c r="O8" s="198">
        <v>1200</v>
      </c>
      <c r="P8" s="198">
        <v>930</v>
      </c>
      <c r="Q8" s="198">
        <v>744</v>
      </c>
      <c r="R8" s="425">
        <f>1-(Q8/P8)</f>
        <v>0.19999999999999996</v>
      </c>
      <c r="S8" s="426">
        <f>480-S7</f>
        <v>435</v>
      </c>
      <c r="T8" s="427">
        <v>256.5</v>
      </c>
      <c r="U8" s="428">
        <f>(O8*(1-R8)*N8*T8*S8)/100000000</f>
        <v>19.280591999999999</v>
      </c>
      <c r="V8" s="429"/>
      <c r="W8" s="431"/>
      <c r="AE8" s="148" t="s">
        <v>643</v>
      </c>
      <c r="AF8" s="148">
        <v>1230</v>
      </c>
      <c r="AG8" s="148">
        <v>934.8</v>
      </c>
      <c r="AH8" s="148">
        <v>294</v>
      </c>
      <c r="AI8" s="148">
        <f t="shared" ref="AI8:AI10" si="4">+AF8*AH8</f>
        <v>361620</v>
      </c>
      <c r="AJ8" s="148">
        <f t="shared" ref="AJ8:AJ10" si="5">+AG8*AH8</f>
        <v>274831.2</v>
      </c>
    </row>
    <row r="9" spans="1:36" ht="13.5" thickBot="1">
      <c r="A9" s="752"/>
      <c r="B9" s="214"/>
      <c r="C9" s="215"/>
      <c r="D9" s="216"/>
      <c r="E9" s="219"/>
      <c r="F9" s="227">
        <v>20</v>
      </c>
      <c r="G9" s="560" t="s">
        <v>12</v>
      </c>
      <c r="H9" s="232" t="s">
        <v>427</v>
      </c>
      <c r="I9" s="755"/>
      <c r="J9" s="213" t="str">
        <f>+'27'!J9</f>
        <v>F 13 VP OW</v>
      </c>
      <c r="K9" s="238"/>
      <c r="L9" s="238"/>
      <c r="M9" s="116">
        <f>+K9+'27'!M9+L9</f>
        <v>73071</v>
      </c>
      <c r="N9" s="432"/>
      <c r="AF9" s="148">
        <v>900</v>
      </c>
      <c r="AG9" s="148">
        <v>684</v>
      </c>
      <c r="AH9" s="148">
        <v>57</v>
      </c>
      <c r="AI9" s="148">
        <f t="shared" si="4"/>
        <v>51300</v>
      </c>
      <c r="AJ9" s="148">
        <f t="shared" si="5"/>
        <v>38988</v>
      </c>
    </row>
    <row r="10" spans="1:36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746</v>
      </c>
      <c r="I10" s="755"/>
      <c r="J10" s="213" t="str">
        <f>+'27'!J10</f>
        <v>F 12 VP OW</v>
      </c>
      <c r="K10" s="238"/>
      <c r="L10" s="238"/>
      <c r="M10" s="116">
        <f>+K10+'27'!M10+L10</f>
        <v>46501</v>
      </c>
      <c r="N10" s="432"/>
      <c r="AF10" s="148">
        <v>1230</v>
      </c>
      <c r="AG10" s="148">
        <v>934.8</v>
      </c>
      <c r="AH10" s="148">
        <v>129</v>
      </c>
      <c r="AI10" s="148">
        <f t="shared" si="4"/>
        <v>158670</v>
      </c>
      <c r="AJ10" s="148">
        <f t="shared" si="5"/>
        <v>120589.2</v>
      </c>
    </row>
    <row r="11" spans="1:36" ht="26.25" thickBot="1">
      <c r="A11" s="752"/>
      <c r="B11" s="214"/>
      <c r="C11" s="215"/>
      <c r="D11" s="216"/>
      <c r="E11" s="218"/>
      <c r="F11" s="227"/>
      <c r="G11" s="231"/>
      <c r="H11" s="232" t="s">
        <v>747</v>
      </c>
      <c r="I11" s="755"/>
      <c r="J11" s="213" t="str">
        <f>+'27'!J11</f>
        <v>F 16 VP OW</v>
      </c>
      <c r="K11" s="238"/>
      <c r="L11" s="238"/>
      <c r="M11" s="116">
        <f>+K11+'27'!M11+L11</f>
        <v>37034</v>
      </c>
      <c r="N11" s="432"/>
    </row>
    <row r="12" spans="1:3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+'27'!J12</f>
        <v>F 15 VP OW</v>
      </c>
      <c r="K12" s="238"/>
      <c r="L12" s="238"/>
      <c r="M12" s="116">
        <f>+K12+'27'!M12+L12</f>
        <v>3202</v>
      </c>
      <c r="N12" s="432"/>
    </row>
    <row r="13" spans="1:3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+'27'!J13</f>
        <v>T 14 VP OW</v>
      </c>
      <c r="K13" s="238"/>
      <c r="L13" s="238"/>
      <c r="M13" s="116">
        <f>+K13+'27'!M13+L13</f>
        <v>5600</v>
      </c>
      <c r="N13" s="433"/>
      <c r="O13" s="434"/>
      <c r="P13" s="434"/>
      <c r="Q13" s="434"/>
      <c r="R13" s="434"/>
      <c r="S13" s="434"/>
      <c r="T13" s="434"/>
      <c r="U13" s="434"/>
      <c r="V13" s="434"/>
      <c r="W13" s="434"/>
    </row>
    <row r="14" spans="1:36" ht="13.5" thickBot="1">
      <c r="A14" s="753"/>
      <c r="B14" s="164" t="s">
        <v>2</v>
      </c>
      <c r="C14" s="98">
        <f>SUM(C7:C13)</f>
        <v>13470</v>
      </c>
      <c r="D14" s="110">
        <f>SUM(D7:D13)</f>
        <v>289</v>
      </c>
      <c r="E14" s="111">
        <f>SUM(E5:E13)</f>
        <v>0</v>
      </c>
      <c r="F14" s="115">
        <f>SUM(F7:F13)</f>
        <v>26</v>
      </c>
      <c r="G14" s="158"/>
      <c r="H14" s="165"/>
      <c r="I14" s="166"/>
      <c r="J14" s="213" t="str">
        <f>+'27'!J14</f>
        <v>T 13 VP OW</v>
      </c>
      <c r="K14" s="238">
        <f>+C7+C8</f>
        <v>13470</v>
      </c>
      <c r="L14" s="238"/>
      <c r="M14" s="116">
        <f>+K14+'27'!M14+L14</f>
        <v>319384</v>
      </c>
      <c r="AA14" s="175">
        <f>SUM(AA6:AA11)</f>
        <v>480</v>
      </c>
      <c r="AB14" s="175">
        <f>SUM(AB6:AB11)</f>
        <v>590400</v>
      </c>
      <c r="AC14" s="175">
        <f>SUM(AC6:AC11)</f>
        <v>444399</v>
      </c>
      <c r="AH14" s="175">
        <f>SUM(AH6:AH11)</f>
        <v>1090</v>
      </c>
      <c r="AI14" s="175">
        <f>SUM(AI6:AI11)</f>
        <v>1321890</v>
      </c>
      <c r="AJ14" s="175">
        <f>SUM(AJ6:AJ11)</f>
        <v>1004636.3999999999</v>
      </c>
    </row>
    <row r="15" spans="1:36" ht="13.5" customHeight="1" thickBot="1">
      <c r="A15" s="751" t="s">
        <v>389</v>
      </c>
      <c r="B15" s="164"/>
      <c r="C15" s="112">
        <f>C14/($C$23+$D$23+$E$23)</f>
        <v>0.94966159052453469</v>
      </c>
      <c r="D15" s="113">
        <f>D14/($C$23+$D$23+$E$23)</f>
        <v>2.0375070501974055E-2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409</v>
      </c>
      <c r="J15" s="213" t="str">
        <f>+'27'!J15</f>
        <v>T 12 VP OW</v>
      </c>
      <c r="K15" s="238"/>
      <c r="L15" s="238"/>
      <c r="M15" s="116">
        <f>+K15+'27'!M15+L15</f>
        <v>12729</v>
      </c>
      <c r="N15" s="424">
        <v>18</v>
      </c>
      <c r="O15" s="198">
        <v>1200</v>
      </c>
      <c r="P15" s="198">
        <v>850</v>
      </c>
      <c r="Q15" s="198">
        <v>680</v>
      </c>
      <c r="R15" s="425">
        <f>1-(Q15/P15)</f>
        <v>0.19999999999999996</v>
      </c>
      <c r="S15" s="426">
        <v>480</v>
      </c>
      <c r="T15" s="427">
        <v>256.5</v>
      </c>
      <c r="U15" s="428">
        <f>(O15*(1-R15)*N15*T15*S15)/100000000</f>
        <v>21.275136</v>
      </c>
      <c r="V15" s="429">
        <f>+C23/1000</f>
        <v>14.183999999999999</v>
      </c>
      <c r="W15" s="430">
        <f>SUM(V15:V17)/SUM(U15:U17)</f>
        <v>0.66669374052414987</v>
      </c>
      <c r="AA15" s="148">
        <f>480-AA14</f>
        <v>0</v>
      </c>
      <c r="AB15" s="175">
        <f>+AB14/AA14</f>
        <v>1230</v>
      </c>
      <c r="AC15" s="175">
        <f>+AC14/AA14</f>
        <v>925.83124999999995</v>
      </c>
      <c r="AH15" s="148">
        <f>480-AH14</f>
        <v>-610</v>
      </c>
      <c r="AI15" s="175">
        <f>+AI14/AH14</f>
        <v>1212.7431192660551</v>
      </c>
      <c r="AJ15" s="175">
        <f>+AJ14/AH14</f>
        <v>921.68477064220178</v>
      </c>
    </row>
    <row r="16" spans="1:36" ht="13.5" thickBot="1">
      <c r="A16" s="757"/>
      <c r="B16" s="214" t="s">
        <v>655</v>
      </c>
      <c r="C16" s="221">
        <v>14184</v>
      </c>
      <c r="D16" s="222"/>
      <c r="E16" s="223"/>
      <c r="F16" s="230">
        <v>2</v>
      </c>
      <c r="G16" s="560" t="s">
        <v>12</v>
      </c>
      <c r="H16" s="229" t="s">
        <v>414</v>
      </c>
      <c r="I16" s="755"/>
      <c r="J16" s="213" t="str">
        <f>+'27'!J16</f>
        <v>T 12,5 VP OW</v>
      </c>
      <c r="K16" s="228">
        <f>+C16+C25</f>
        <v>27344</v>
      </c>
      <c r="L16" s="228"/>
      <c r="M16" s="116">
        <f>+K16+'27'!M16+L16</f>
        <v>78818</v>
      </c>
      <c r="N16" s="435"/>
      <c r="O16" s="198"/>
      <c r="P16" s="198"/>
      <c r="Q16" s="436"/>
      <c r="R16" s="425"/>
      <c r="S16" s="198"/>
      <c r="T16" s="427"/>
      <c r="U16" s="428"/>
      <c r="V16" s="429"/>
      <c r="W16" s="431"/>
    </row>
    <row r="17" spans="1:29" ht="13.5" thickBot="1">
      <c r="A17" s="757"/>
      <c r="B17" s="214"/>
      <c r="C17" s="215"/>
      <c r="D17" s="216"/>
      <c r="E17" s="224"/>
      <c r="F17" s="227">
        <v>17</v>
      </c>
      <c r="G17" s="560" t="s">
        <v>12</v>
      </c>
      <c r="H17" s="232" t="s">
        <v>413</v>
      </c>
      <c r="I17" s="755"/>
      <c r="J17" s="213" t="str">
        <f>+'27'!J17</f>
        <v>T 13,5 VP OW</v>
      </c>
      <c r="K17" s="228"/>
      <c r="L17" s="228"/>
      <c r="M17" s="116">
        <f>+K17+'27'!M17+L17</f>
        <v>43528</v>
      </c>
      <c r="N17" s="432"/>
      <c r="O17" s="198"/>
      <c r="R17" s="425"/>
      <c r="T17" s="427"/>
      <c r="U17" s="428"/>
      <c r="X17" s="148" t="s">
        <v>643</v>
      </c>
      <c r="Y17" s="148">
        <v>1230</v>
      </c>
      <c r="Z17" s="148">
        <f>+Y17-(Y17*0.24)</f>
        <v>934.8</v>
      </c>
      <c r="AA17" s="148">
        <v>480</v>
      </c>
      <c r="AB17" s="148">
        <f t="shared" ref="AB17" si="6">+Y17*AA17</f>
        <v>590400</v>
      </c>
      <c r="AC17" s="148">
        <f t="shared" ref="AC17" si="7">+Z17*AA17</f>
        <v>448704</v>
      </c>
    </row>
    <row r="18" spans="1:29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745</v>
      </c>
      <c r="I18" s="755"/>
      <c r="J18" s="213" t="str">
        <f>+'27'!J18</f>
        <v>F 14,5 VP OW</v>
      </c>
      <c r="K18" s="238"/>
      <c r="L18" s="238"/>
      <c r="M18" s="116">
        <f>+K18+'27'!M18+L18</f>
        <v>158908</v>
      </c>
      <c r="N18" s="432"/>
    </row>
    <row r="19" spans="1:29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 t="str">
        <f>+'27'!J19</f>
        <v>T 15 VP OW</v>
      </c>
      <c r="K19" s="238"/>
      <c r="L19" s="238"/>
      <c r="M19" s="116">
        <f>+K19+'27'!M19+L19</f>
        <v>33635</v>
      </c>
      <c r="N19" s="432"/>
    </row>
    <row r="20" spans="1:2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+'27'!J20</f>
        <v>0</v>
      </c>
      <c r="K20" s="239"/>
      <c r="L20" s="239"/>
      <c r="M20" s="116">
        <f>+K20+'27'!M20+L20</f>
        <v>0</v>
      </c>
      <c r="N20" s="432"/>
    </row>
    <row r="21" spans="1:2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+'27'!J21</f>
        <v>0</v>
      </c>
      <c r="K21" s="238"/>
      <c r="L21" s="238"/>
      <c r="M21" s="116">
        <f>+K21+'27'!M21+L21</f>
        <v>0</v>
      </c>
      <c r="N21" s="433"/>
      <c r="O21" s="434"/>
      <c r="P21" s="434"/>
      <c r="Q21" s="434"/>
      <c r="R21" s="434"/>
      <c r="S21" s="434"/>
      <c r="T21" s="434"/>
      <c r="U21" s="434"/>
      <c r="V21" s="434"/>
      <c r="W21" s="434"/>
    </row>
    <row r="22" spans="1:2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+'27'!J22</f>
        <v>0</v>
      </c>
      <c r="K22" s="238"/>
      <c r="L22" s="238"/>
      <c r="M22" s="116">
        <f>+K22+'27'!M22+L22</f>
        <v>0</v>
      </c>
    </row>
    <row r="23" spans="1:29" ht="13.5" thickBot="1">
      <c r="A23" s="758"/>
      <c r="B23" s="167" t="s">
        <v>2</v>
      </c>
      <c r="C23" s="99">
        <f>SUM(C16:C22)</f>
        <v>14184</v>
      </c>
      <c r="D23" s="110">
        <f>SUM(D16:D22)</f>
        <v>0</v>
      </c>
      <c r="E23" s="111">
        <f>SUM(E18:E22)</f>
        <v>0</v>
      </c>
      <c r="F23" s="115">
        <f>SUM(F15:F22)</f>
        <v>19</v>
      </c>
      <c r="G23" s="158"/>
      <c r="H23" s="165"/>
      <c r="I23" s="168"/>
      <c r="J23" s="213">
        <f>+'27'!J23</f>
        <v>0</v>
      </c>
      <c r="K23" s="238"/>
      <c r="L23" s="238"/>
      <c r="M23" s="116">
        <f>+K23+'27'!M23+L23</f>
        <v>0</v>
      </c>
      <c r="N23" s="437"/>
      <c r="O23" s="438"/>
      <c r="P23" s="438"/>
      <c r="Q23" s="438"/>
      <c r="R23" s="438"/>
      <c r="S23" s="438"/>
      <c r="T23" s="438"/>
      <c r="U23" s="438"/>
      <c r="V23" s="438"/>
      <c r="W23" s="438"/>
    </row>
    <row r="24" spans="1:29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400</v>
      </c>
      <c r="I24" s="754" t="s">
        <v>749</v>
      </c>
      <c r="J24" s="213">
        <f>+'27'!J24</f>
        <v>0</v>
      </c>
      <c r="K24" s="238"/>
      <c r="L24" s="238"/>
      <c r="M24" s="116">
        <f>+K24+'27'!M24+L24</f>
        <v>0</v>
      </c>
      <c r="N24" s="424">
        <v>18</v>
      </c>
      <c r="O24" s="198">
        <v>1200</v>
      </c>
      <c r="P24" s="198">
        <v>770</v>
      </c>
      <c r="Q24" s="198">
        <v>616</v>
      </c>
      <c r="R24" s="425">
        <f>1-(Q24/P24)</f>
        <v>0.19999999999999996</v>
      </c>
      <c r="S24" s="426">
        <v>480</v>
      </c>
      <c r="T24" s="427">
        <v>256.5</v>
      </c>
      <c r="U24" s="428">
        <f>(O24*(1-R24)*N24*T24*S24)/100000000</f>
        <v>21.275136</v>
      </c>
      <c r="V24" s="429">
        <f>+C32/1000</f>
        <v>13.16</v>
      </c>
      <c r="W24" s="430">
        <f>SUM(V24:V25)/SUM(U24:U25)</f>
        <v>0.61856243833176905</v>
      </c>
    </row>
    <row r="25" spans="1:29" ht="13.5" customHeight="1" thickBot="1">
      <c r="A25" s="757"/>
      <c r="B25" s="214" t="s">
        <v>655</v>
      </c>
      <c r="C25" s="225">
        <v>13160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+'27'!J25</f>
        <v>0</v>
      </c>
      <c r="K25" s="238"/>
      <c r="L25" s="238"/>
      <c r="M25" s="116">
        <f>+K25+'27'!M25+L25</f>
        <v>0</v>
      </c>
      <c r="N25" s="424"/>
      <c r="O25" s="198"/>
      <c r="P25" s="198"/>
      <c r="Q25" s="198"/>
      <c r="R25" s="425"/>
      <c r="S25" s="426"/>
      <c r="T25" s="427"/>
      <c r="U25" s="428"/>
      <c r="V25" s="429"/>
      <c r="W25" s="430"/>
      <c r="AA25" s="175">
        <f>SUM(AA17:AA22)</f>
        <v>480</v>
      </c>
      <c r="AB25" s="175">
        <f>SUM(AB17:AB22)</f>
        <v>590400</v>
      </c>
      <c r="AC25" s="175">
        <f>SUM(AC17:AC22)</f>
        <v>448704</v>
      </c>
    </row>
    <row r="26" spans="1:29" ht="13.5" customHeight="1" thickBot="1">
      <c r="A26" s="757"/>
      <c r="B26" s="214"/>
      <c r="C26" s="225"/>
      <c r="D26" s="216"/>
      <c r="E26" s="226"/>
      <c r="F26" s="227">
        <f>21-6</f>
        <v>15</v>
      </c>
      <c r="G26" s="560" t="s">
        <v>12</v>
      </c>
      <c r="H26" s="232" t="s">
        <v>427</v>
      </c>
      <c r="I26" s="755"/>
      <c r="J26" s="213">
        <f>+'27'!J26</f>
        <v>0</v>
      </c>
      <c r="K26" s="238"/>
      <c r="L26" s="238"/>
      <c r="M26" s="116">
        <f>+K26+'27'!M26+L26</f>
        <v>0</v>
      </c>
      <c r="AA26" s="148">
        <f>480-AA25</f>
        <v>0</v>
      </c>
      <c r="AB26" s="175">
        <f>+AB25/AA25</f>
        <v>1230</v>
      </c>
      <c r="AC26" s="175">
        <f>+AC25/AA25</f>
        <v>934.8</v>
      </c>
    </row>
    <row r="27" spans="1:29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742</v>
      </c>
      <c r="I27" s="755"/>
      <c r="J27" s="213">
        <f>+'27'!J27</f>
        <v>0</v>
      </c>
      <c r="K27" s="238"/>
      <c r="L27" s="238"/>
      <c r="M27" s="116">
        <f>+K27+'27'!M27+L27</f>
        <v>0</v>
      </c>
      <c r="X27" s="148" t="s">
        <v>643</v>
      </c>
      <c r="Y27" s="148">
        <v>1230</v>
      </c>
      <c r="Z27" s="148">
        <f>+Y27-(Y27*0.24)</f>
        <v>934.8</v>
      </c>
      <c r="AA27" s="148">
        <f>60*4+54</f>
        <v>294</v>
      </c>
      <c r="AB27" s="148">
        <f t="shared" ref="AB27" si="8">+Y27*AA27</f>
        <v>361620</v>
      </c>
      <c r="AC27" s="148">
        <f t="shared" ref="AC27" si="9">+Z27*AA27</f>
        <v>274831.2</v>
      </c>
    </row>
    <row r="28" spans="1:29" ht="51.75" thickBot="1">
      <c r="A28" s="757"/>
      <c r="B28" s="214"/>
      <c r="C28" s="215"/>
      <c r="D28" s="216"/>
      <c r="E28" s="224"/>
      <c r="F28" s="230"/>
      <c r="G28" s="231"/>
      <c r="H28" s="232" t="s">
        <v>743</v>
      </c>
      <c r="I28" s="755"/>
      <c r="J28" s="213">
        <f>+'27'!J28</f>
        <v>0</v>
      </c>
      <c r="K28" s="238"/>
      <c r="L28" s="238"/>
      <c r="M28" s="116">
        <f>+K28+'27'!M28+L28</f>
        <v>0</v>
      </c>
      <c r="Y28" s="148">
        <v>900</v>
      </c>
      <c r="Z28" s="148">
        <f t="shared" ref="Z28:Z29" si="10">+Y28-(Y28*0.24)</f>
        <v>684</v>
      </c>
      <c r="AA28" s="148">
        <f>60-54+51</f>
        <v>57</v>
      </c>
      <c r="AB28" s="148">
        <f t="shared" ref="AB28:AB29" si="11">+Y28*AA28</f>
        <v>51300</v>
      </c>
      <c r="AC28" s="148">
        <f t="shared" ref="AC28:AC29" si="12">+Z28*AA28</f>
        <v>38988</v>
      </c>
    </row>
    <row r="29" spans="1:29" ht="13.5" thickBot="1">
      <c r="A29" s="757"/>
      <c r="B29" s="214"/>
      <c r="C29" s="215"/>
      <c r="D29" s="216"/>
      <c r="E29" s="224"/>
      <c r="F29" s="235">
        <v>7</v>
      </c>
      <c r="G29" s="231" t="s">
        <v>20</v>
      </c>
      <c r="H29" s="232" t="s">
        <v>744</v>
      </c>
      <c r="I29" s="755"/>
      <c r="J29" s="213">
        <f>+'27'!J29</f>
        <v>0</v>
      </c>
      <c r="K29" s="238"/>
      <c r="L29" s="238"/>
      <c r="M29" s="116">
        <f>+K29+'27'!M29+L29</f>
        <v>0</v>
      </c>
      <c r="Y29" s="148">
        <v>1230</v>
      </c>
      <c r="Z29" s="148">
        <f t="shared" si="10"/>
        <v>934.8</v>
      </c>
      <c r="AA29" s="148">
        <f>60-51+120</f>
        <v>129</v>
      </c>
      <c r="AB29" s="148">
        <f t="shared" si="11"/>
        <v>158670</v>
      </c>
      <c r="AC29" s="148">
        <f t="shared" si="12"/>
        <v>120589.2</v>
      </c>
    </row>
    <row r="30" spans="1:29" ht="13.5" customHeight="1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+'27'!J30</f>
        <v>0</v>
      </c>
      <c r="K30" s="238"/>
      <c r="L30" s="238"/>
      <c r="M30" s="116">
        <f>+K30+'27'!M30+L30</f>
        <v>0</v>
      </c>
      <c r="N30" s="154"/>
    </row>
    <row r="31" spans="1:29" ht="13.5" customHeight="1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+'27'!J31</f>
        <v>0</v>
      </c>
      <c r="K31" s="238"/>
      <c r="L31" s="238"/>
      <c r="M31" s="116">
        <f>+K31+'27'!M31+L31</f>
        <v>0</v>
      </c>
    </row>
    <row r="32" spans="1:29" ht="13.5" customHeight="1" thickBot="1">
      <c r="A32" s="758"/>
      <c r="B32" s="164" t="s">
        <v>2</v>
      </c>
      <c r="C32" s="98">
        <f>SUM(C25:C31)</f>
        <v>13160</v>
      </c>
      <c r="D32" s="99">
        <f>SUM(D25:D31)</f>
        <v>0</v>
      </c>
      <c r="E32" s="100">
        <f>SUM(E25:E31)</f>
        <v>0</v>
      </c>
      <c r="F32" s="101">
        <f>SUM(F24:F31)</f>
        <v>28</v>
      </c>
      <c r="G32" s="170"/>
      <c r="H32" s="171"/>
      <c r="I32" s="168"/>
      <c r="J32" s="213">
        <f>+'27'!J32</f>
        <v>0</v>
      </c>
      <c r="K32" s="240"/>
      <c r="L32" s="242"/>
      <c r="M32" s="116">
        <f>+K32+'27'!M32+L32</f>
        <v>0</v>
      </c>
    </row>
    <row r="33" spans="1:3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33" ht="13.5" thickBot="1">
      <c r="A34" s="759" t="s">
        <v>57</v>
      </c>
      <c r="B34" s="760"/>
      <c r="C34" s="106">
        <f>C14+C23+C32</f>
        <v>40814</v>
      </c>
      <c r="D34" s="106">
        <f>D14+D23+D32</f>
        <v>289</v>
      </c>
      <c r="E34" s="106">
        <f>E14+E23+E32</f>
        <v>0</v>
      </c>
      <c r="F34" s="107">
        <f>F14+F23+F32</f>
        <v>73</v>
      </c>
      <c r="H34" s="177"/>
      <c r="I34" s="177"/>
      <c r="J34" s="122" t="s">
        <v>28</v>
      </c>
      <c r="K34" s="123">
        <f>SUM(K7:K32)</f>
        <v>40814</v>
      </c>
      <c r="L34" s="211">
        <f>SUM(L7:L32)</f>
        <v>0</v>
      </c>
      <c r="M34" s="119">
        <f>SUM(M7:M32)</f>
        <v>1071355</v>
      </c>
      <c r="N34" s="154"/>
    </row>
    <row r="35" spans="1:33" ht="13.5" thickBot="1">
      <c r="A35" s="178"/>
      <c r="B35" s="179"/>
      <c r="C35" s="103">
        <f>C34/($C$34+$D$34+$E$34)</f>
        <v>0.99296888304989905</v>
      </c>
      <c r="D35" s="103">
        <f>D34/($C$34+$D$34+$E$34)</f>
        <v>7.0311169501009662E-3</v>
      </c>
      <c r="E35" s="108">
        <f>E34/($C$34+$D$34+$E$34)</f>
        <v>0</v>
      </c>
      <c r="K35" s="154"/>
      <c r="AA35" s="175">
        <f>SUM(AA27:AA32)</f>
        <v>480</v>
      </c>
      <c r="AB35" s="175">
        <f>SUM(AB27:AB32)</f>
        <v>571590</v>
      </c>
      <c r="AC35" s="175">
        <f>SUM(AC27:AC32)</f>
        <v>434408.4</v>
      </c>
    </row>
    <row r="36" spans="1:3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AA36" s="148">
        <f>480-AA35</f>
        <v>0</v>
      </c>
      <c r="AB36" s="175">
        <f>+AB35/AA35</f>
        <v>1190.8125</v>
      </c>
      <c r="AC36" s="175">
        <f>+AC35/AA35</f>
        <v>905.01750000000004</v>
      </c>
    </row>
    <row r="37" spans="1:3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(13*350+12.5*1090)/1440*G42*2.74*1440/1000000</f>
        <v>45.909308308541668</v>
      </c>
      <c r="J37" s="124">
        <f>+I37+'27'!J37</f>
        <v>1234.0673195474801</v>
      </c>
      <c r="K37" s="125" t="s">
        <v>63</v>
      </c>
    </row>
    <row r="38" spans="1:33" ht="17.45" customHeight="1">
      <c r="A38" s="763" t="s">
        <v>12</v>
      </c>
      <c r="B38" s="764"/>
      <c r="C38" s="163">
        <f>SUMIF($G$7:$G$31,"Process",$F$7:$F$31)</f>
        <v>66</v>
      </c>
      <c r="D38" s="117">
        <f>+C38+'27'!D38</f>
        <v>1748</v>
      </c>
      <c r="E38" s="142">
        <f t="shared" ref="E38:E51" si="13">D38/60</f>
        <v>29.133333333333333</v>
      </c>
      <c r="F38" s="321">
        <v>1230</v>
      </c>
      <c r="G38" s="321">
        <v>925.83124999999995</v>
      </c>
      <c r="H38" s="186" t="s">
        <v>64</v>
      </c>
      <c r="I38" s="244">
        <f>10.905+13.6+3.2+13.664</f>
        <v>41.369</v>
      </c>
      <c r="J38" s="126">
        <f>+I38+'27'!J38</f>
        <v>1106.8879999999999</v>
      </c>
      <c r="K38" s="127" t="s">
        <v>63</v>
      </c>
      <c r="X38" s="148" t="s">
        <v>526</v>
      </c>
      <c r="Y38" s="148">
        <v>1230</v>
      </c>
      <c r="Z38" s="148">
        <v>922.5</v>
      </c>
      <c r="AA38" s="148">
        <v>350</v>
      </c>
    </row>
    <row r="39" spans="1:33" ht="17.45" customHeight="1">
      <c r="A39" s="765" t="s">
        <v>13</v>
      </c>
      <c r="B39" s="766"/>
      <c r="C39" s="163">
        <f>SUMIF($G$7:$G$31,"Cleaning",$F$7:$F$31)</f>
        <v>0</v>
      </c>
      <c r="D39" s="117">
        <f>+C39+'27'!D39</f>
        <v>33</v>
      </c>
      <c r="E39" s="142">
        <f t="shared" si="13"/>
        <v>0.55000000000000004</v>
      </c>
      <c r="F39" s="321">
        <v>1230</v>
      </c>
      <c r="G39" s="321">
        <v>934.8</v>
      </c>
      <c r="H39" s="186" t="s">
        <v>65</v>
      </c>
      <c r="I39" s="141"/>
      <c r="J39" s="128">
        <f>J37/G4</f>
        <v>44.073832840981432</v>
      </c>
      <c r="K39" s="129" t="s">
        <v>63</v>
      </c>
      <c r="X39" s="148" t="s">
        <v>643</v>
      </c>
      <c r="Y39" s="148">
        <v>1212.7431192660551</v>
      </c>
      <c r="Z39" s="148">
        <v>921.68477064220178</v>
      </c>
      <c r="AA39" s="148">
        <v>1090</v>
      </c>
    </row>
    <row r="40" spans="1:33" ht="17.45" customHeight="1">
      <c r="A40" s="765" t="s">
        <v>66</v>
      </c>
      <c r="B40" s="766"/>
      <c r="C40" s="163">
        <f>SUMIF($G$7:$G$31,"Mechanical",$F$7:$F$31)</f>
        <v>0</v>
      </c>
      <c r="D40" s="117">
        <f>+C40+'27'!D40</f>
        <v>206</v>
      </c>
      <c r="E40" s="142">
        <f t="shared" si="13"/>
        <v>3.4333333333333331</v>
      </c>
      <c r="F40" s="321">
        <v>1190.8125</v>
      </c>
      <c r="G40" s="321">
        <v>905.01750000000004</v>
      </c>
      <c r="H40" s="186" t="s">
        <v>67</v>
      </c>
      <c r="I40" s="117">
        <f>(K34+L34)/1000</f>
        <v>40.814</v>
      </c>
      <c r="J40" s="130">
        <f>+I40+'27'!J40</f>
        <v>1071.3550000000002</v>
      </c>
      <c r="K40" s="129" t="s">
        <v>63</v>
      </c>
      <c r="AA40" s="148">
        <f>+AA38+AA39</f>
        <v>1440</v>
      </c>
    </row>
    <row r="41" spans="1:33" ht="17.45" customHeight="1" thickBot="1">
      <c r="A41" s="765" t="s">
        <v>68</v>
      </c>
      <c r="B41" s="766"/>
      <c r="C41" s="163">
        <f>SUMIF($G$7:$G$31,"Electrical",$F$7:$F$31)</f>
        <v>0</v>
      </c>
      <c r="D41" s="117">
        <f>+C41+'27'!D41</f>
        <v>0</v>
      </c>
      <c r="E41" s="142">
        <f t="shared" si="13"/>
        <v>0</v>
      </c>
      <c r="F41" s="321"/>
      <c r="G41" s="321"/>
      <c r="H41" s="186" t="s">
        <v>69</v>
      </c>
      <c r="I41" s="141"/>
      <c r="J41" s="128">
        <f>J40/G4</f>
        <v>38.26267857142858</v>
      </c>
      <c r="K41" s="129" t="s">
        <v>63</v>
      </c>
    </row>
    <row r="42" spans="1:33" ht="17.45" customHeight="1" thickBot="1">
      <c r="A42" s="765" t="s">
        <v>16</v>
      </c>
      <c r="B42" s="766"/>
      <c r="C42" s="163">
        <f>SUMIF($G$7:$G$31,"Instrument",$F$7:$F$31)</f>
        <v>0</v>
      </c>
      <c r="D42" s="117">
        <f>+C42+'27'!D42</f>
        <v>0</v>
      </c>
      <c r="E42" s="142">
        <f t="shared" si="13"/>
        <v>0</v>
      </c>
      <c r="F42" s="321">
        <f>+(F38*480+F39*480+F40*480)/1440</f>
        <v>1216.9375</v>
      </c>
      <c r="G42" s="321">
        <f>+(G38*480+G39*480+G40*480)/1440</f>
        <v>921.88291666666657</v>
      </c>
      <c r="H42" s="186" t="s">
        <v>70</v>
      </c>
      <c r="I42" s="245" t="s">
        <v>750</v>
      </c>
      <c r="J42" s="131"/>
      <c r="K42" s="129" t="s">
        <v>71</v>
      </c>
      <c r="X42" s="180" t="s">
        <v>92</v>
      </c>
      <c r="Y42" s="422" t="s">
        <v>567</v>
      </c>
      <c r="Z42" s="422" t="s">
        <v>568</v>
      </c>
      <c r="AA42" s="422" t="s">
        <v>191</v>
      </c>
      <c r="AB42" s="422" t="s">
        <v>192</v>
      </c>
      <c r="AC42" s="569" t="s">
        <v>193</v>
      </c>
      <c r="AD42" s="422" t="s">
        <v>188</v>
      </c>
      <c r="AE42" s="423" t="s">
        <v>194</v>
      </c>
      <c r="AF42" s="422" t="s">
        <v>195</v>
      </c>
      <c r="AG42" s="422" t="s">
        <v>189</v>
      </c>
    </row>
    <row r="43" spans="1:33" ht="17.45" customHeight="1" thickBot="1">
      <c r="A43" s="765" t="s">
        <v>72</v>
      </c>
      <c r="B43" s="766"/>
      <c r="C43" s="163">
        <f>SUMIF($G$7:$G$31,"Water",$F$7:$F$31)</f>
        <v>0</v>
      </c>
      <c r="D43" s="117">
        <f>+C43+'27'!D43</f>
        <v>0</v>
      </c>
      <c r="E43" s="142">
        <f t="shared" si="13"/>
        <v>0</v>
      </c>
      <c r="F43" s="321"/>
      <c r="G43" s="322"/>
      <c r="H43" s="187" t="s">
        <v>73</v>
      </c>
      <c r="I43" s="117">
        <f>+Report1!Z36</f>
        <v>53.6</v>
      </c>
      <c r="J43" s="132">
        <f>+I43+'27'!J43</f>
        <v>1519.2999999999997</v>
      </c>
      <c r="K43" s="129" t="s">
        <v>63</v>
      </c>
      <c r="L43" s="188"/>
      <c r="X43" s="424">
        <v>12.5</v>
      </c>
      <c r="Y43" s="198">
        <v>1212.7431192660551</v>
      </c>
      <c r="Z43" s="198">
        <v>1230</v>
      </c>
      <c r="AA43" s="148">
        <v>921.68477064220178</v>
      </c>
      <c r="AB43" s="425">
        <f>1-(AA43/Y43)</f>
        <v>0.2400000000000001</v>
      </c>
      <c r="AC43" s="570">
        <v>7</v>
      </c>
      <c r="AD43" s="427">
        <v>256</v>
      </c>
      <c r="AE43" s="428">
        <f>(Y43*(1-AB43)*X43*AD43*AC43)/100000000</f>
        <v>0.20645738862385318</v>
      </c>
      <c r="AF43" s="429">
        <f>+M50/1000</f>
        <v>0</v>
      </c>
      <c r="AG43" s="430">
        <f>SUM(AF43:AF45)/SUM(AE43:AE45)</f>
        <v>0</v>
      </c>
    </row>
    <row r="44" spans="1:33" ht="17.45" customHeight="1">
      <c r="A44" s="765" t="s">
        <v>17</v>
      </c>
      <c r="B44" s="766"/>
      <c r="C44" s="163">
        <f>SUMIF($G$7:$G$31,"PLN",$F$7:$F$31)</f>
        <v>0</v>
      </c>
      <c r="D44" s="117">
        <f>+C44+'27'!D44</f>
        <v>438</v>
      </c>
      <c r="E44" s="142">
        <f t="shared" si="13"/>
        <v>7.3</v>
      </c>
      <c r="F44" s="321"/>
      <c r="G44" s="322"/>
      <c r="H44" s="187" t="s">
        <v>74</v>
      </c>
      <c r="I44" s="117">
        <f>I43/I38</f>
        <v>1.2956561676617757</v>
      </c>
      <c r="J44" s="133">
        <f>J43/J38</f>
        <v>1.372586928397453</v>
      </c>
      <c r="K44" s="129" t="s">
        <v>63</v>
      </c>
      <c r="X44" s="424"/>
      <c r="Y44" s="198"/>
      <c r="Z44" s="198"/>
      <c r="AA44" s="198"/>
      <c r="AB44" s="425"/>
      <c r="AC44" s="426"/>
      <c r="AD44" s="427"/>
      <c r="AE44" s="428"/>
      <c r="AF44" s="429"/>
      <c r="AG44" s="431"/>
    </row>
    <row r="45" spans="1:33" ht="17.45" customHeight="1">
      <c r="A45" s="765" t="s">
        <v>18</v>
      </c>
      <c r="B45" s="766"/>
      <c r="C45" s="163">
        <f>SUMIF($G$7:$G$31,"Boiler",$F$7:$F$31)</f>
        <v>0</v>
      </c>
      <c r="D45" s="117">
        <f>+C45+'27'!D45</f>
        <v>0</v>
      </c>
      <c r="E45" s="142">
        <f t="shared" si="13"/>
        <v>0</v>
      </c>
      <c r="F45" s="321"/>
      <c r="G45" s="324"/>
      <c r="H45" s="187" t="s">
        <v>75</v>
      </c>
      <c r="I45" s="117">
        <f>I43/I40</f>
        <v>1.31327485666683</v>
      </c>
      <c r="J45" s="133">
        <f>J43/J40</f>
        <v>1.4181107102687711</v>
      </c>
      <c r="K45" s="129" t="s">
        <v>63</v>
      </c>
      <c r="AE45" s="148">
        <f>200/1000</f>
        <v>0.2</v>
      </c>
    </row>
    <row r="46" spans="1:33" ht="17.45" customHeight="1">
      <c r="A46" s="765" t="s">
        <v>76</v>
      </c>
      <c r="B46" s="766"/>
      <c r="C46" s="163">
        <f>SUMIF($G$7:$G$31,"Gas",$F$7:$F$31)</f>
        <v>0</v>
      </c>
      <c r="D46" s="117">
        <f>+C46+'27'!D46</f>
        <v>0</v>
      </c>
      <c r="E46" s="142">
        <f t="shared" si="13"/>
        <v>0</v>
      </c>
      <c r="F46" s="321"/>
      <c r="G46" s="322"/>
      <c r="H46" s="187" t="s">
        <v>77</v>
      </c>
      <c r="I46" s="139">
        <f>+SUMIF(Listrik!P35,"&gt;0")</f>
        <v>38094.12000000073</v>
      </c>
      <c r="J46" s="134">
        <f>+I46+'27'!J46</f>
        <v>994397.26000000129</v>
      </c>
      <c r="K46" s="129" t="s">
        <v>78</v>
      </c>
    </row>
    <row r="47" spans="1:33" ht="17.45" customHeight="1">
      <c r="A47" s="765" t="s">
        <v>79</v>
      </c>
      <c r="B47" s="766"/>
      <c r="C47" s="163">
        <f>SUMIF($G$7:$G$31,"Gas",$F$7:$F$31)</f>
        <v>0</v>
      </c>
      <c r="D47" s="117">
        <f>+C47+'27'!D47</f>
        <v>0</v>
      </c>
      <c r="E47" s="142">
        <f t="shared" si="13"/>
        <v>0</v>
      </c>
      <c r="F47" s="321"/>
      <c r="G47" s="322"/>
      <c r="H47" s="187" t="s">
        <v>80</v>
      </c>
      <c r="I47" s="117">
        <f>I46/I38</f>
        <v>920.83734197105878</v>
      </c>
      <c r="J47" s="134">
        <f>J46/J38</f>
        <v>898.37206655054649</v>
      </c>
      <c r="K47" s="129" t="s">
        <v>24</v>
      </c>
    </row>
    <row r="48" spans="1:33" ht="17.45" customHeight="1">
      <c r="A48" s="765" t="s">
        <v>14</v>
      </c>
      <c r="B48" s="766"/>
      <c r="C48" s="163">
        <f>SUMIF($G$7:$G$31,"Start Up",$F$7:$F$31)</f>
        <v>0</v>
      </c>
      <c r="D48" s="117">
        <f>+C48+'27'!D48</f>
        <v>0</v>
      </c>
      <c r="E48" s="142">
        <f t="shared" si="13"/>
        <v>0</v>
      </c>
      <c r="F48" s="321"/>
      <c r="G48" s="322"/>
      <c r="H48" s="187" t="s">
        <v>81</v>
      </c>
      <c r="I48" s="117">
        <f>I46/I40</f>
        <v>933.35914147108178</v>
      </c>
      <c r="J48" s="134">
        <f>J46/J40</f>
        <v>928.16784352525644</v>
      </c>
      <c r="K48" s="129" t="s">
        <v>24</v>
      </c>
    </row>
    <row r="49" spans="1:23" ht="17.45" customHeight="1">
      <c r="A49" s="765" t="s">
        <v>20</v>
      </c>
      <c r="B49" s="766"/>
      <c r="C49" s="163">
        <f>SUMIF($G$7:$G$31,"Others",$F$7:$F$31)</f>
        <v>7</v>
      </c>
      <c r="D49" s="117">
        <f>+C49+'27'!D49</f>
        <v>7</v>
      </c>
      <c r="E49" s="142">
        <f t="shared" si="13"/>
        <v>0.11666666666666667</v>
      </c>
      <c r="F49" s="184"/>
      <c r="H49" s="187" t="s">
        <v>270</v>
      </c>
      <c r="I49" s="117">
        <f>+Report1!T36</f>
        <v>5377.2349068092217</v>
      </c>
      <c r="J49" s="134">
        <f>+I49+'27'!J49</f>
        <v>146905.46589365861</v>
      </c>
      <c r="K49" s="129" t="s">
        <v>82</v>
      </c>
    </row>
    <row r="50" spans="1:23" ht="17.45" customHeight="1">
      <c r="A50" s="765" t="s">
        <v>19</v>
      </c>
      <c r="B50" s="766"/>
      <c r="C50" s="163">
        <f>SUMIF($G$7:$G$31,"Steam",$F$7:$F$31)</f>
        <v>0</v>
      </c>
      <c r="D50" s="117">
        <f>+C50+'27'!D50</f>
        <v>0</v>
      </c>
      <c r="E50" s="142">
        <f t="shared" si="13"/>
        <v>0</v>
      </c>
      <c r="F50" s="184"/>
      <c r="H50" s="187" t="s">
        <v>83</v>
      </c>
      <c r="I50" s="139">
        <f>I49/I38</f>
        <v>129.98223082040226</v>
      </c>
      <c r="J50" s="132">
        <f>J49/J38</f>
        <v>132.71935904414775</v>
      </c>
      <c r="K50" s="129" t="s">
        <v>82</v>
      </c>
    </row>
    <row r="51" spans="1:23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+C51+'27'!D51</f>
        <v>738</v>
      </c>
      <c r="E51" s="142">
        <f t="shared" si="13"/>
        <v>12.3</v>
      </c>
      <c r="F51" s="184"/>
      <c r="H51" s="189" t="s">
        <v>85</v>
      </c>
      <c r="I51" s="140">
        <f>I49/I40</f>
        <v>131.74976495342827</v>
      </c>
      <c r="J51" s="135">
        <f>J49/J40</f>
        <v>137.12118382203712</v>
      </c>
      <c r="K51" s="136" t="s">
        <v>82</v>
      </c>
    </row>
    <row r="52" spans="1:23" ht="13.5" thickBot="1">
      <c r="A52" s="763" t="s">
        <v>28</v>
      </c>
      <c r="B52" s="764"/>
      <c r="C52" s="143">
        <f>SUM(C38:C51)</f>
        <v>73</v>
      </c>
      <c r="D52" s="143">
        <f>SUM(D38:D51)</f>
        <v>3170</v>
      </c>
      <c r="E52" s="144">
        <f>SUM(E38:E51)</f>
        <v>52.833333333333329</v>
      </c>
      <c r="F52" s="184"/>
      <c r="H52" s="190"/>
      <c r="I52" s="191"/>
      <c r="J52" s="137"/>
      <c r="K52" s="138"/>
    </row>
    <row r="53" spans="1:23" ht="13.5" thickBot="1">
      <c r="A53" s="769"/>
      <c r="B53" s="770"/>
      <c r="C53" s="145">
        <f>C52/(24*60)</f>
        <v>5.0694444444444445E-2</v>
      </c>
      <c r="D53" s="145">
        <f>D52/(24*60*G4)</f>
        <v>7.8621031746031744E-2</v>
      </c>
      <c r="E53" s="146">
        <f>E52/(G4*24)</f>
        <v>7.8621031746031744E-2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+D34+'27'!J56</f>
        <v>4557</v>
      </c>
      <c r="K56" s="200">
        <f>J56/(J40+J56/1000)/1000</f>
        <v>4.2354765073723492E-3</v>
      </c>
    </row>
    <row r="57" spans="1:23">
      <c r="A57" s="175"/>
      <c r="I57" s="198" t="s">
        <v>88</v>
      </c>
      <c r="J57" s="199">
        <f>+E34+'27'!J57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10.7109375" style="148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28515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27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714</v>
      </c>
      <c r="O6" s="148">
        <v>1100</v>
      </c>
      <c r="P6" s="148">
        <f>+O6-(O6*0.24)</f>
        <v>836</v>
      </c>
      <c r="Q6" s="148">
        <f>60*6+50</f>
        <v>410</v>
      </c>
      <c r="R6" s="148">
        <f t="shared" ref="R6:R7" si="0">+O6*Q6</f>
        <v>451000</v>
      </c>
      <c r="S6" s="148">
        <f t="shared" ref="S6:S7" si="1">+P6*Q6</f>
        <v>342760</v>
      </c>
    </row>
    <row r="7" spans="1:19" ht="13.5" customHeight="1" thickBot="1">
      <c r="A7" s="751" t="s">
        <v>390</v>
      </c>
      <c r="B7" s="214" t="s">
        <v>721</v>
      </c>
      <c r="C7" s="215">
        <v>13807</v>
      </c>
      <c r="D7" s="216">
        <v>347</v>
      </c>
      <c r="E7" s="217"/>
      <c r="F7" s="227">
        <v>9</v>
      </c>
      <c r="G7" s="228" t="s">
        <v>12</v>
      </c>
      <c r="H7" s="229" t="s">
        <v>493</v>
      </c>
      <c r="I7" s="754" t="s">
        <v>732</v>
      </c>
      <c r="J7" s="213" t="str">
        <f>+'26'!J7</f>
        <v>F 11,5 VP OW</v>
      </c>
      <c r="K7" s="237"/>
      <c r="L7" s="241"/>
      <c r="M7" s="116">
        <f>+K7+'26'!M7+L7</f>
        <v>168614</v>
      </c>
      <c r="N7" s="148" t="s">
        <v>648</v>
      </c>
      <c r="O7" s="148">
        <v>1170</v>
      </c>
      <c r="P7" s="148">
        <f>+O7-(O7*0.25)</f>
        <v>877.5</v>
      </c>
      <c r="Q7" s="148">
        <f>60-50+60</f>
        <v>70</v>
      </c>
      <c r="R7" s="148">
        <f t="shared" si="0"/>
        <v>81900</v>
      </c>
      <c r="S7" s="148">
        <f t="shared" si="1"/>
        <v>61425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+'26'!J8</f>
        <v>F 14 VP OW</v>
      </c>
      <c r="K8" s="238"/>
      <c r="L8" s="238"/>
      <c r="M8" s="116">
        <f>+K8+'26'!M8+L8</f>
        <v>90331</v>
      </c>
    </row>
    <row r="9" spans="1:19" ht="13.5" thickBot="1">
      <c r="A9" s="752"/>
      <c r="B9" s="214"/>
      <c r="C9" s="215"/>
      <c r="D9" s="216"/>
      <c r="E9" s="219"/>
      <c r="F9" s="227">
        <f>27-9</f>
        <v>18</v>
      </c>
      <c r="G9" s="560" t="s">
        <v>12</v>
      </c>
      <c r="H9" s="232" t="s">
        <v>413</v>
      </c>
      <c r="I9" s="755"/>
      <c r="J9" s="213" t="str">
        <f>+'26'!J9</f>
        <v>F 13 VP OW</v>
      </c>
      <c r="K9" s="238"/>
      <c r="L9" s="238"/>
      <c r="M9" s="116">
        <f>+K9+'26'!M9+L9</f>
        <v>73071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727</v>
      </c>
      <c r="I10" s="755"/>
      <c r="J10" s="213" t="str">
        <f>+'26'!J10</f>
        <v>F 12 VP OW</v>
      </c>
      <c r="K10" s="238"/>
      <c r="L10" s="238"/>
      <c r="M10" s="116">
        <f>+K10+'26'!M10+L10</f>
        <v>46501</v>
      </c>
    </row>
    <row r="11" spans="1:19" ht="13.5" thickBot="1">
      <c r="A11" s="752"/>
      <c r="B11" s="214"/>
      <c r="C11" s="215"/>
      <c r="D11" s="216"/>
      <c r="E11" s="218"/>
      <c r="F11" s="227"/>
      <c r="G11" s="231"/>
      <c r="H11" s="232" t="s">
        <v>728</v>
      </c>
      <c r="I11" s="755"/>
      <c r="J11" s="213" t="str">
        <f>+'26'!J11</f>
        <v>F 16 VP OW</v>
      </c>
      <c r="K11" s="238"/>
      <c r="L11" s="238"/>
      <c r="M11" s="116">
        <f>+K11+'26'!M11+L11</f>
        <v>37034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+'26'!J12</f>
        <v>F 15 VP OW</v>
      </c>
      <c r="K12" s="238"/>
      <c r="L12" s="238"/>
      <c r="M12" s="116">
        <f>+K12+'26'!M12+L12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+'26'!J13</f>
        <v>T 14 VP OW</v>
      </c>
      <c r="K13" s="238"/>
      <c r="L13" s="238"/>
      <c r="M13" s="116">
        <f>+K13+'26'!M13+L13</f>
        <v>5600</v>
      </c>
    </row>
    <row r="14" spans="1:19" ht="13.5" thickBot="1">
      <c r="A14" s="753"/>
      <c r="B14" s="164" t="s">
        <v>2</v>
      </c>
      <c r="C14" s="98">
        <f>SUM(C7:C13)</f>
        <v>13807</v>
      </c>
      <c r="D14" s="110">
        <f>SUM(D7:D13)</f>
        <v>347</v>
      </c>
      <c r="E14" s="111">
        <f>SUM(E5:E13)</f>
        <v>0</v>
      </c>
      <c r="F14" s="115">
        <f>SUM(F7:F13)</f>
        <v>27</v>
      </c>
      <c r="G14" s="158"/>
      <c r="H14" s="165"/>
      <c r="I14" s="166"/>
      <c r="J14" s="213" t="str">
        <f>+'26'!J14</f>
        <v>T 13 VP OW</v>
      </c>
      <c r="K14" s="238"/>
      <c r="L14" s="238"/>
      <c r="M14" s="116">
        <f>+K14+'26'!M14+L14</f>
        <v>305914</v>
      </c>
      <c r="Q14" s="175">
        <f>SUM(Q6:Q11)</f>
        <v>480</v>
      </c>
      <c r="R14" s="175">
        <f>SUM(R6:R11)</f>
        <v>532900</v>
      </c>
      <c r="S14" s="175">
        <f>SUM(S6:S11)</f>
        <v>404185</v>
      </c>
    </row>
    <row r="15" spans="1:19" ht="13.5" customHeight="1" thickBot="1">
      <c r="A15" s="751" t="s">
        <v>391</v>
      </c>
      <c r="B15" s="164"/>
      <c r="C15" s="112">
        <f>C14/($C$23+$D$23+$E$23)</f>
        <v>1.001015007612557</v>
      </c>
      <c r="D15" s="113">
        <f>D14/($C$23+$D$23+$E$23)</f>
        <v>2.515768868266512E-2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644</v>
      </c>
      <c r="J15" s="213" t="str">
        <f>+'26'!J15</f>
        <v>T 12 VP OW</v>
      </c>
      <c r="K15" s="238"/>
      <c r="L15" s="238"/>
      <c r="M15" s="116">
        <f>+K15+'26'!M15+L15</f>
        <v>12729</v>
      </c>
      <c r="Q15" s="148">
        <f>480-Q14</f>
        <v>0</v>
      </c>
      <c r="R15" s="175">
        <f>+R14/Q14</f>
        <v>1110.2083333333333</v>
      </c>
      <c r="S15" s="175">
        <f>+S14/Q14</f>
        <v>842.05208333333337</v>
      </c>
    </row>
    <row r="16" spans="1:19" ht="13.5" thickBot="1">
      <c r="A16" s="757"/>
      <c r="B16" s="214" t="s">
        <v>721</v>
      </c>
      <c r="C16" s="221">
        <v>669</v>
      </c>
      <c r="D16" s="222"/>
      <c r="E16" s="223"/>
      <c r="F16" s="230"/>
      <c r="G16" s="560" t="s">
        <v>12</v>
      </c>
      <c r="H16" s="229" t="s">
        <v>412</v>
      </c>
      <c r="I16" s="755"/>
      <c r="J16" s="213" t="str">
        <f>+'26'!J16</f>
        <v>T 12,5 VP OW</v>
      </c>
      <c r="K16" s="228"/>
      <c r="L16" s="228"/>
      <c r="M16" s="116">
        <f>+K16+'26'!M16+L16</f>
        <v>51474</v>
      </c>
    </row>
    <row r="17" spans="1:26" ht="13.5" thickBot="1">
      <c r="A17" s="757"/>
      <c r="B17" s="214" t="s">
        <v>656</v>
      </c>
      <c r="C17" s="215">
        <v>13124</v>
      </c>
      <c r="D17" s="216"/>
      <c r="E17" s="224"/>
      <c r="F17" s="227">
        <v>20</v>
      </c>
      <c r="G17" s="560" t="s">
        <v>12</v>
      </c>
      <c r="H17" s="232" t="s">
        <v>667</v>
      </c>
      <c r="I17" s="755"/>
      <c r="J17" s="213" t="str">
        <f>+'26'!J17</f>
        <v>T 13,5 VP OW</v>
      </c>
      <c r="K17" s="228">
        <f>+C17+C25</f>
        <v>26048</v>
      </c>
      <c r="L17" s="228"/>
      <c r="M17" s="116">
        <f>+K17+'26'!M17+L17</f>
        <v>43528</v>
      </c>
      <c r="N17" s="148" t="s">
        <v>648</v>
      </c>
      <c r="O17" s="148">
        <v>1200</v>
      </c>
      <c r="P17" s="148">
        <f>+O17-(O17*0.24)</f>
        <v>912</v>
      </c>
      <c r="Q17" s="148">
        <v>480</v>
      </c>
      <c r="R17" s="148">
        <f t="shared" ref="R17" si="2">+O17*Q17</f>
        <v>576000</v>
      </c>
      <c r="S17" s="148">
        <f t="shared" ref="S17" si="3">+P17*Q17</f>
        <v>437760</v>
      </c>
      <c r="U17" s="148" t="s">
        <v>648</v>
      </c>
      <c r="V17" s="148">
        <v>1170</v>
      </c>
      <c r="W17" s="148">
        <v>877.5</v>
      </c>
      <c r="X17" s="148">
        <v>70</v>
      </c>
      <c r="Y17" s="148">
        <f t="shared" ref="Y17" si="4">+V17*X17</f>
        <v>81900</v>
      </c>
      <c r="Z17" s="148">
        <f t="shared" ref="Z17" si="5">+W17*X17</f>
        <v>61425</v>
      </c>
    </row>
    <row r="18" spans="1:26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725</v>
      </c>
      <c r="I18" s="755"/>
      <c r="J18" s="213" t="str">
        <f>+'26'!J18</f>
        <v>F 14,5 VP OW</v>
      </c>
      <c r="K18" s="238"/>
      <c r="L18" s="238"/>
      <c r="M18" s="116">
        <f>+K18+'26'!M18+L18</f>
        <v>158908</v>
      </c>
      <c r="U18" s="148" t="s">
        <v>648</v>
      </c>
      <c r="V18" s="148">
        <v>1200</v>
      </c>
      <c r="W18" s="148">
        <v>912</v>
      </c>
      <c r="X18" s="148">
        <v>480</v>
      </c>
      <c r="Y18" s="148">
        <f t="shared" ref="Y18:Y20" si="6">+V18*X18</f>
        <v>576000</v>
      </c>
      <c r="Z18" s="148">
        <f t="shared" ref="Z18:Z20" si="7">+W18*X18</f>
        <v>437760</v>
      </c>
    </row>
    <row r="19" spans="1:26" ht="39" thickBot="1">
      <c r="A19" s="757"/>
      <c r="B19" s="214"/>
      <c r="C19" s="215"/>
      <c r="D19" s="216"/>
      <c r="E19" s="224"/>
      <c r="F19" s="234"/>
      <c r="G19" s="231"/>
      <c r="H19" s="232" t="s">
        <v>726</v>
      </c>
      <c r="I19" s="755"/>
      <c r="J19" s="213" t="str">
        <f>+'26'!J19</f>
        <v>T 15 VP OW</v>
      </c>
      <c r="K19" s="238">
        <f>+C7+C16</f>
        <v>14476</v>
      </c>
      <c r="L19" s="238"/>
      <c r="M19" s="116">
        <f>+K19+'26'!M19+L19</f>
        <v>33635</v>
      </c>
      <c r="Y19" s="148">
        <f t="shared" si="6"/>
        <v>0</v>
      </c>
      <c r="Z19" s="148">
        <f t="shared" si="7"/>
        <v>0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+'26'!J20</f>
        <v>0</v>
      </c>
      <c r="K20" s="239"/>
      <c r="L20" s="239"/>
      <c r="M20" s="116">
        <f>+K20+'26'!M20+L20</f>
        <v>0</v>
      </c>
      <c r="U20" s="148" t="s">
        <v>648</v>
      </c>
      <c r="V20" s="148">
        <v>1230</v>
      </c>
      <c r="W20" s="148">
        <v>922.5</v>
      </c>
      <c r="X20" s="148">
        <v>400</v>
      </c>
      <c r="Y20" s="148">
        <f t="shared" si="6"/>
        <v>492000</v>
      </c>
      <c r="Z20" s="148">
        <f t="shared" si="7"/>
        <v>369000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+'26'!J21</f>
        <v>0</v>
      </c>
      <c r="K21" s="238"/>
      <c r="L21" s="238"/>
      <c r="M21" s="116">
        <f>+K21+'26'!M21+L21</f>
        <v>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+'26'!J22</f>
        <v>0</v>
      </c>
      <c r="K22" s="238"/>
      <c r="L22" s="238"/>
      <c r="M22" s="116">
        <f>+K22+'26'!M22+L22</f>
        <v>0</v>
      </c>
    </row>
    <row r="23" spans="1:26" ht="13.5" thickBot="1">
      <c r="A23" s="758"/>
      <c r="B23" s="167" t="s">
        <v>2</v>
      </c>
      <c r="C23" s="99">
        <f>SUM(C16:C22)</f>
        <v>13793</v>
      </c>
      <c r="D23" s="110">
        <f>SUM(D16:D22)</f>
        <v>0</v>
      </c>
      <c r="E23" s="111">
        <f>SUM(E18:E22)</f>
        <v>0</v>
      </c>
      <c r="F23" s="115">
        <f>SUM(F15:F22)</f>
        <v>20</v>
      </c>
      <c r="G23" s="158"/>
      <c r="H23" s="165"/>
      <c r="I23" s="168"/>
      <c r="J23" s="213">
        <f>+'26'!J23</f>
        <v>0</v>
      </c>
      <c r="K23" s="238"/>
      <c r="L23" s="238"/>
      <c r="M23" s="116">
        <f>+K23+'26'!M23+L23</f>
        <v>0</v>
      </c>
    </row>
    <row r="24" spans="1:26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493</v>
      </c>
      <c r="I24" s="754" t="s">
        <v>731</v>
      </c>
      <c r="J24" s="213">
        <f>+'26'!J24</f>
        <v>0</v>
      </c>
      <c r="K24" s="238"/>
      <c r="L24" s="238"/>
      <c r="M24" s="116">
        <f>+K24+'26'!M24+L24</f>
        <v>0</v>
      </c>
    </row>
    <row r="25" spans="1:26" ht="13.5" thickBot="1">
      <c r="A25" s="757"/>
      <c r="B25" s="214" t="s">
        <v>656</v>
      </c>
      <c r="C25" s="225">
        <v>12924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+'26'!J25</f>
        <v>0</v>
      </c>
      <c r="K25" s="238"/>
      <c r="L25" s="238"/>
      <c r="M25" s="116">
        <f>+K25+'26'!M25+L25</f>
        <v>0</v>
      </c>
      <c r="Q25" s="175">
        <f>SUM(Q17:Q22)</f>
        <v>480</v>
      </c>
      <c r="R25" s="175">
        <f>SUM(R17:R22)</f>
        <v>576000</v>
      </c>
      <c r="S25" s="175">
        <f>SUM(S17:S22)</f>
        <v>437760</v>
      </c>
      <c r="X25" s="175">
        <f>SUM(X17:X22)</f>
        <v>950</v>
      </c>
      <c r="Y25" s="175">
        <f>SUM(Y17:Y22)</f>
        <v>1149900</v>
      </c>
      <c r="Z25" s="175">
        <f>SUM(Z17:Z22)</f>
        <v>868185</v>
      </c>
    </row>
    <row r="26" spans="1:26" ht="13.5" thickBot="1">
      <c r="A26" s="757"/>
      <c r="B26" s="214"/>
      <c r="C26" s="225"/>
      <c r="D26" s="216"/>
      <c r="E26" s="226"/>
      <c r="F26" s="227">
        <f>21-6</f>
        <v>15</v>
      </c>
      <c r="G26" s="560" t="s">
        <v>12</v>
      </c>
      <c r="H26" s="232" t="s">
        <v>427</v>
      </c>
      <c r="I26" s="755"/>
      <c r="J26" s="213">
        <f>+'26'!J26</f>
        <v>0</v>
      </c>
      <c r="K26" s="238"/>
      <c r="L26" s="238"/>
      <c r="M26" s="116">
        <f>+K26+'26'!M26+L26</f>
        <v>0</v>
      </c>
      <c r="Q26" s="148">
        <f>480-Q25</f>
        <v>0</v>
      </c>
      <c r="R26" s="175">
        <f>+R25/Q25</f>
        <v>1200</v>
      </c>
      <c r="S26" s="175">
        <f>+S25/Q25</f>
        <v>912</v>
      </c>
      <c r="X26" s="148">
        <f>480-X25</f>
        <v>-470</v>
      </c>
      <c r="Y26" s="175">
        <f>+Y25/X25</f>
        <v>1210.421052631579</v>
      </c>
      <c r="Z26" s="175">
        <f>+Z25/X25</f>
        <v>913.87894736842111</v>
      </c>
    </row>
    <row r="27" spans="1:26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729</v>
      </c>
      <c r="I27" s="755"/>
      <c r="J27" s="213">
        <f>+'26'!J27</f>
        <v>0</v>
      </c>
      <c r="K27" s="238"/>
      <c r="L27" s="238"/>
      <c r="M27" s="116">
        <f>+K27+'26'!M27+L27</f>
        <v>0</v>
      </c>
      <c r="N27" s="148" t="s">
        <v>648</v>
      </c>
      <c r="O27" s="148">
        <v>1230</v>
      </c>
      <c r="P27" s="148">
        <f>+O27-(O27*0.25)</f>
        <v>922.5</v>
      </c>
      <c r="Q27" s="148">
        <f>60*6+40</f>
        <v>400</v>
      </c>
      <c r="R27" s="148">
        <f t="shared" ref="R27:R28" si="8">+O27*Q27</f>
        <v>492000</v>
      </c>
      <c r="S27" s="148">
        <f t="shared" ref="S27:S28" si="9">+P27*Q27</f>
        <v>369000</v>
      </c>
    </row>
    <row r="28" spans="1:26" ht="13.5" thickBot="1">
      <c r="A28" s="757"/>
      <c r="B28" s="214"/>
      <c r="C28" s="215"/>
      <c r="D28" s="216"/>
      <c r="E28" s="224"/>
      <c r="F28" s="230"/>
      <c r="G28" s="231"/>
      <c r="H28" s="232" t="s">
        <v>730</v>
      </c>
      <c r="I28" s="755"/>
      <c r="J28" s="213">
        <f>+'26'!J28</f>
        <v>0</v>
      </c>
      <c r="K28" s="238"/>
      <c r="L28" s="238"/>
      <c r="M28" s="116">
        <f>+K28+'26'!M28+L28</f>
        <v>0</v>
      </c>
      <c r="N28" s="148" t="s">
        <v>526</v>
      </c>
      <c r="O28" s="148">
        <v>1230</v>
      </c>
      <c r="P28" s="148">
        <f>+O28-(O28*0.24)</f>
        <v>934.8</v>
      </c>
      <c r="Q28" s="148">
        <f>480-Q27</f>
        <v>80</v>
      </c>
      <c r="R28" s="148">
        <f t="shared" si="8"/>
        <v>98400</v>
      </c>
      <c r="S28" s="148">
        <f t="shared" si="9"/>
        <v>74784</v>
      </c>
    </row>
    <row r="29" spans="1:2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+'26'!J29</f>
        <v>0</v>
      </c>
      <c r="K29" s="238"/>
      <c r="L29" s="238"/>
      <c r="M29" s="116">
        <f>+K29+'26'!M29+L29</f>
        <v>0</v>
      </c>
    </row>
    <row r="30" spans="1:2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+'26'!J30</f>
        <v>0</v>
      </c>
      <c r="K30" s="238"/>
      <c r="L30" s="238"/>
      <c r="M30" s="116">
        <f>+K30+'26'!M30+L30</f>
        <v>0</v>
      </c>
    </row>
    <row r="31" spans="1:26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+'26'!J31</f>
        <v>0</v>
      </c>
      <c r="K31" s="238"/>
      <c r="L31" s="238"/>
      <c r="M31" s="116">
        <f>+K31+'26'!M31+L31</f>
        <v>0</v>
      </c>
    </row>
    <row r="32" spans="1:26" ht="13.5" thickBot="1">
      <c r="A32" s="758"/>
      <c r="B32" s="164" t="s">
        <v>2</v>
      </c>
      <c r="C32" s="98">
        <f>SUM(C25:C31)</f>
        <v>12924</v>
      </c>
      <c r="D32" s="99">
        <f>SUM(D25:D31)</f>
        <v>0</v>
      </c>
      <c r="E32" s="100">
        <f>SUM(E25:E31)</f>
        <v>0</v>
      </c>
      <c r="F32" s="101">
        <f>SUM(F24:F31)</f>
        <v>21</v>
      </c>
      <c r="G32" s="170"/>
      <c r="H32" s="171"/>
      <c r="I32" s="168"/>
      <c r="J32" s="213">
        <f>+'26'!J32</f>
        <v>0</v>
      </c>
      <c r="K32" s="240"/>
      <c r="L32" s="242"/>
      <c r="M32" s="116">
        <f>+K32+'26'!M32+L32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40524</v>
      </c>
      <c r="D34" s="106">
        <f>D14+D23+D32</f>
        <v>347</v>
      </c>
      <c r="E34" s="106">
        <f>E14+E23+E32</f>
        <v>0</v>
      </c>
      <c r="F34" s="107">
        <f>F14+F23+F32</f>
        <v>68</v>
      </c>
      <c r="H34" s="177"/>
      <c r="I34" s="177"/>
      <c r="J34" s="122" t="s">
        <v>28</v>
      </c>
      <c r="K34" s="123">
        <f>SUM(K7:K32)</f>
        <v>40524</v>
      </c>
      <c r="L34" s="211">
        <f>SUM(L7:L32)</f>
        <v>0</v>
      </c>
      <c r="M34" s="119">
        <f>SUM(M7:M32)</f>
        <v>1030541</v>
      </c>
    </row>
    <row r="35" spans="1:19" ht="13.5" thickBot="1">
      <c r="A35" s="178"/>
      <c r="B35" s="179"/>
      <c r="C35" s="103">
        <f>C34/($C$34+$D$34+$E$34)</f>
        <v>0.99150987252575173</v>
      </c>
      <c r="D35" s="103">
        <f>D34/($C$34+$D$34+$E$34)</f>
        <v>8.4901274742482449E-3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590400</v>
      </c>
      <c r="S35" s="175">
        <f>SUM(S27:S32)</f>
        <v>443784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1230</v>
      </c>
      <c r="S36" s="175">
        <f>+S35/Q35</f>
        <v>924.55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8"/>
      <c r="G37" s="323"/>
      <c r="H37" s="185" t="s">
        <v>62</v>
      </c>
      <c r="I37" s="243">
        <f>(15*410+13.5*950+13*80)/1440*G42*2.74*1440/1000000</f>
        <v>48.965828237430557</v>
      </c>
      <c r="J37" s="124">
        <f>+I37+'26'!J37</f>
        <v>1188.1580112389383</v>
      </c>
      <c r="K37" s="125" t="s">
        <v>63</v>
      </c>
      <c r="N37" s="148" t="s">
        <v>714</v>
      </c>
      <c r="O37" s="148">
        <v>1100</v>
      </c>
      <c r="P37" s="148">
        <v>836</v>
      </c>
      <c r="Q37" s="148">
        <v>410</v>
      </c>
    </row>
    <row r="38" spans="1:19" ht="17.45" customHeight="1">
      <c r="A38" s="763" t="s">
        <v>12</v>
      </c>
      <c r="B38" s="764"/>
      <c r="C38" s="163">
        <f>SUMIF($G$7:$G$31,"Process",$F$7:$F$31)</f>
        <v>68</v>
      </c>
      <c r="D38" s="117">
        <f>+C38+'26'!D38</f>
        <v>1682</v>
      </c>
      <c r="E38" s="142">
        <f t="shared" ref="E38:E51" si="10">D38/60</f>
        <v>28.033333333333335</v>
      </c>
      <c r="F38" s="321">
        <v>1110.2083333333333</v>
      </c>
      <c r="G38" s="321">
        <v>842.05208333333337</v>
      </c>
      <c r="H38" s="186" t="s">
        <v>64</v>
      </c>
      <c r="I38" s="244">
        <f>13.26+0.801+14.858+13.917</f>
        <v>42.835999999999999</v>
      </c>
      <c r="J38" s="126">
        <f>+I38+'26'!J38</f>
        <v>1065.519</v>
      </c>
      <c r="K38" s="127" t="s">
        <v>63</v>
      </c>
      <c r="N38" s="148" t="s">
        <v>648</v>
      </c>
      <c r="O38" s="148">
        <v>1210.421052631579</v>
      </c>
      <c r="P38" s="148">
        <v>913.87894736842111</v>
      </c>
      <c r="Q38" s="148">
        <v>950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+C39+'26'!D39</f>
        <v>33</v>
      </c>
      <c r="E39" s="142">
        <f t="shared" si="10"/>
        <v>0.55000000000000004</v>
      </c>
      <c r="F39" s="321">
        <v>1200</v>
      </c>
      <c r="G39" s="321">
        <v>912</v>
      </c>
      <c r="H39" s="186" t="s">
        <v>65</v>
      </c>
      <c r="I39" s="141"/>
      <c r="J39" s="128">
        <f>J37/G4</f>
        <v>44.005852268108825</v>
      </c>
      <c r="K39" s="129" t="s">
        <v>63</v>
      </c>
      <c r="N39" s="148" t="s">
        <v>526</v>
      </c>
      <c r="O39" s="148">
        <v>1230</v>
      </c>
      <c r="P39" s="148">
        <v>934.8</v>
      </c>
      <c r="Q39" s="148">
        <v>80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+C40+'26'!D40</f>
        <v>206</v>
      </c>
      <c r="E40" s="142">
        <f t="shared" si="10"/>
        <v>3.4333333333333331</v>
      </c>
      <c r="F40" s="321">
        <v>1230</v>
      </c>
      <c r="G40" s="321">
        <v>924.55</v>
      </c>
      <c r="H40" s="186" t="s">
        <v>67</v>
      </c>
      <c r="I40" s="117">
        <f>(K34+L34)/1000</f>
        <v>40.524000000000001</v>
      </c>
      <c r="J40" s="130">
        <f>+I40+'26'!J40</f>
        <v>1030.5410000000002</v>
      </c>
      <c r="K40" s="129" t="s">
        <v>63</v>
      </c>
      <c r="Q40" s="148">
        <f>SUM(Q36:Q39)</f>
        <v>1440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+C41+'26'!D41</f>
        <v>0</v>
      </c>
      <c r="E41" s="142">
        <f t="shared" si="10"/>
        <v>0</v>
      </c>
      <c r="F41" s="321"/>
      <c r="G41" s="321"/>
      <c r="H41" s="186" t="s">
        <v>69</v>
      </c>
      <c r="I41" s="141"/>
      <c r="J41" s="128">
        <f>J40/G4</f>
        <v>38.168185185185195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+C42+'26'!D42</f>
        <v>0</v>
      </c>
      <c r="E42" s="142">
        <f t="shared" si="10"/>
        <v>0</v>
      </c>
      <c r="F42" s="321">
        <f>+(480*F38+480*F39+480*F40)/1440</f>
        <v>1180.0694444444443</v>
      </c>
      <c r="G42" s="321">
        <f>+(480*G38+480*G39+480*G40)/1440</f>
        <v>892.86736111111111</v>
      </c>
      <c r="H42" s="186" t="s">
        <v>70</v>
      </c>
      <c r="I42" s="245" t="s">
        <v>733</v>
      </c>
      <c r="J42" s="131"/>
      <c r="K42" s="129" t="s">
        <v>71</v>
      </c>
    </row>
    <row r="43" spans="1:19" ht="17.45" customHeight="1">
      <c r="A43" s="765" t="s">
        <v>72</v>
      </c>
      <c r="B43" s="766"/>
      <c r="C43" s="163">
        <f>SUMIF($G$7:$G$31,"Water",$F$7:$F$31)</f>
        <v>0</v>
      </c>
      <c r="D43" s="117">
        <f>+C43+'26'!D43</f>
        <v>0</v>
      </c>
      <c r="E43" s="142">
        <f t="shared" si="10"/>
        <v>0</v>
      </c>
      <c r="F43" s="321"/>
      <c r="G43" s="322"/>
      <c r="H43" s="187" t="s">
        <v>73</v>
      </c>
      <c r="I43" s="117">
        <f>+Report1!Z35</f>
        <v>55.1</v>
      </c>
      <c r="J43" s="132">
        <f>+I43+'26'!J43</f>
        <v>1465.6999999999998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+C44+'26'!D44</f>
        <v>438</v>
      </c>
      <c r="E44" s="142">
        <f t="shared" si="10"/>
        <v>7.3</v>
      </c>
      <c r="F44" s="321"/>
      <c r="G44" s="322"/>
      <c r="H44" s="187" t="s">
        <v>74</v>
      </c>
      <c r="I44" s="117">
        <f>I43/I38</f>
        <v>1.2863012419460267</v>
      </c>
      <c r="J44" s="133">
        <f>J43/J38</f>
        <v>1.3755737814154414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+C45+'26'!D45</f>
        <v>0</v>
      </c>
      <c r="E45" s="142">
        <f t="shared" si="10"/>
        <v>0</v>
      </c>
      <c r="F45" s="321"/>
      <c r="G45" s="324"/>
      <c r="H45" s="187" t="s">
        <v>75</v>
      </c>
      <c r="I45" s="117">
        <f>I43/I40</f>
        <v>1.359688086072451</v>
      </c>
      <c r="J45" s="133">
        <f>J43/J40</f>
        <v>1.422262675623774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+C46+'26'!D46</f>
        <v>0</v>
      </c>
      <c r="E46" s="142">
        <f t="shared" si="10"/>
        <v>0</v>
      </c>
      <c r="F46" s="321"/>
      <c r="G46" s="322"/>
      <c r="H46" s="187" t="s">
        <v>77</v>
      </c>
      <c r="I46" s="139">
        <f>+SUMIF(Listrik!P34,"&gt;0")</f>
        <v>35671.699999999997</v>
      </c>
      <c r="J46" s="134">
        <f>+I46+'26'!J46</f>
        <v>956303.1400000006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+C47+'26'!D47</f>
        <v>0</v>
      </c>
      <c r="E47" s="142">
        <f t="shared" si="10"/>
        <v>0</v>
      </c>
      <c r="F47" s="321"/>
      <c r="G47" s="322"/>
      <c r="H47" s="187" t="s">
        <v>80</v>
      </c>
      <c r="I47" s="117">
        <f>I46/I38</f>
        <v>832.75049024185262</v>
      </c>
      <c r="J47" s="134">
        <f>J46/J38</f>
        <v>897.49984749216162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+C48+'26'!D48</f>
        <v>0</v>
      </c>
      <c r="E48" s="142">
        <f t="shared" si="10"/>
        <v>0</v>
      </c>
      <c r="F48" s="321"/>
      <c r="G48" s="322"/>
      <c r="H48" s="187" t="s">
        <v>81</v>
      </c>
      <c r="I48" s="117">
        <f>I46/I40</f>
        <v>880.26107985391366</v>
      </c>
      <c r="J48" s="134">
        <f>J46/J40</f>
        <v>927.96224507321926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+C49+'26'!D49</f>
        <v>0</v>
      </c>
      <c r="E49" s="142">
        <f t="shared" si="10"/>
        <v>0</v>
      </c>
      <c r="F49" s="184"/>
      <c r="H49" s="187" t="s">
        <v>270</v>
      </c>
      <c r="I49" s="117">
        <f>+Report1!T35</f>
        <v>5748.046460445923</v>
      </c>
      <c r="J49" s="134">
        <f>+I49+'26'!J49</f>
        <v>141528.23098684938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+C50+'26'!D50</f>
        <v>0</v>
      </c>
      <c r="E50" s="142">
        <f t="shared" si="10"/>
        <v>0</v>
      </c>
      <c r="F50" s="184"/>
      <c r="H50" s="187" t="s">
        <v>83</v>
      </c>
      <c r="I50" s="139">
        <f>I49/I38</f>
        <v>134.18728313675234</v>
      </c>
      <c r="J50" s="132">
        <f>J49/J38</f>
        <v>132.82562862496997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+C51+'26'!D51</f>
        <v>738</v>
      </c>
      <c r="E51" s="142">
        <f t="shared" si="10"/>
        <v>12.3</v>
      </c>
      <c r="F51" s="184"/>
      <c r="H51" s="189" t="s">
        <v>85</v>
      </c>
      <c r="I51" s="140">
        <f>I49/I40</f>
        <v>141.84301797566684</v>
      </c>
      <c r="J51" s="135">
        <f>J49/J40</f>
        <v>137.33391586249294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68</v>
      </c>
      <c r="D52" s="143">
        <f>SUM(D38:D51)</f>
        <v>3097</v>
      </c>
      <c r="E52" s="144">
        <f>SUM(E38:E51)</f>
        <v>51.61666666666666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4.7222222222222221E-2</v>
      </c>
      <c r="D53" s="145">
        <f>D52/(24*60*G4)</f>
        <v>7.9655349794238689E-2</v>
      </c>
      <c r="E53" s="146">
        <f>E52/(G4*24)</f>
        <v>7.9655349794238675E-2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+D34+'26'!J56</f>
        <v>4268</v>
      </c>
      <c r="K56" s="200">
        <f>J56/(J40+J56/1000)/1000</f>
        <v>4.1244326247645699E-3</v>
      </c>
    </row>
    <row r="57" spans="1:11">
      <c r="A57" s="175"/>
      <c r="I57" s="198" t="s">
        <v>88</v>
      </c>
      <c r="J57" s="199">
        <f>+E34+'26'!J57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7.1406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26</v>
      </c>
      <c r="H4" s="153" t="str">
        <f>+'1'!H4</f>
        <v>.04.26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460</v>
      </c>
      <c r="O6" s="148">
        <v>1220</v>
      </c>
      <c r="P6" s="148">
        <f>+O6-(O6*0.28)</f>
        <v>878.4</v>
      </c>
      <c r="Q6" s="148">
        <v>480</v>
      </c>
      <c r="R6" s="148">
        <f t="shared" ref="R6:R7" si="0">+O6*Q6</f>
        <v>585600</v>
      </c>
      <c r="S6" s="148">
        <f t="shared" ref="S6:S7" si="1">+P6*Q6</f>
        <v>421632</v>
      </c>
      <c r="U6" s="148" t="s">
        <v>460</v>
      </c>
      <c r="V6" s="148">
        <v>1220</v>
      </c>
      <c r="W6" s="148">
        <f>+V6-(V6*0.28)</f>
        <v>878.4</v>
      </c>
      <c r="X6" s="148">
        <v>480</v>
      </c>
      <c r="Y6" s="148">
        <f t="shared" ref="Y6:Y7" si="2">+V6*X6</f>
        <v>585600</v>
      </c>
      <c r="Z6" s="148">
        <f t="shared" ref="Z6:Z7" si="3">+W6*X6</f>
        <v>421632</v>
      </c>
    </row>
    <row r="7" spans="1:26" ht="13.5" customHeight="1" thickBot="1">
      <c r="A7" s="751" t="s">
        <v>390</v>
      </c>
      <c r="B7" s="214" t="s">
        <v>469</v>
      </c>
      <c r="C7" s="215">
        <v>12565</v>
      </c>
      <c r="D7" s="216"/>
      <c r="E7" s="217"/>
      <c r="F7" s="227"/>
      <c r="G7" s="228" t="s">
        <v>12</v>
      </c>
      <c r="H7" s="229" t="s">
        <v>385</v>
      </c>
      <c r="I7" s="754" t="s">
        <v>716</v>
      </c>
      <c r="J7" s="213" t="str">
        <f>+'25'!J7</f>
        <v>F 11,5 VP OW</v>
      </c>
      <c r="K7" s="237"/>
      <c r="L7" s="241"/>
      <c r="M7" s="116">
        <f>+K7+'25'!M7+L7</f>
        <v>168614</v>
      </c>
      <c r="P7" s="148">
        <f>+O7-(O7*0.27)</f>
        <v>0</v>
      </c>
      <c r="R7" s="148">
        <f t="shared" si="0"/>
        <v>0</v>
      </c>
      <c r="S7" s="148">
        <f t="shared" si="1"/>
        <v>0</v>
      </c>
      <c r="U7" s="148" t="s">
        <v>460</v>
      </c>
      <c r="V7" s="148">
        <v>1230</v>
      </c>
      <c r="W7" s="148">
        <v>934.8</v>
      </c>
      <c r="X7" s="148">
        <v>225</v>
      </c>
      <c r="Y7" s="148">
        <f t="shared" si="2"/>
        <v>276750</v>
      </c>
      <c r="Z7" s="148">
        <f t="shared" si="3"/>
        <v>210330</v>
      </c>
    </row>
    <row r="8" spans="1:26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+'25'!J8</f>
        <v>F 14 VP OW</v>
      </c>
      <c r="K8" s="238"/>
      <c r="L8" s="238"/>
      <c r="M8" s="116">
        <f>+K8+'25'!M8+L8</f>
        <v>90331</v>
      </c>
    </row>
    <row r="9" spans="1:26" ht="13.5" thickBot="1">
      <c r="A9" s="752"/>
      <c r="B9" s="214"/>
      <c r="C9" s="215"/>
      <c r="D9" s="216"/>
      <c r="E9" s="219"/>
      <c r="F9" s="227">
        <v>24</v>
      </c>
      <c r="G9" s="560" t="s">
        <v>12</v>
      </c>
      <c r="H9" s="232" t="s">
        <v>413</v>
      </c>
      <c r="I9" s="755"/>
      <c r="J9" s="213" t="str">
        <f>+'25'!J9</f>
        <v>F 13 VP OW</v>
      </c>
      <c r="K9" s="238"/>
      <c r="L9" s="238"/>
      <c r="M9" s="116">
        <f>+K9+'25'!M9+L9</f>
        <v>73071</v>
      </c>
    </row>
    <row r="10" spans="1:26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703</v>
      </c>
      <c r="I10" s="755"/>
      <c r="J10" s="213" t="str">
        <f>+'25'!J10</f>
        <v>F 12 VP OW</v>
      </c>
      <c r="K10" s="238">
        <f>+C7+C16</f>
        <v>21512</v>
      </c>
      <c r="L10" s="238"/>
      <c r="M10" s="116">
        <f>+K10+'25'!M10+L10</f>
        <v>46501</v>
      </c>
    </row>
    <row r="11" spans="1:26" ht="13.5" thickBot="1">
      <c r="A11" s="752"/>
      <c r="B11" s="214"/>
      <c r="C11" s="215"/>
      <c r="D11" s="216"/>
      <c r="E11" s="218"/>
      <c r="F11" s="227"/>
      <c r="G11" s="231"/>
      <c r="H11" s="232" t="s">
        <v>704</v>
      </c>
      <c r="I11" s="755"/>
      <c r="J11" s="213" t="str">
        <f>+'25'!J11</f>
        <v>F 16 VP OW</v>
      </c>
      <c r="K11" s="238"/>
      <c r="L11" s="238"/>
      <c r="M11" s="116">
        <f>+K11+'25'!M11+L11</f>
        <v>37034</v>
      </c>
    </row>
    <row r="12" spans="1:2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+'25'!J12</f>
        <v>F 15 VP OW</v>
      </c>
      <c r="K12" s="238"/>
      <c r="L12" s="238"/>
      <c r="M12" s="116">
        <f>+K12+'25'!M12+L12</f>
        <v>3202</v>
      </c>
    </row>
    <row r="13" spans="1:2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+'25'!J13</f>
        <v>T 14 VP OW</v>
      </c>
      <c r="K13" s="238"/>
      <c r="L13" s="238"/>
      <c r="M13" s="116">
        <f>+K13+'25'!M13+L13</f>
        <v>5600</v>
      </c>
    </row>
    <row r="14" spans="1:26" ht="13.5" thickBot="1">
      <c r="A14" s="753"/>
      <c r="B14" s="164" t="s">
        <v>2</v>
      </c>
      <c r="C14" s="98">
        <f>SUM(C7:C13)</f>
        <v>12565</v>
      </c>
      <c r="D14" s="110">
        <f>SUM(D7:D13)</f>
        <v>0</v>
      </c>
      <c r="E14" s="111">
        <f>SUM(E5:E13)</f>
        <v>0</v>
      </c>
      <c r="F14" s="115">
        <f>SUM(F7:F13)</f>
        <v>24</v>
      </c>
      <c r="G14" s="158"/>
      <c r="H14" s="165"/>
      <c r="I14" s="166"/>
      <c r="J14" s="213" t="str">
        <f>+'25'!J14</f>
        <v>T 13 VP OW</v>
      </c>
      <c r="K14" s="238"/>
      <c r="L14" s="238"/>
      <c r="M14" s="116">
        <f>+K14+'25'!M14+L14</f>
        <v>305914</v>
      </c>
      <c r="Q14" s="175">
        <f>SUM(Q6:Q11)</f>
        <v>480</v>
      </c>
      <c r="R14" s="175">
        <f>SUM(R6:R11)</f>
        <v>585600</v>
      </c>
      <c r="S14" s="175">
        <f>SUM(S6:S11)</f>
        <v>421632</v>
      </c>
      <c r="X14" s="175">
        <f>SUM(X6:X11)</f>
        <v>705</v>
      </c>
      <c r="Y14" s="175">
        <f>SUM(Y6:Y11)</f>
        <v>862350</v>
      </c>
      <c r="Z14" s="175">
        <f>SUM(Z6:Z11)</f>
        <v>631962</v>
      </c>
    </row>
    <row r="15" spans="1:26" ht="13.5" customHeight="1" thickBot="1">
      <c r="A15" s="751" t="s">
        <v>391</v>
      </c>
      <c r="B15" s="164"/>
      <c r="C15" s="112">
        <f>C14/($C$23+$D$23+$E$23)</f>
        <v>0.90052318497814088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715</v>
      </c>
      <c r="J15" s="213" t="str">
        <f>+'25'!J15</f>
        <v>T 12 VP OW</v>
      </c>
      <c r="K15" s="238"/>
      <c r="L15" s="238"/>
      <c r="M15" s="116">
        <f>+K15+'25'!M15+L15</f>
        <v>12729</v>
      </c>
      <c r="Q15" s="148">
        <f>480-Q14</f>
        <v>0</v>
      </c>
      <c r="R15" s="175">
        <f>+R14/Q14</f>
        <v>1220</v>
      </c>
      <c r="S15" s="175">
        <f>+S14/Q14</f>
        <v>878.4</v>
      </c>
      <c r="X15" s="148">
        <f>480-X14</f>
        <v>-225</v>
      </c>
      <c r="Y15" s="175">
        <f>+Y14/X14</f>
        <v>1223.1914893617022</v>
      </c>
      <c r="Z15" s="175">
        <f>+Z14/X14</f>
        <v>896.4</v>
      </c>
    </row>
    <row r="16" spans="1:26" ht="13.5" thickBot="1">
      <c r="A16" s="757"/>
      <c r="B16" s="214" t="s">
        <v>469</v>
      </c>
      <c r="C16" s="221">
        <f>841+727+7379</f>
        <v>8947</v>
      </c>
      <c r="D16" s="222"/>
      <c r="E16" s="223"/>
      <c r="F16" s="230"/>
      <c r="G16" s="560" t="s">
        <v>12</v>
      </c>
      <c r="H16" s="229" t="s">
        <v>412</v>
      </c>
      <c r="I16" s="755"/>
      <c r="J16" s="213" t="str">
        <f>+'25'!J16</f>
        <v>T 12,5 VP OW</v>
      </c>
      <c r="K16" s="228"/>
      <c r="L16" s="228"/>
      <c r="M16" s="116">
        <f>+K16+'25'!M16+L16</f>
        <v>51474</v>
      </c>
    </row>
    <row r="17" spans="1:26" ht="13.5" thickBot="1">
      <c r="A17" s="757"/>
      <c r="B17" s="214" t="s">
        <v>721</v>
      </c>
      <c r="C17" s="215">
        <v>5006</v>
      </c>
      <c r="D17" s="216"/>
      <c r="E17" s="224"/>
      <c r="F17" s="227">
        <v>18</v>
      </c>
      <c r="G17" s="560" t="s">
        <v>12</v>
      </c>
      <c r="H17" s="232" t="s">
        <v>667</v>
      </c>
      <c r="I17" s="755"/>
      <c r="J17" s="213" t="str">
        <f>+'25'!J17</f>
        <v>T 13,5 VP OW</v>
      </c>
      <c r="K17" s="228"/>
      <c r="L17" s="228"/>
      <c r="M17" s="116">
        <f>+K17+'25'!M17+L17</f>
        <v>17480</v>
      </c>
      <c r="N17" s="148" t="s">
        <v>460</v>
      </c>
      <c r="O17" s="148">
        <v>1230</v>
      </c>
      <c r="P17" s="148">
        <f>+O17-(O17*0.24)</f>
        <v>934.8</v>
      </c>
      <c r="Q17" s="148">
        <f>60*3+45</f>
        <v>225</v>
      </c>
      <c r="R17" s="148">
        <f t="shared" ref="R17:R22" si="4">+O17*Q17</f>
        <v>276750</v>
      </c>
      <c r="S17" s="148">
        <f t="shared" ref="S17:S22" si="5">+P17*Q17</f>
        <v>210330</v>
      </c>
    </row>
    <row r="18" spans="1:26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701</v>
      </c>
      <c r="I18" s="755"/>
      <c r="J18" s="213" t="str">
        <f>+'25'!J18</f>
        <v>F 14,5 VP OW</v>
      </c>
      <c r="K18" s="238"/>
      <c r="L18" s="238"/>
      <c r="M18" s="116">
        <f>+K18+'25'!M18+L18</f>
        <v>158908</v>
      </c>
      <c r="N18" s="148" t="s">
        <v>714</v>
      </c>
      <c r="O18" s="148">
        <v>1020</v>
      </c>
      <c r="P18" s="148">
        <f>+O18-(O18*0.25)</f>
        <v>765</v>
      </c>
      <c r="Q18" s="148">
        <f>60-45+60+8</f>
        <v>83</v>
      </c>
      <c r="R18" s="148">
        <f t="shared" si="4"/>
        <v>84660</v>
      </c>
      <c r="S18" s="148">
        <f t="shared" si="5"/>
        <v>63495</v>
      </c>
      <c r="U18" s="148" t="s">
        <v>714</v>
      </c>
      <c r="V18" s="148">
        <v>1020</v>
      </c>
      <c r="W18" s="148">
        <f>+V18-(V18*0.25)</f>
        <v>765</v>
      </c>
      <c r="X18" s="148">
        <f>60-45+60+8</f>
        <v>83</v>
      </c>
      <c r="Y18" s="148">
        <f t="shared" ref="Y18:Y22" si="6">+V18*X18</f>
        <v>84660</v>
      </c>
      <c r="Z18" s="148">
        <f t="shared" ref="Z18:Z22" si="7">+W18*X18</f>
        <v>63495</v>
      </c>
    </row>
    <row r="19" spans="1:26" ht="64.5" thickBot="1">
      <c r="A19" s="757"/>
      <c r="B19" s="214"/>
      <c r="C19" s="215"/>
      <c r="D19" s="216"/>
      <c r="E19" s="224"/>
      <c r="F19" s="234"/>
      <c r="G19" s="231"/>
      <c r="H19" s="232" t="s">
        <v>702</v>
      </c>
      <c r="I19" s="755"/>
      <c r="J19" s="213" t="s">
        <v>721</v>
      </c>
      <c r="K19" s="238">
        <f>+C17+C25</f>
        <v>19159</v>
      </c>
      <c r="L19" s="238"/>
      <c r="M19" s="116">
        <f>+K19+'25'!M19+L19</f>
        <v>19159</v>
      </c>
      <c r="O19" s="148">
        <v>1040</v>
      </c>
      <c r="P19" s="148">
        <f>+O19-(O19*0.25)</f>
        <v>780</v>
      </c>
      <c r="Q19" s="148">
        <f>60-8+3</f>
        <v>55</v>
      </c>
      <c r="R19" s="148">
        <f t="shared" si="4"/>
        <v>57200</v>
      </c>
      <c r="S19" s="148">
        <f t="shared" si="5"/>
        <v>42900</v>
      </c>
      <c r="V19" s="148">
        <v>1040</v>
      </c>
      <c r="W19" s="148">
        <f>+V19-(V19*0.25)</f>
        <v>780</v>
      </c>
      <c r="X19" s="148">
        <f>60-8+3</f>
        <v>55</v>
      </c>
      <c r="Y19" s="148">
        <f t="shared" si="6"/>
        <v>57200</v>
      </c>
      <c r="Z19" s="148">
        <f t="shared" si="7"/>
        <v>42900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+'25'!J20</f>
        <v>0</v>
      </c>
      <c r="K20" s="239"/>
      <c r="L20" s="239"/>
      <c r="M20" s="116">
        <f>+K20+'25'!M20+L20</f>
        <v>0</v>
      </c>
      <c r="O20" s="148">
        <v>1050</v>
      </c>
      <c r="P20" s="148">
        <f>+O20-(O20*0.25)</f>
        <v>787.5</v>
      </c>
      <c r="Q20" s="148">
        <f>40-3</f>
        <v>37</v>
      </c>
      <c r="R20" s="148">
        <f t="shared" si="4"/>
        <v>38850</v>
      </c>
      <c r="S20" s="148">
        <f t="shared" si="5"/>
        <v>29137.5</v>
      </c>
      <c r="V20" s="148">
        <v>1050</v>
      </c>
      <c r="W20" s="148">
        <f>+V20-(V20*0.25)</f>
        <v>787.5</v>
      </c>
      <c r="X20" s="148">
        <f>40-3</f>
        <v>37</v>
      </c>
      <c r="Y20" s="148">
        <f t="shared" si="6"/>
        <v>38850</v>
      </c>
      <c r="Z20" s="148">
        <f t="shared" si="7"/>
        <v>29137.5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+'25'!J21</f>
        <v>0</v>
      </c>
      <c r="K21" s="238"/>
      <c r="L21" s="238"/>
      <c r="M21" s="116">
        <f>+K21+'25'!M21+L21</f>
        <v>0</v>
      </c>
      <c r="O21" s="148">
        <v>1060</v>
      </c>
      <c r="P21" s="148">
        <f>+O21-(O21*0.25)</f>
        <v>795</v>
      </c>
      <c r="Q21" s="148">
        <f>60-40+2</f>
        <v>22</v>
      </c>
      <c r="R21" s="148">
        <f t="shared" si="4"/>
        <v>23320</v>
      </c>
      <c r="S21" s="148">
        <f t="shared" si="5"/>
        <v>17490</v>
      </c>
      <c r="V21" s="148">
        <v>1060</v>
      </c>
      <c r="W21" s="148">
        <f>+V21-(V21*0.25)</f>
        <v>795</v>
      </c>
      <c r="X21" s="148">
        <f>60-40+2</f>
        <v>22</v>
      </c>
      <c r="Y21" s="148">
        <f t="shared" si="6"/>
        <v>23320</v>
      </c>
      <c r="Z21" s="148">
        <f t="shared" si="7"/>
        <v>17490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+'25'!J22</f>
        <v>0</v>
      </c>
      <c r="K22" s="238"/>
      <c r="L22" s="238"/>
      <c r="M22" s="116">
        <f>+K22+'25'!M22+L22</f>
        <v>0</v>
      </c>
      <c r="O22" s="148">
        <v>1080</v>
      </c>
      <c r="P22" s="148">
        <f>+O22-(O22*0.25)</f>
        <v>810</v>
      </c>
      <c r="Q22" s="148">
        <f>60-2</f>
        <v>58</v>
      </c>
      <c r="R22" s="148">
        <f t="shared" si="4"/>
        <v>62640</v>
      </c>
      <c r="S22" s="148">
        <f t="shared" si="5"/>
        <v>46980</v>
      </c>
      <c r="V22" s="148">
        <v>1080</v>
      </c>
      <c r="W22" s="148">
        <f>+V22-(V22*0.25)</f>
        <v>810</v>
      </c>
      <c r="X22" s="148">
        <f>60-2</f>
        <v>58</v>
      </c>
      <c r="Y22" s="148">
        <f t="shared" si="6"/>
        <v>62640</v>
      </c>
      <c r="Z22" s="148">
        <f t="shared" si="7"/>
        <v>46980</v>
      </c>
    </row>
    <row r="23" spans="1:26" ht="13.5" thickBot="1">
      <c r="A23" s="758"/>
      <c r="B23" s="167" t="s">
        <v>2</v>
      </c>
      <c r="C23" s="99">
        <f>SUM(C16:C22)</f>
        <v>13953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+'25'!J23</f>
        <v>0</v>
      </c>
      <c r="K23" s="238"/>
      <c r="L23" s="238"/>
      <c r="M23" s="116">
        <f>+K23+'25'!M23+L23</f>
        <v>0</v>
      </c>
      <c r="U23" s="148" t="s">
        <v>714</v>
      </c>
      <c r="V23" s="148">
        <v>1100</v>
      </c>
      <c r="W23" s="148">
        <v>825</v>
      </c>
      <c r="X23" s="148">
        <v>480</v>
      </c>
      <c r="Y23" s="148">
        <f t="shared" ref="Y23" si="8">+V23*X23</f>
        <v>528000</v>
      </c>
      <c r="Z23" s="148">
        <f t="shared" ref="Z23" si="9">+W23*X23</f>
        <v>396000</v>
      </c>
    </row>
    <row r="24" spans="1:26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8</v>
      </c>
      <c r="G24" s="228" t="s">
        <v>12</v>
      </c>
      <c r="H24" s="229" t="s">
        <v>493</v>
      </c>
      <c r="I24" s="754" t="s">
        <v>527</v>
      </c>
      <c r="J24" s="213">
        <f>+'25'!J24</f>
        <v>0</v>
      </c>
      <c r="K24" s="238"/>
      <c r="L24" s="238"/>
      <c r="M24" s="116">
        <f>+K24+'25'!M24+L24</f>
        <v>0</v>
      </c>
    </row>
    <row r="25" spans="1:26" ht="13.5" thickBot="1">
      <c r="A25" s="757"/>
      <c r="B25" s="214" t="s">
        <v>721</v>
      </c>
      <c r="C25" s="225">
        <v>14153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+'25'!J25</f>
        <v>0</v>
      </c>
      <c r="K25" s="238"/>
      <c r="L25" s="238"/>
      <c r="M25" s="116">
        <f>+K25+'25'!M25+L25</f>
        <v>0</v>
      </c>
      <c r="Q25" s="175">
        <f>SUM(Q17:Q22)</f>
        <v>480</v>
      </c>
      <c r="R25" s="175">
        <f>SUM(R17:R22)</f>
        <v>543420</v>
      </c>
      <c r="S25" s="175">
        <f>SUM(S17:S22)</f>
        <v>410332.5</v>
      </c>
      <c r="X25" s="175">
        <f>SUM(X18:X24)</f>
        <v>735</v>
      </c>
      <c r="Y25" s="175">
        <f>SUM(Y18:Y24)</f>
        <v>794670</v>
      </c>
      <c r="Z25" s="175">
        <f>SUM(Z18:Z24)</f>
        <v>596002.5</v>
      </c>
    </row>
    <row r="26" spans="1:26" ht="13.5" thickBot="1">
      <c r="A26" s="757"/>
      <c r="B26" s="214"/>
      <c r="C26" s="225"/>
      <c r="D26" s="216"/>
      <c r="E26" s="226"/>
      <c r="F26" s="227">
        <v>10</v>
      </c>
      <c r="G26" s="560" t="s">
        <v>12</v>
      </c>
      <c r="H26" s="232" t="s">
        <v>427</v>
      </c>
      <c r="I26" s="755"/>
      <c r="J26" s="213">
        <f>+'25'!J26</f>
        <v>0</v>
      </c>
      <c r="K26" s="238"/>
      <c r="L26" s="238"/>
      <c r="M26" s="116">
        <f>+K26+'25'!M26+L26</f>
        <v>0</v>
      </c>
      <c r="Q26" s="148">
        <f>480-Q25</f>
        <v>0</v>
      </c>
      <c r="R26" s="175">
        <f>+R25/Q25</f>
        <v>1132.125</v>
      </c>
      <c r="S26" s="175">
        <f>+S25/Q25</f>
        <v>854.859375</v>
      </c>
      <c r="X26" s="148">
        <f>480-X25</f>
        <v>-255</v>
      </c>
      <c r="Y26" s="175">
        <f>+Y25/X25</f>
        <v>1081.1836734693877</v>
      </c>
      <c r="Z26" s="175">
        <f>+Z25/X25</f>
        <v>810.88775510204084</v>
      </c>
    </row>
    <row r="27" spans="1:26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700</v>
      </c>
      <c r="I27" s="755"/>
      <c r="J27" s="213">
        <f>+'25'!J27</f>
        <v>0</v>
      </c>
      <c r="K27" s="238"/>
      <c r="L27" s="238"/>
      <c r="M27" s="116">
        <f>+K27+'25'!M27+L27</f>
        <v>0</v>
      </c>
      <c r="N27" s="148" t="s">
        <v>714</v>
      </c>
      <c r="O27" s="148">
        <v>1100</v>
      </c>
      <c r="P27" s="148">
        <f>+O27-(O27*0.25)</f>
        <v>825</v>
      </c>
      <c r="Q27" s="148">
        <v>480</v>
      </c>
      <c r="R27" s="148">
        <f t="shared" ref="R27:R28" si="10">+O27*Q27</f>
        <v>528000</v>
      </c>
      <c r="S27" s="148">
        <f t="shared" ref="S27:S28" si="11">+P27*Q27</f>
        <v>396000</v>
      </c>
    </row>
    <row r="28" spans="1:26" ht="13.5" customHeight="1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+'25'!J28</f>
        <v>0</v>
      </c>
      <c r="K28" s="238"/>
      <c r="L28" s="238"/>
      <c r="M28" s="116">
        <f>+K28+'25'!M28+L28</f>
        <v>0</v>
      </c>
      <c r="O28" s="148">
        <f>1100-O27</f>
        <v>0</v>
      </c>
      <c r="P28" s="148">
        <f>+O28-(O28*0.27)</f>
        <v>0</v>
      </c>
      <c r="R28" s="148">
        <f t="shared" si="10"/>
        <v>0</v>
      </c>
      <c r="S28" s="148">
        <f t="shared" si="11"/>
        <v>0</v>
      </c>
    </row>
    <row r="29" spans="1:2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+'25'!J29</f>
        <v>0</v>
      </c>
      <c r="K29" s="238"/>
      <c r="L29" s="238"/>
      <c r="M29" s="116">
        <f>+K29+'25'!M29+L29</f>
        <v>0</v>
      </c>
    </row>
    <row r="30" spans="1:2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+'25'!J30</f>
        <v>0</v>
      </c>
      <c r="K30" s="238"/>
      <c r="L30" s="238"/>
      <c r="M30" s="116">
        <f>+K30+'25'!M30+L30</f>
        <v>0</v>
      </c>
    </row>
    <row r="31" spans="1:26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+'25'!J31</f>
        <v>0</v>
      </c>
      <c r="K31" s="238"/>
      <c r="L31" s="238"/>
      <c r="M31" s="116">
        <f>+K31+'25'!M31+L31</f>
        <v>0</v>
      </c>
    </row>
    <row r="32" spans="1:26" ht="13.5" thickBot="1">
      <c r="A32" s="758"/>
      <c r="B32" s="164" t="s">
        <v>2</v>
      </c>
      <c r="C32" s="98">
        <f>SUM(C25:C31)</f>
        <v>14153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+'25'!J32</f>
        <v>0</v>
      </c>
      <c r="K32" s="240"/>
      <c r="L32" s="242"/>
      <c r="M32" s="116">
        <f>+K32+'25'!M32+L32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40671</v>
      </c>
      <c r="D34" s="106">
        <f>D14+D23+D32</f>
        <v>0</v>
      </c>
      <c r="E34" s="106">
        <f>E14+E23+E32</f>
        <v>0</v>
      </c>
      <c r="F34" s="107">
        <f>F14+F23+F32</f>
        <v>60</v>
      </c>
      <c r="H34" s="177"/>
      <c r="I34" s="177"/>
      <c r="J34" s="122" t="s">
        <v>28</v>
      </c>
      <c r="K34" s="123">
        <f>SUM(K7:K32)</f>
        <v>40671</v>
      </c>
      <c r="L34" s="211">
        <f>SUM(L7:L32)</f>
        <v>0</v>
      </c>
      <c r="M34" s="119">
        <f>SUM(M7:M32)</f>
        <v>990017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528000</v>
      </c>
      <c r="S35" s="175">
        <f>SUM(S27:S32)</f>
        <v>396000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1100</v>
      </c>
      <c r="S36" s="175">
        <f>+S35/Q35</f>
        <v>825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(12*705+15*735)/1440*G42*2.74*1440/1000000</f>
        <v>45.5275513153125</v>
      </c>
      <c r="J37" s="124">
        <f>+I37+'25'!J37</f>
        <v>1139.1921830015078</v>
      </c>
      <c r="K37" s="125" t="s">
        <v>63</v>
      </c>
      <c r="N37" s="148" t="s">
        <v>460</v>
      </c>
      <c r="O37" s="148">
        <v>1223.1914893617022</v>
      </c>
      <c r="P37" s="148">
        <v>896.4</v>
      </c>
      <c r="Q37" s="148">
        <v>705</v>
      </c>
    </row>
    <row r="38" spans="1:19" ht="17.45" customHeight="1">
      <c r="A38" s="763" t="s">
        <v>12</v>
      </c>
      <c r="B38" s="764"/>
      <c r="C38" s="163">
        <f>SUMIF($G$7:$G$31,"Process",$F$7:$F$31)</f>
        <v>60</v>
      </c>
      <c r="D38" s="117">
        <f>+C38+'25'!D38</f>
        <v>1614</v>
      </c>
      <c r="E38" s="142">
        <f t="shared" ref="E38:E51" si="12">D38/60</f>
        <v>26.9</v>
      </c>
      <c r="F38" s="321">
        <v>1220</v>
      </c>
      <c r="G38" s="321">
        <v>878.4</v>
      </c>
      <c r="H38" s="186" t="s">
        <v>64</v>
      </c>
      <c r="I38" s="244">
        <f>14.255+15.351+12.758</f>
        <v>42.364000000000004</v>
      </c>
      <c r="J38" s="126">
        <f>+I38+'25'!J38</f>
        <v>1022.683</v>
      </c>
      <c r="K38" s="127" t="s">
        <v>63</v>
      </c>
      <c r="N38" s="148" t="s">
        <v>714</v>
      </c>
      <c r="O38" s="148">
        <v>1081.1836734693877</v>
      </c>
      <c r="P38" s="148">
        <v>810.88775510204084</v>
      </c>
      <c r="Q38" s="148">
        <v>735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+C39+'25'!D39</f>
        <v>33</v>
      </c>
      <c r="E39" s="142">
        <f t="shared" si="12"/>
        <v>0.55000000000000004</v>
      </c>
      <c r="F39" s="321">
        <v>1132.125</v>
      </c>
      <c r="G39" s="321">
        <v>854.859375</v>
      </c>
      <c r="H39" s="186" t="s">
        <v>65</v>
      </c>
      <c r="I39" s="141"/>
      <c r="J39" s="128">
        <f>J37/G4</f>
        <v>43.815083961596457</v>
      </c>
      <c r="K39" s="129" t="s">
        <v>63</v>
      </c>
      <c r="Q39" s="148">
        <f>SUM(Q37:Q38)</f>
        <v>1440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+C40+'25'!D40</f>
        <v>206</v>
      </c>
      <c r="E40" s="142">
        <f t="shared" si="12"/>
        <v>3.4333333333333331</v>
      </c>
      <c r="F40" s="321">
        <v>1100</v>
      </c>
      <c r="G40" s="321">
        <v>825</v>
      </c>
      <c r="H40" s="186" t="s">
        <v>67</v>
      </c>
      <c r="I40" s="117">
        <f>(K34+L34)/1000</f>
        <v>40.670999999999999</v>
      </c>
      <c r="J40" s="130">
        <f>+I40+'25'!J40</f>
        <v>990.01700000000005</v>
      </c>
      <c r="K40" s="129" t="s">
        <v>63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+C41+'25'!D41</f>
        <v>0</v>
      </c>
      <c r="E41" s="142">
        <f t="shared" si="12"/>
        <v>0</v>
      </c>
      <c r="F41" s="321"/>
      <c r="G41" s="321"/>
      <c r="H41" s="186" t="s">
        <v>69</v>
      </c>
      <c r="I41" s="141"/>
      <c r="J41" s="128">
        <f>J40/G4</f>
        <v>38.077576923076926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+C42+'25'!D42</f>
        <v>0</v>
      </c>
      <c r="E42" s="142">
        <f t="shared" si="12"/>
        <v>0</v>
      </c>
      <c r="F42" s="321">
        <f>+(480*F38+480*F39+480*F40)/1440</f>
        <v>1150.7083333333333</v>
      </c>
      <c r="G42" s="321">
        <f>+(480*G38+480*G39+480*G40)/1440</f>
        <v>852.75312499999995</v>
      </c>
      <c r="H42" s="186" t="s">
        <v>70</v>
      </c>
      <c r="I42" s="245" t="s">
        <v>717</v>
      </c>
      <c r="J42" s="131"/>
      <c r="K42" s="129" t="s">
        <v>71</v>
      </c>
    </row>
    <row r="43" spans="1:19" ht="17.45" customHeight="1">
      <c r="A43" s="765" t="s">
        <v>72</v>
      </c>
      <c r="B43" s="766"/>
      <c r="C43" s="163">
        <f>SUMIF($G$7:$G$31,"Water",$F$7:$F$31)</f>
        <v>0</v>
      </c>
      <c r="D43" s="117">
        <f>+C43+'25'!D43</f>
        <v>0</v>
      </c>
      <c r="E43" s="142">
        <f t="shared" si="12"/>
        <v>0</v>
      </c>
      <c r="F43" s="321"/>
      <c r="G43" s="322"/>
      <c r="H43" s="187" t="s">
        <v>73</v>
      </c>
      <c r="I43" s="117">
        <f>+Report1!Z34</f>
        <v>49.7</v>
      </c>
      <c r="J43" s="132">
        <f>+I43+'25'!J43</f>
        <v>1410.6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+C44+'25'!D44</f>
        <v>438</v>
      </c>
      <c r="E44" s="142">
        <f t="shared" si="12"/>
        <v>7.3</v>
      </c>
      <c r="F44" s="321"/>
      <c r="G44" s="322"/>
      <c r="H44" s="187" t="s">
        <v>74</v>
      </c>
      <c r="I44" s="117">
        <f>I43/I38</f>
        <v>1.1731658955717117</v>
      </c>
      <c r="J44" s="133">
        <f>J43/J38</f>
        <v>1.3793130422623627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+C45+'25'!D45</f>
        <v>0</v>
      </c>
      <c r="E45" s="142">
        <f t="shared" si="12"/>
        <v>0</v>
      </c>
      <c r="F45" s="321"/>
      <c r="G45" s="324"/>
      <c r="H45" s="187" t="s">
        <v>75</v>
      </c>
      <c r="I45" s="117">
        <f>I43/I40</f>
        <v>1.2220009343266702</v>
      </c>
      <c r="J45" s="133">
        <f>J43/J40</f>
        <v>1.4248240181734251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+C46+'25'!D46</f>
        <v>0</v>
      </c>
      <c r="E46" s="142">
        <f t="shared" si="12"/>
        <v>0</v>
      </c>
      <c r="F46" s="321"/>
      <c r="G46" s="322"/>
      <c r="H46" s="187" t="s">
        <v>77</v>
      </c>
      <c r="I46" s="139">
        <f>+SUMIF(Listrik!P33,"&gt;0")</f>
        <v>35779.22</v>
      </c>
      <c r="J46" s="134">
        <f>+I46+'25'!J46</f>
        <v>920631.44000000064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+C47+'25'!D47</f>
        <v>0</v>
      </c>
      <c r="E47" s="142">
        <f t="shared" si="12"/>
        <v>0</v>
      </c>
      <c r="F47" s="321"/>
      <c r="G47" s="322"/>
      <c r="H47" s="187" t="s">
        <v>80</v>
      </c>
      <c r="I47" s="117">
        <f>I46/I38</f>
        <v>844.56661316211876</v>
      </c>
      <c r="J47" s="134">
        <f>J46/J38</f>
        <v>900.21193272988853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+C48+'25'!D48</f>
        <v>0</v>
      </c>
      <c r="E48" s="142">
        <f t="shared" si="12"/>
        <v>0</v>
      </c>
      <c r="F48" s="321"/>
      <c r="G48" s="322"/>
      <c r="H48" s="187" t="s">
        <v>81</v>
      </c>
      <c r="I48" s="117">
        <f>I46/I40</f>
        <v>879.72314425512036</v>
      </c>
      <c r="J48" s="134">
        <f>J46/J40</f>
        <v>929.91477924116509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+C49+'25'!D49</f>
        <v>0</v>
      </c>
      <c r="E49" s="142">
        <f t="shared" si="12"/>
        <v>0</v>
      </c>
      <c r="F49" s="184"/>
      <c r="H49" s="187" t="s">
        <v>270</v>
      </c>
      <c r="I49" s="117">
        <f>+Report1!T34</f>
        <v>5538.3491607480109</v>
      </c>
      <c r="J49" s="134">
        <f>+I49+'25'!J49</f>
        <v>135780.18452640346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+C50+'25'!D50</f>
        <v>0</v>
      </c>
      <c r="E50" s="142">
        <f t="shared" si="12"/>
        <v>0</v>
      </c>
      <c r="F50" s="184"/>
      <c r="H50" s="187" t="s">
        <v>83</v>
      </c>
      <c r="I50" s="139">
        <f>I49/I38</f>
        <v>130.73244171343617</v>
      </c>
      <c r="J50" s="132">
        <f>J49/J38</f>
        <v>132.76859449741852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+C51+'25'!D51</f>
        <v>738</v>
      </c>
      <c r="E51" s="142">
        <f t="shared" si="12"/>
        <v>12.3</v>
      </c>
      <c r="F51" s="184"/>
      <c r="H51" s="189" t="s">
        <v>85</v>
      </c>
      <c r="I51" s="140">
        <f>I49/I40</f>
        <v>136.17440340163779</v>
      </c>
      <c r="J51" s="135">
        <f>J49/J40</f>
        <v>137.14934645203411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60</v>
      </c>
      <c r="D52" s="143">
        <f>SUM(D38:D51)</f>
        <v>3029</v>
      </c>
      <c r="E52" s="144">
        <f>SUM(E38:E51)</f>
        <v>50.483333333333334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4.1666666666666664E-2</v>
      </c>
      <c r="D53" s="145">
        <f>D52/(24*60*G4)</f>
        <v>8.0902777777777782E-2</v>
      </c>
      <c r="E53" s="146">
        <f>E52/(G4*24)</f>
        <v>8.0902777777777782E-2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+D34+'25'!J56</f>
        <v>3921</v>
      </c>
      <c r="K56" s="200">
        <f>J56/(J40+J56/1000)/1000</f>
        <v>3.9449140690868039E-3</v>
      </c>
    </row>
    <row r="57" spans="1:11">
      <c r="A57" s="175"/>
      <c r="I57" s="198" t="s">
        <v>88</v>
      </c>
      <c r="J57" s="199">
        <f>+E34+'25'!J57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opLeftCell="C10" zoomScale="80" zoomScaleNormal="80" workbookViewId="0">
      <selection activeCell="H14" sqref="H14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25</v>
      </c>
      <c r="H4" s="153" t="str">
        <f>+'1'!H4</f>
        <v>.04.26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444</v>
      </c>
      <c r="O6" s="148">
        <v>1170</v>
      </c>
      <c r="P6" s="148">
        <f>+O6-(O6*0.27)</f>
        <v>854.09999999999991</v>
      </c>
      <c r="Q6" s="148">
        <f>60*5+25</f>
        <v>325</v>
      </c>
      <c r="R6" s="148">
        <f t="shared" ref="R6:R7" si="0">+O6*Q6</f>
        <v>380250</v>
      </c>
      <c r="S6" s="148">
        <f t="shared" ref="S6:S7" si="1">+P6*Q6</f>
        <v>277582.49999999994</v>
      </c>
      <c r="U6" s="148" t="s">
        <v>444</v>
      </c>
      <c r="V6" s="148">
        <v>1170</v>
      </c>
      <c r="W6" s="148">
        <f>+V6-(V6*0.27)</f>
        <v>854.09999999999991</v>
      </c>
      <c r="X6" s="148">
        <f>60*5+25</f>
        <v>325</v>
      </c>
      <c r="Y6" s="148">
        <f t="shared" ref="Y6:Y7" si="2">+V6*X6</f>
        <v>380250</v>
      </c>
      <c r="Z6" s="148">
        <f t="shared" ref="Z6:Z7" si="3">+W6*X6</f>
        <v>277582.49999999994</v>
      </c>
    </row>
    <row r="7" spans="1:26" ht="13.5" customHeight="1" thickBot="1">
      <c r="A7" s="751" t="s">
        <v>390</v>
      </c>
      <c r="B7" s="214" t="s">
        <v>456</v>
      </c>
      <c r="C7" s="215">
        <v>13264</v>
      </c>
      <c r="D7" s="216"/>
      <c r="E7" s="217"/>
      <c r="F7" s="227">
        <v>6</v>
      </c>
      <c r="G7" s="228" t="s">
        <v>12</v>
      </c>
      <c r="H7" s="229" t="s">
        <v>493</v>
      </c>
      <c r="I7" s="754" t="s">
        <v>710</v>
      </c>
      <c r="J7" s="213" t="str">
        <f>+'24'!J7</f>
        <v>F 11,5 VP OW</v>
      </c>
      <c r="K7" s="237"/>
      <c r="L7" s="241"/>
      <c r="M7" s="116">
        <f>+K7+'24'!M7+L7</f>
        <v>168614</v>
      </c>
      <c r="O7" s="148">
        <v>1200</v>
      </c>
      <c r="P7" s="148">
        <f>+O7-(O7*0.27)</f>
        <v>876</v>
      </c>
      <c r="Q7" s="148">
        <f>480-Q6</f>
        <v>155</v>
      </c>
      <c r="R7" s="148">
        <f t="shared" si="0"/>
        <v>186000</v>
      </c>
      <c r="S7" s="148">
        <f t="shared" si="1"/>
        <v>135780</v>
      </c>
      <c r="V7" s="148">
        <v>1200</v>
      </c>
      <c r="W7" s="148">
        <f>+V7-(V7*0.27)</f>
        <v>876</v>
      </c>
      <c r="X7" s="148">
        <f>480-X6</f>
        <v>155</v>
      </c>
      <c r="Y7" s="148">
        <f t="shared" si="2"/>
        <v>186000</v>
      </c>
      <c r="Z7" s="148">
        <f t="shared" si="3"/>
        <v>135780</v>
      </c>
    </row>
    <row r="8" spans="1:26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+'24'!J8</f>
        <v>F 14 VP OW</v>
      </c>
      <c r="K8" s="238"/>
      <c r="L8" s="238"/>
      <c r="M8" s="116">
        <f>+K8+'24'!M8+L8</f>
        <v>90331</v>
      </c>
      <c r="U8" s="148" t="s">
        <v>444</v>
      </c>
      <c r="V8" s="148">
        <v>1200</v>
      </c>
      <c r="W8" s="148">
        <v>876</v>
      </c>
      <c r="X8" s="148">
        <v>280</v>
      </c>
      <c r="Y8" s="148">
        <f t="shared" ref="Y8" si="4">+V8*X8</f>
        <v>336000</v>
      </c>
      <c r="Z8" s="148">
        <f t="shared" ref="Z8" si="5">+W8*X8</f>
        <v>245280</v>
      </c>
    </row>
    <row r="9" spans="1:26" ht="13.5" thickBot="1">
      <c r="A9" s="752"/>
      <c r="B9" s="214"/>
      <c r="C9" s="215"/>
      <c r="D9" s="216"/>
      <c r="E9" s="219"/>
      <c r="F9" s="227">
        <v>14</v>
      </c>
      <c r="G9" s="560" t="s">
        <v>12</v>
      </c>
      <c r="H9" s="232" t="s">
        <v>427</v>
      </c>
      <c r="I9" s="755"/>
      <c r="J9" s="213" t="str">
        <f>+'24'!J9</f>
        <v>F 13 VP OW</v>
      </c>
      <c r="K9" s="238">
        <f>+C7+C16</f>
        <v>24201</v>
      </c>
      <c r="L9" s="238"/>
      <c r="M9" s="116">
        <f>+K9+'24'!M9+L9</f>
        <v>73071</v>
      </c>
    </row>
    <row r="10" spans="1:26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707</v>
      </c>
      <c r="I10" s="755"/>
      <c r="J10" s="213" t="str">
        <f>+'24'!J10</f>
        <v>F 12 VP OW</v>
      </c>
      <c r="K10" s="238">
        <f>+C17+C25</f>
        <v>14668</v>
      </c>
      <c r="L10" s="238"/>
      <c r="M10" s="116">
        <f>+K10+'24'!M10+L10</f>
        <v>24989</v>
      </c>
    </row>
    <row r="11" spans="1:26" ht="51.75" thickBot="1">
      <c r="A11" s="752"/>
      <c r="B11" s="214"/>
      <c r="C11" s="215"/>
      <c r="D11" s="216"/>
      <c r="E11" s="218"/>
      <c r="F11" s="227"/>
      <c r="G11" s="231"/>
      <c r="H11" s="232" t="s">
        <v>708</v>
      </c>
      <c r="I11" s="755"/>
      <c r="J11" s="213" t="str">
        <f>+'24'!J11</f>
        <v>F 16 VP OW</v>
      </c>
      <c r="K11" s="238"/>
      <c r="L11" s="238"/>
      <c r="M11" s="116">
        <f>+K11+'24'!M11+L11</f>
        <v>37034</v>
      </c>
    </row>
    <row r="12" spans="1:2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+'24'!J12</f>
        <v>F 15 VP OW</v>
      </c>
      <c r="K12" s="238"/>
      <c r="L12" s="238"/>
      <c r="M12" s="116">
        <f>+K12+'24'!M12+L12</f>
        <v>3202</v>
      </c>
    </row>
    <row r="13" spans="1:2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+'24'!J13</f>
        <v>T 14 VP OW</v>
      </c>
      <c r="K13" s="238"/>
      <c r="L13" s="238"/>
      <c r="M13" s="116">
        <f>+K13+'24'!M13+L13</f>
        <v>5600</v>
      </c>
    </row>
    <row r="14" spans="1:26" ht="13.5" thickBot="1">
      <c r="A14" s="753"/>
      <c r="B14" s="164" t="s">
        <v>2</v>
      </c>
      <c r="C14" s="98">
        <f>SUM(C7:C13)</f>
        <v>13264</v>
      </c>
      <c r="D14" s="110">
        <f>SUM(D7:D13)</f>
        <v>0</v>
      </c>
      <c r="E14" s="111">
        <f>SUM(E5:E13)</f>
        <v>0</v>
      </c>
      <c r="F14" s="115">
        <f>SUM(F7:F13)</f>
        <v>20</v>
      </c>
      <c r="G14" s="158"/>
      <c r="H14" s="165"/>
      <c r="I14" s="166"/>
      <c r="J14" s="213" t="str">
        <f>+'24'!J14</f>
        <v>T 13 VP OW</v>
      </c>
      <c r="K14" s="238"/>
      <c r="L14" s="238"/>
      <c r="M14" s="116">
        <f>+K14+'24'!M14+L14</f>
        <v>305914</v>
      </c>
      <c r="Q14" s="175">
        <f>SUM(Q6:Q11)</f>
        <v>480</v>
      </c>
      <c r="R14" s="175">
        <f>SUM(R6:R11)</f>
        <v>566250</v>
      </c>
      <c r="S14" s="175">
        <f>SUM(S6:S11)</f>
        <v>413362.49999999994</v>
      </c>
      <c r="X14" s="175">
        <f>SUM(X6:X11)</f>
        <v>760</v>
      </c>
      <c r="Y14" s="175">
        <f>SUM(Y6:Y11)</f>
        <v>902250</v>
      </c>
      <c r="Z14" s="175">
        <f>SUM(Z6:Z11)</f>
        <v>658642.5</v>
      </c>
    </row>
    <row r="15" spans="1:26" ht="13.5" customHeight="1" thickBot="1">
      <c r="A15" s="751" t="s">
        <v>391</v>
      </c>
      <c r="B15" s="164"/>
      <c r="C15" s="112">
        <f>C14/($C$23+$D$23+$E$23)</f>
        <v>1.0125190839694655</v>
      </c>
      <c r="D15" s="113">
        <f>D14/($C$23+$D$23+$E$23)</f>
        <v>0</v>
      </c>
      <c r="E15" s="114">
        <f>E14/($C$23+$D$23+$E$23)</f>
        <v>0</v>
      </c>
      <c r="F15" s="227">
        <v>6</v>
      </c>
      <c r="G15" s="228" t="s">
        <v>12</v>
      </c>
      <c r="H15" s="229" t="s">
        <v>493</v>
      </c>
      <c r="I15" s="754" t="s">
        <v>711</v>
      </c>
      <c r="J15" s="213" t="str">
        <f>+'24'!J15</f>
        <v>T 12 VP OW</v>
      </c>
      <c r="K15" s="238"/>
      <c r="L15" s="238"/>
      <c r="M15" s="116">
        <f>+K15+'24'!M15+L15</f>
        <v>12729</v>
      </c>
      <c r="Q15" s="148">
        <f>480-Q14</f>
        <v>0</v>
      </c>
      <c r="R15" s="175">
        <f>+R14/Q14</f>
        <v>1179.6875</v>
      </c>
      <c r="S15" s="175">
        <f>+S14/Q14</f>
        <v>861.17187499999989</v>
      </c>
      <c r="X15" s="148">
        <f>480-X14</f>
        <v>-280</v>
      </c>
      <c r="Y15" s="175">
        <f>+Y14/X14</f>
        <v>1187.171052631579</v>
      </c>
      <c r="Z15" s="175">
        <f>+Z14/X14</f>
        <v>866.6348684210526</v>
      </c>
    </row>
    <row r="16" spans="1:26" ht="13.5" thickBot="1">
      <c r="A16" s="757"/>
      <c r="B16" s="214" t="s">
        <v>456</v>
      </c>
      <c r="C16" s="221">
        <f>5312+5625</f>
        <v>10937</v>
      </c>
      <c r="D16" s="222"/>
      <c r="E16" s="223"/>
      <c r="F16" s="230"/>
      <c r="G16" s="560" t="s">
        <v>12</v>
      </c>
      <c r="H16" s="229" t="s">
        <v>412</v>
      </c>
      <c r="I16" s="755"/>
      <c r="J16" s="213" t="str">
        <f>+'24'!J16</f>
        <v>T 12,5 VP OW</v>
      </c>
      <c r="K16" s="228"/>
      <c r="L16" s="228"/>
      <c r="M16" s="116">
        <f>+K16+'24'!M16+L16</f>
        <v>51474</v>
      </c>
    </row>
    <row r="17" spans="1:26" ht="13.5" thickBot="1">
      <c r="A17" s="757"/>
      <c r="B17" s="214" t="s">
        <v>469</v>
      </c>
      <c r="C17" s="215">
        <f>1158+1005</f>
        <v>2163</v>
      </c>
      <c r="D17" s="216"/>
      <c r="E17" s="224"/>
      <c r="F17" s="227">
        <v>14</v>
      </c>
      <c r="G17" s="560" t="s">
        <v>12</v>
      </c>
      <c r="H17" s="232" t="s">
        <v>386</v>
      </c>
      <c r="I17" s="755"/>
      <c r="J17" s="213" t="str">
        <f>+'24'!J17</f>
        <v>T 13,5 VP OW</v>
      </c>
      <c r="K17" s="228"/>
      <c r="L17" s="228"/>
      <c r="M17" s="116">
        <f>+K17+'24'!M17+L17</f>
        <v>17480</v>
      </c>
      <c r="N17" s="148" t="s">
        <v>444</v>
      </c>
      <c r="O17" s="148">
        <v>1200</v>
      </c>
      <c r="P17" s="148">
        <f>+O17-(O17*0.27)</f>
        <v>876</v>
      </c>
      <c r="Q17" s="148">
        <f>60*4+40</f>
        <v>280</v>
      </c>
      <c r="R17" s="148">
        <f t="shared" ref="R17:R18" si="6">+O17*Q17</f>
        <v>336000</v>
      </c>
      <c r="S17" s="148">
        <f t="shared" ref="S17:S18" si="7">+P17*Q17</f>
        <v>245280</v>
      </c>
    </row>
    <row r="18" spans="1:26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706</v>
      </c>
      <c r="I18" s="755"/>
      <c r="J18" s="213" t="str">
        <f>+'24'!J18</f>
        <v>F 14,5 VP OW</v>
      </c>
      <c r="K18" s="238"/>
      <c r="L18" s="238"/>
      <c r="M18" s="116">
        <f>+K18+'24'!M18+L18</f>
        <v>158908</v>
      </c>
      <c r="N18" s="148" t="s">
        <v>460</v>
      </c>
      <c r="O18" s="148">
        <v>1230</v>
      </c>
      <c r="P18" s="148">
        <f>+O18-(O18*0.27)</f>
        <v>897.9</v>
      </c>
      <c r="Q18" s="148">
        <f>480-Q17</f>
        <v>200</v>
      </c>
      <c r="R18" s="148">
        <f t="shared" si="6"/>
        <v>246000</v>
      </c>
      <c r="S18" s="148">
        <f t="shared" si="7"/>
        <v>179580</v>
      </c>
    </row>
    <row r="19" spans="1:26" ht="13.5" thickBot="1">
      <c r="A19" s="757"/>
      <c r="B19" s="214"/>
      <c r="C19" s="215"/>
      <c r="D19" s="216"/>
      <c r="E19" s="224"/>
      <c r="F19" s="234"/>
      <c r="G19" s="231"/>
      <c r="H19" s="232" t="s">
        <v>709</v>
      </c>
      <c r="I19" s="755"/>
      <c r="J19" s="213">
        <f>+'24'!J19</f>
        <v>0</v>
      </c>
      <c r="K19" s="238"/>
      <c r="L19" s="238"/>
      <c r="M19" s="116">
        <f>+K19+'24'!M19+L19</f>
        <v>0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+'24'!J20</f>
        <v>0</v>
      </c>
      <c r="K20" s="239"/>
      <c r="L20" s="239"/>
      <c r="M20" s="116">
        <f>+K20+'24'!M20+L20</f>
        <v>0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+'24'!J21</f>
        <v>0</v>
      </c>
      <c r="K21" s="238"/>
      <c r="L21" s="238"/>
      <c r="M21" s="116">
        <f>+K21+'24'!M21+L21</f>
        <v>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+'24'!J22</f>
        <v>0</v>
      </c>
      <c r="K22" s="238"/>
      <c r="L22" s="238"/>
      <c r="M22" s="116">
        <f>+K22+'24'!M22+L22</f>
        <v>0</v>
      </c>
    </row>
    <row r="23" spans="1:26" ht="13.5" thickBot="1">
      <c r="A23" s="758"/>
      <c r="B23" s="167" t="s">
        <v>2</v>
      </c>
      <c r="C23" s="99">
        <f>SUM(C16:C22)</f>
        <v>13100</v>
      </c>
      <c r="D23" s="110">
        <f>SUM(D16:D22)</f>
        <v>0</v>
      </c>
      <c r="E23" s="111">
        <f>SUM(E18:E22)</f>
        <v>0</v>
      </c>
      <c r="F23" s="115">
        <f>SUM(F15:F22)</f>
        <v>20</v>
      </c>
      <c r="G23" s="158"/>
      <c r="H23" s="165"/>
      <c r="I23" s="168"/>
      <c r="J23" s="213">
        <f>+'24'!J23</f>
        <v>0</v>
      </c>
      <c r="K23" s="238"/>
      <c r="L23" s="238"/>
      <c r="M23" s="116">
        <f>+K23+'24'!M23+L23</f>
        <v>0</v>
      </c>
    </row>
    <row r="24" spans="1:26" ht="13.5" customHeight="1" thickBot="1">
      <c r="A24" s="751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493</v>
      </c>
      <c r="I24" s="754" t="s">
        <v>712</v>
      </c>
      <c r="J24" s="213">
        <f>+'24'!J24</f>
        <v>0</v>
      </c>
      <c r="K24" s="238"/>
      <c r="L24" s="238"/>
      <c r="M24" s="116">
        <f>+K24+'24'!M24+L24</f>
        <v>0</v>
      </c>
    </row>
    <row r="25" spans="1:26" ht="13.5" thickBot="1">
      <c r="A25" s="757"/>
      <c r="B25" s="214" t="s">
        <v>469</v>
      </c>
      <c r="C25" s="225">
        <v>12505</v>
      </c>
      <c r="D25" s="216"/>
      <c r="E25" s="224"/>
      <c r="F25" s="230">
        <v>3</v>
      </c>
      <c r="G25" s="560" t="s">
        <v>12</v>
      </c>
      <c r="H25" s="229" t="s">
        <v>414</v>
      </c>
      <c r="I25" s="755"/>
      <c r="J25" s="213">
        <f>+'24'!J25</f>
        <v>0</v>
      </c>
      <c r="K25" s="238"/>
      <c r="L25" s="238"/>
      <c r="M25" s="116">
        <f>+K25+'24'!M25+L25</f>
        <v>0</v>
      </c>
      <c r="Q25" s="175">
        <f>SUM(Q17:Q22)</f>
        <v>480</v>
      </c>
      <c r="R25" s="175">
        <f>SUM(R17:R22)</f>
        <v>582000</v>
      </c>
      <c r="S25" s="175">
        <f>SUM(S17:S22)</f>
        <v>424860</v>
      </c>
    </row>
    <row r="26" spans="1:26" ht="13.5" thickBot="1">
      <c r="A26" s="757"/>
      <c r="B26" s="214"/>
      <c r="C26" s="225"/>
      <c r="D26" s="216"/>
      <c r="E26" s="226"/>
      <c r="F26" s="227">
        <f>23-9</f>
        <v>14</v>
      </c>
      <c r="G26" s="560" t="s">
        <v>12</v>
      </c>
      <c r="H26" s="232" t="s">
        <v>427</v>
      </c>
      <c r="I26" s="755"/>
      <c r="J26" s="213">
        <f>+'24'!J26</f>
        <v>0</v>
      </c>
      <c r="K26" s="238"/>
      <c r="L26" s="238"/>
      <c r="M26" s="116">
        <f>+K26+'24'!M26+L26</f>
        <v>0</v>
      </c>
      <c r="Q26" s="148">
        <f>480-Q25</f>
        <v>0</v>
      </c>
      <c r="R26" s="175">
        <f>+R25/Q25</f>
        <v>1212.5</v>
      </c>
      <c r="S26" s="175">
        <f>+S25/Q25</f>
        <v>885.125</v>
      </c>
    </row>
    <row r="27" spans="1:26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705</v>
      </c>
      <c r="I27" s="755"/>
      <c r="J27" s="213">
        <f>+'24'!J27</f>
        <v>0</v>
      </c>
      <c r="K27" s="238"/>
      <c r="L27" s="238"/>
      <c r="M27" s="116">
        <f>+K27+'24'!M27+L27</f>
        <v>0</v>
      </c>
    </row>
    <row r="28" spans="1:26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+'24'!J28</f>
        <v>0</v>
      </c>
      <c r="K28" s="238"/>
      <c r="L28" s="238"/>
      <c r="M28" s="116">
        <f>+K28+'24'!M28+L28</f>
        <v>0</v>
      </c>
      <c r="N28" s="148" t="s">
        <v>460</v>
      </c>
      <c r="O28" s="148">
        <v>1230</v>
      </c>
      <c r="P28" s="148">
        <f>+O28-(O28*0.27)</f>
        <v>897.9</v>
      </c>
      <c r="Q28" s="148">
        <v>480</v>
      </c>
      <c r="R28" s="148">
        <f t="shared" ref="R28:R29" si="8">+O28*Q28</f>
        <v>590400</v>
      </c>
      <c r="S28" s="148">
        <f t="shared" ref="S28:S29" si="9">+P28*Q28</f>
        <v>430992</v>
      </c>
      <c r="U28" s="148" t="s">
        <v>460</v>
      </c>
      <c r="V28" s="148">
        <v>1230</v>
      </c>
      <c r="W28" s="148">
        <f>+V28-(V28*0.27)</f>
        <v>897.9</v>
      </c>
      <c r="X28" s="148">
        <v>200</v>
      </c>
      <c r="Y28" s="148">
        <f t="shared" ref="Y28" si="10">+V28*X28</f>
        <v>246000</v>
      </c>
      <c r="Z28" s="148">
        <f t="shared" ref="Z28" si="11">+W28*X28</f>
        <v>179580</v>
      </c>
    </row>
    <row r="29" spans="1:2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+'24'!J29</f>
        <v>0</v>
      </c>
      <c r="K29" s="238"/>
      <c r="L29" s="238"/>
      <c r="M29" s="116">
        <f>+K29+'24'!M29+L29</f>
        <v>0</v>
      </c>
      <c r="R29" s="148">
        <f t="shared" si="8"/>
        <v>0</v>
      </c>
      <c r="S29" s="148">
        <f t="shared" si="9"/>
        <v>0</v>
      </c>
      <c r="Y29" s="148">
        <f t="shared" ref="Y29:Y30" si="12">+V29*X29</f>
        <v>0</v>
      </c>
      <c r="Z29" s="148">
        <f t="shared" ref="Z29:Z30" si="13">+W29*X29</f>
        <v>0</v>
      </c>
    </row>
    <row r="30" spans="1:2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+'24'!J30</f>
        <v>0</v>
      </c>
      <c r="K30" s="238"/>
      <c r="L30" s="238"/>
      <c r="M30" s="116">
        <f>+K30+'24'!M30+L30</f>
        <v>0</v>
      </c>
      <c r="U30" s="148" t="s">
        <v>460</v>
      </c>
      <c r="V30" s="148">
        <v>1230</v>
      </c>
      <c r="W30" s="148">
        <v>897.9</v>
      </c>
      <c r="X30" s="148">
        <v>480</v>
      </c>
      <c r="Y30" s="148">
        <f t="shared" si="12"/>
        <v>590400</v>
      </c>
      <c r="Z30" s="148">
        <f t="shared" si="13"/>
        <v>430992</v>
      </c>
    </row>
    <row r="31" spans="1:26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+'24'!J31</f>
        <v>0</v>
      </c>
      <c r="K31" s="238"/>
      <c r="L31" s="238"/>
      <c r="M31" s="116">
        <f>+K31+'24'!M31+L31</f>
        <v>0</v>
      </c>
    </row>
    <row r="32" spans="1:26" ht="13.5" thickBot="1">
      <c r="A32" s="758"/>
      <c r="B32" s="164" t="s">
        <v>2</v>
      </c>
      <c r="C32" s="98">
        <f>SUM(C25:C31)</f>
        <v>12505</v>
      </c>
      <c r="D32" s="99">
        <f>SUM(D25:D31)</f>
        <v>0</v>
      </c>
      <c r="E32" s="100">
        <f>SUM(E25:E31)</f>
        <v>0</v>
      </c>
      <c r="F32" s="101">
        <f>SUM(F24:F31)</f>
        <v>23</v>
      </c>
      <c r="G32" s="170"/>
      <c r="H32" s="171"/>
      <c r="I32" s="168"/>
      <c r="J32" s="213">
        <f>+'24'!J32</f>
        <v>0</v>
      </c>
      <c r="K32" s="240"/>
      <c r="L32" s="242"/>
      <c r="M32" s="116">
        <f>+K32+'24'!M32+L32</f>
        <v>0</v>
      </c>
    </row>
    <row r="33" spans="1:26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9" t="s">
        <v>57</v>
      </c>
      <c r="B34" s="760"/>
      <c r="C34" s="106">
        <f>C14+C23+C32</f>
        <v>38869</v>
      </c>
      <c r="D34" s="106">
        <f>D14+D23+D32</f>
        <v>0</v>
      </c>
      <c r="E34" s="106">
        <f>E14+E23+E32</f>
        <v>0</v>
      </c>
      <c r="F34" s="107">
        <f>F14+F23+F32</f>
        <v>63</v>
      </c>
      <c r="H34" s="177"/>
      <c r="I34" s="177"/>
      <c r="J34" s="122" t="s">
        <v>28</v>
      </c>
      <c r="K34" s="123">
        <f>SUM(K7:K32)</f>
        <v>38869</v>
      </c>
      <c r="L34" s="211">
        <f>SUM(L7:L32)</f>
        <v>0</v>
      </c>
      <c r="M34" s="119">
        <f>SUM(M7:M32)</f>
        <v>949346</v>
      </c>
    </row>
    <row r="35" spans="1:26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26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75">
        <f>SUM(Q28:Q33)</f>
        <v>480</v>
      </c>
      <c r="R36" s="175">
        <f>SUM(R28:R33)</f>
        <v>590400</v>
      </c>
      <c r="S36" s="175">
        <f>SUM(S28:S33)</f>
        <v>430992</v>
      </c>
      <c r="X36" s="175">
        <f>SUM(X28:X33)</f>
        <v>680</v>
      </c>
      <c r="Y36" s="175">
        <f>SUM(Y28:Y33)</f>
        <v>836400</v>
      </c>
      <c r="Z36" s="175">
        <f>SUM(Z28:Z33)</f>
        <v>610572</v>
      </c>
    </row>
    <row r="37" spans="1:26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(13*760+12*680)/1440*G42*2.74*1440/1000000</f>
        <v>43.567197950833332</v>
      </c>
      <c r="J37" s="124">
        <f>+I37+'24'!J37</f>
        <v>1093.6646316861954</v>
      </c>
      <c r="K37" s="125" t="s">
        <v>63</v>
      </c>
      <c r="Q37" s="148">
        <f>480-Q36</f>
        <v>0</v>
      </c>
      <c r="R37" s="175">
        <f>+R36/Q36</f>
        <v>1230</v>
      </c>
      <c r="S37" s="175">
        <f>+S36/Q36</f>
        <v>897.9</v>
      </c>
      <c r="X37" s="148">
        <f>480-X36</f>
        <v>-200</v>
      </c>
      <c r="Y37" s="175">
        <f>+Y36/X36</f>
        <v>1230</v>
      </c>
      <c r="Z37" s="175">
        <f>+Z36/X36</f>
        <v>897.9</v>
      </c>
    </row>
    <row r="38" spans="1:26" ht="17.45" customHeight="1">
      <c r="A38" s="763" t="s">
        <v>12</v>
      </c>
      <c r="B38" s="764"/>
      <c r="C38" s="163">
        <f>SUMIF($G$7:$G$31,"Process",$F$7:$F$31)</f>
        <v>63</v>
      </c>
      <c r="D38" s="117">
        <f>+C38+'24'!D38</f>
        <v>1554</v>
      </c>
      <c r="E38" s="142">
        <f t="shared" ref="E38:E51" si="14">D38/60</f>
        <v>25.9</v>
      </c>
      <c r="F38" s="321">
        <v>1179.6875</v>
      </c>
      <c r="G38" s="321">
        <v>861.17187499999989</v>
      </c>
      <c r="H38" s="186" t="s">
        <v>64</v>
      </c>
      <c r="I38" s="244">
        <f>14.698+12.062+12.884</f>
        <v>39.643999999999998</v>
      </c>
      <c r="J38" s="126">
        <f>+I38+'24'!J38</f>
        <v>980.31899999999996</v>
      </c>
      <c r="K38" s="127" t="s">
        <v>63</v>
      </c>
      <c r="N38" s="148" t="s">
        <v>444</v>
      </c>
      <c r="O38" s="148">
        <v>1187.171052631579</v>
      </c>
      <c r="P38" s="148">
        <v>866.6348684210526</v>
      </c>
      <c r="Q38" s="148">
        <v>760</v>
      </c>
    </row>
    <row r="39" spans="1:26" ht="17.45" customHeight="1">
      <c r="A39" s="765" t="s">
        <v>13</v>
      </c>
      <c r="B39" s="766"/>
      <c r="C39" s="163">
        <f>SUMIF($G$7:$G$31,"Cleaning",$F$7:$F$31)</f>
        <v>0</v>
      </c>
      <c r="D39" s="117">
        <f>+C39+'24'!D39</f>
        <v>33</v>
      </c>
      <c r="E39" s="142">
        <f t="shared" si="14"/>
        <v>0.55000000000000004</v>
      </c>
      <c r="F39" s="321">
        <v>1212.5</v>
      </c>
      <c r="G39" s="321">
        <v>885.125</v>
      </c>
      <c r="H39" s="186" t="s">
        <v>65</v>
      </c>
      <c r="I39" s="141"/>
      <c r="J39" s="128">
        <f>J37/G4</f>
        <v>43.74658526744782</v>
      </c>
      <c r="K39" s="129" t="s">
        <v>63</v>
      </c>
      <c r="N39" s="148" t="s">
        <v>460</v>
      </c>
      <c r="O39" s="148">
        <v>1230</v>
      </c>
      <c r="P39" s="148">
        <v>897.9</v>
      </c>
      <c r="Q39" s="148">
        <v>680</v>
      </c>
    </row>
    <row r="40" spans="1:26" ht="17.45" customHeight="1">
      <c r="A40" s="765" t="s">
        <v>66</v>
      </c>
      <c r="B40" s="766"/>
      <c r="C40" s="163">
        <f>SUMIF($G$7:$G$31,"Mechanical",$F$7:$F$31)</f>
        <v>0</v>
      </c>
      <c r="D40" s="117">
        <f>+C40+'24'!D40</f>
        <v>206</v>
      </c>
      <c r="E40" s="142">
        <f t="shared" si="14"/>
        <v>3.4333333333333331</v>
      </c>
      <c r="F40" s="321">
        <v>1230</v>
      </c>
      <c r="G40" s="321">
        <v>897.9</v>
      </c>
      <c r="H40" s="186" t="s">
        <v>67</v>
      </c>
      <c r="I40" s="117">
        <f>(K34+L34)/1000</f>
        <v>38.869</v>
      </c>
      <c r="J40" s="130">
        <f>+I40+'24'!J40</f>
        <v>949.346</v>
      </c>
      <c r="K40" s="129" t="s">
        <v>63</v>
      </c>
      <c r="Q40" s="148">
        <f>+Q38+Q39</f>
        <v>1440</v>
      </c>
    </row>
    <row r="41" spans="1:26" ht="17.45" customHeight="1">
      <c r="A41" s="765" t="s">
        <v>68</v>
      </c>
      <c r="B41" s="766"/>
      <c r="C41" s="163">
        <f>SUMIF($G$7:$G$31,"Electrical",$F$7:$F$31)</f>
        <v>0</v>
      </c>
      <c r="D41" s="117">
        <f>+C41+'24'!D41</f>
        <v>0</v>
      </c>
      <c r="E41" s="142">
        <f t="shared" si="14"/>
        <v>0</v>
      </c>
      <c r="F41" s="321"/>
      <c r="G41" s="321"/>
      <c r="H41" s="186" t="s">
        <v>69</v>
      </c>
      <c r="I41" s="141"/>
      <c r="J41" s="128">
        <f>J40/G4</f>
        <v>37.973840000000003</v>
      </c>
      <c r="K41" s="129" t="s">
        <v>63</v>
      </c>
    </row>
    <row r="42" spans="1:26" ht="17.45" customHeight="1">
      <c r="A42" s="765" t="s">
        <v>16</v>
      </c>
      <c r="B42" s="766"/>
      <c r="C42" s="163">
        <f>SUMIF($G$7:$G$31,"Instrument",$F$7:$F$31)</f>
        <v>0</v>
      </c>
      <c r="D42" s="117">
        <f>+C42+'24'!D42</f>
        <v>0</v>
      </c>
      <c r="E42" s="142">
        <f t="shared" si="14"/>
        <v>0</v>
      </c>
      <c r="F42" s="321">
        <f>+(480*F38+480*F39+480*F40)/1440</f>
        <v>1207.3958333333333</v>
      </c>
      <c r="G42" s="321">
        <f>+(480*G38+480*G39+480*G40)/1440</f>
        <v>881.39895833333333</v>
      </c>
      <c r="H42" s="186" t="s">
        <v>70</v>
      </c>
      <c r="I42" s="245" t="s">
        <v>713</v>
      </c>
      <c r="J42" s="131"/>
      <c r="K42" s="129" t="s">
        <v>71</v>
      </c>
    </row>
    <row r="43" spans="1:26" ht="17.45" customHeight="1">
      <c r="A43" s="765" t="s">
        <v>72</v>
      </c>
      <c r="B43" s="766"/>
      <c r="C43" s="163">
        <f>SUMIF($G$7:$G$31,"Water",$F$7:$F$31)</f>
        <v>0</v>
      </c>
      <c r="D43" s="117">
        <f>+C43+'24'!D43</f>
        <v>0</v>
      </c>
      <c r="E43" s="142">
        <f t="shared" si="14"/>
        <v>0</v>
      </c>
      <c r="F43" s="321"/>
      <c r="G43" s="322"/>
      <c r="H43" s="187" t="s">
        <v>73</v>
      </c>
      <c r="I43" s="117">
        <f>+Report1!Z33</f>
        <v>49.9</v>
      </c>
      <c r="J43" s="132">
        <f>+I43+'24'!J43</f>
        <v>1360.8999999999999</v>
      </c>
      <c r="K43" s="129" t="s">
        <v>63</v>
      </c>
      <c r="L43" s="188"/>
    </row>
    <row r="44" spans="1:26" ht="17.45" customHeight="1">
      <c r="A44" s="765" t="s">
        <v>17</v>
      </c>
      <c r="B44" s="766"/>
      <c r="C44" s="163">
        <f>SUMIF($G$7:$G$31,"PLN",$F$7:$F$31)</f>
        <v>0</v>
      </c>
      <c r="D44" s="117">
        <f>+C44+'24'!D44</f>
        <v>438</v>
      </c>
      <c r="E44" s="142">
        <f t="shared" si="14"/>
        <v>7.3</v>
      </c>
      <c r="F44" s="321"/>
      <c r="G44" s="322"/>
      <c r="H44" s="187" t="s">
        <v>74</v>
      </c>
      <c r="I44" s="117">
        <f>I43/I38</f>
        <v>1.2587024518212089</v>
      </c>
      <c r="J44" s="133">
        <f>J43/J38</f>
        <v>1.3882215890949783</v>
      </c>
      <c r="K44" s="129" t="s">
        <v>63</v>
      </c>
    </row>
    <row r="45" spans="1:26" ht="17.45" customHeight="1">
      <c r="A45" s="765" t="s">
        <v>18</v>
      </c>
      <c r="B45" s="766"/>
      <c r="C45" s="163">
        <f>SUMIF($G$7:$G$31,"Boiler",$F$7:$F$31)</f>
        <v>0</v>
      </c>
      <c r="D45" s="117">
        <f>+C45+'24'!D45</f>
        <v>0</v>
      </c>
      <c r="E45" s="142">
        <f t="shared" si="14"/>
        <v>0</v>
      </c>
      <c r="F45" s="321"/>
      <c r="G45" s="324"/>
      <c r="H45" s="187" t="s">
        <v>75</v>
      </c>
      <c r="I45" s="117">
        <f>I43/I40</f>
        <v>1.283799428850755</v>
      </c>
      <c r="J45" s="133">
        <f>J43/J40</f>
        <v>1.4335131764393592</v>
      </c>
      <c r="K45" s="129" t="s">
        <v>63</v>
      </c>
    </row>
    <row r="46" spans="1:26" ht="17.45" customHeight="1">
      <c r="A46" s="765" t="s">
        <v>76</v>
      </c>
      <c r="B46" s="766"/>
      <c r="C46" s="163">
        <f>SUMIF($G$7:$G$31,"Gas",$F$7:$F$31)</f>
        <v>0</v>
      </c>
      <c r="D46" s="117">
        <f>+C46+'24'!D46</f>
        <v>0</v>
      </c>
      <c r="E46" s="142">
        <f t="shared" si="14"/>
        <v>0</v>
      </c>
      <c r="F46" s="321"/>
      <c r="G46" s="322"/>
      <c r="H46" s="187" t="s">
        <v>77</v>
      </c>
      <c r="I46" s="139">
        <f>+SUMIF(Listrik!P32,"&gt;0")</f>
        <v>36967.400000000365</v>
      </c>
      <c r="J46" s="134">
        <f>+I46+'24'!J46</f>
        <v>884852.22000000067</v>
      </c>
      <c r="K46" s="129" t="s">
        <v>78</v>
      </c>
    </row>
    <row r="47" spans="1:26" ht="17.45" customHeight="1">
      <c r="A47" s="765" t="s">
        <v>79</v>
      </c>
      <c r="B47" s="766"/>
      <c r="C47" s="163">
        <f>SUMIF($G$7:$G$31,"Gas",$F$7:$F$31)</f>
        <v>0</v>
      </c>
      <c r="D47" s="117">
        <f>+C47+'24'!D47</f>
        <v>0</v>
      </c>
      <c r="E47" s="142">
        <f t="shared" si="14"/>
        <v>0</v>
      </c>
      <c r="F47" s="321"/>
      <c r="G47" s="322"/>
      <c r="H47" s="187" t="s">
        <v>80</v>
      </c>
      <c r="I47" s="117">
        <f>I46/I38</f>
        <v>932.48410856624878</v>
      </c>
      <c r="J47" s="134">
        <f>J46/J38</f>
        <v>902.61661765200995</v>
      </c>
      <c r="K47" s="129" t="s">
        <v>24</v>
      </c>
    </row>
    <row r="48" spans="1:26" ht="17.45" customHeight="1">
      <c r="A48" s="765" t="s">
        <v>14</v>
      </c>
      <c r="B48" s="766"/>
      <c r="C48" s="163">
        <f>SUMIF($G$7:$G$31,"Start Up",$F$7:$F$31)</f>
        <v>0</v>
      </c>
      <c r="D48" s="117">
        <f>+C48+'24'!D48</f>
        <v>0</v>
      </c>
      <c r="E48" s="142">
        <f t="shared" si="14"/>
        <v>0</v>
      </c>
      <c r="F48" s="321"/>
      <c r="G48" s="322"/>
      <c r="H48" s="187" t="s">
        <v>81</v>
      </c>
      <c r="I48" s="117">
        <f>I46/I40</f>
        <v>951.07669350897538</v>
      </c>
      <c r="J48" s="134">
        <f>J46/J40</f>
        <v>932.06504267148193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+C49+'24'!D49</f>
        <v>0</v>
      </c>
      <c r="E49" s="142">
        <f t="shared" si="14"/>
        <v>0</v>
      </c>
      <c r="F49" s="184"/>
      <c r="H49" s="187" t="s">
        <v>270</v>
      </c>
      <c r="I49" s="117">
        <f>+Report1!T33</f>
        <v>5705.5332934814733</v>
      </c>
      <c r="J49" s="134">
        <f>+I49+'24'!J49</f>
        <v>130241.83536565544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+C50+'24'!D50</f>
        <v>0</v>
      </c>
      <c r="E50" s="142">
        <f t="shared" si="14"/>
        <v>0</v>
      </c>
      <c r="F50" s="184"/>
      <c r="H50" s="187" t="s">
        <v>83</v>
      </c>
      <c r="I50" s="139">
        <f>I49/I38</f>
        <v>143.91921333572478</v>
      </c>
      <c r="J50" s="132">
        <f>J49/J38</f>
        <v>132.85658583140329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+C51+'24'!D51</f>
        <v>738</v>
      </c>
      <c r="E51" s="142">
        <f t="shared" si="14"/>
        <v>12.3</v>
      </c>
      <c r="F51" s="184"/>
      <c r="H51" s="189" t="s">
        <v>85</v>
      </c>
      <c r="I51" s="140">
        <f>I49/I40</f>
        <v>146.78878523968905</v>
      </c>
      <c r="J51" s="135">
        <f>J49/J40</f>
        <v>137.19111405710399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63</v>
      </c>
      <c r="D52" s="143">
        <f>SUM(D38:D51)</f>
        <v>2969</v>
      </c>
      <c r="E52" s="144">
        <f>SUM(E38:E51)</f>
        <v>49.483333333333334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4.3749999999999997E-2</v>
      </c>
      <c r="D53" s="145">
        <f>D52/(24*60*G4)</f>
        <v>8.2472222222222225E-2</v>
      </c>
      <c r="E53" s="146">
        <f>E52/(G4*24)</f>
        <v>8.2472222222222225E-2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+D34+'24'!J56</f>
        <v>3921</v>
      </c>
      <c r="K56" s="200">
        <f>J56/(J40+J56/1000)/1000</f>
        <v>4.1132232627375124E-3</v>
      </c>
    </row>
    <row r="57" spans="1:11">
      <c r="A57" s="175"/>
      <c r="I57" s="198" t="s">
        <v>88</v>
      </c>
      <c r="J57" s="199">
        <f>+E34+'24'!J57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3.57031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24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443</v>
      </c>
      <c r="O6" s="148">
        <v>1150</v>
      </c>
      <c r="P6" s="148">
        <f>+O6-(O6*0.25)</f>
        <v>862.5</v>
      </c>
      <c r="Q6" s="148">
        <f>60*4+20</f>
        <v>260</v>
      </c>
      <c r="R6" s="148">
        <f t="shared" ref="R6:R7" si="0">+O6*Q6</f>
        <v>299000</v>
      </c>
      <c r="S6" s="148">
        <f t="shared" ref="S6:S7" si="1">+P6*Q6</f>
        <v>224250</v>
      </c>
    </row>
    <row r="7" spans="1:19" ht="13.5" customHeight="1" thickBot="1">
      <c r="A7" s="751" t="s">
        <v>390</v>
      </c>
      <c r="B7" s="214" t="s">
        <v>457</v>
      </c>
      <c r="C7" s="215">
        <f>5019+5758+337</f>
        <v>11114</v>
      </c>
      <c r="D7" s="216">
        <v>400</v>
      </c>
      <c r="E7" s="217"/>
      <c r="F7" s="227">
        <v>9</v>
      </c>
      <c r="G7" s="228" t="s">
        <v>12</v>
      </c>
      <c r="H7" s="229" t="s">
        <v>493</v>
      </c>
      <c r="I7" s="754" t="s">
        <v>697</v>
      </c>
      <c r="J7" s="213" t="str">
        <f>+'23'!J7</f>
        <v>F 11,5 VP OW</v>
      </c>
      <c r="K7" s="237"/>
      <c r="L7" s="241"/>
      <c r="M7" s="116">
        <f>+K7+'23'!M7+L7</f>
        <v>168614</v>
      </c>
      <c r="N7" s="148" t="s">
        <v>444</v>
      </c>
      <c r="O7" s="148">
        <v>1180</v>
      </c>
      <c r="P7" s="148">
        <f>+O7-(O7*0.26)</f>
        <v>873.2</v>
      </c>
      <c r="Q7" s="148">
        <f>480-Q6</f>
        <v>220</v>
      </c>
      <c r="R7" s="148">
        <f t="shared" si="0"/>
        <v>259600</v>
      </c>
      <c r="S7" s="148">
        <f t="shared" si="1"/>
        <v>192104</v>
      </c>
    </row>
    <row r="8" spans="1:19" ht="13.5" thickBot="1">
      <c r="A8" s="752"/>
      <c r="B8" s="214" t="s">
        <v>456</v>
      </c>
      <c r="C8" s="215">
        <f>2087+163</f>
        <v>2250</v>
      </c>
      <c r="D8" s="216">
        <v>50</v>
      </c>
      <c r="E8" s="218"/>
      <c r="F8" s="230"/>
      <c r="G8" s="560" t="s">
        <v>12</v>
      </c>
      <c r="H8" s="229" t="s">
        <v>412</v>
      </c>
      <c r="I8" s="755"/>
      <c r="J8" s="213" t="str">
        <f>+'23'!J8</f>
        <v>F 14 VP OW</v>
      </c>
      <c r="K8" s="238">
        <f>+C7+C16</f>
        <v>11933</v>
      </c>
      <c r="L8" s="238"/>
      <c r="M8" s="116">
        <f>+K8+'23'!M8+L8</f>
        <v>90331</v>
      </c>
    </row>
    <row r="9" spans="1:19" ht="13.5" thickBot="1">
      <c r="A9" s="752"/>
      <c r="B9" s="214"/>
      <c r="C9" s="215"/>
      <c r="D9" s="216"/>
      <c r="E9" s="219"/>
      <c r="F9" s="227">
        <f>26-9</f>
        <v>17</v>
      </c>
      <c r="G9" s="560" t="s">
        <v>12</v>
      </c>
      <c r="H9" s="232" t="s">
        <v>427</v>
      </c>
      <c r="I9" s="755"/>
      <c r="J9" s="213" t="str">
        <f>+'23'!J9</f>
        <v>F 13 VP OW</v>
      </c>
      <c r="K9" s="238">
        <f>+C8+C17+C25</f>
        <v>26629</v>
      </c>
      <c r="L9" s="238"/>
      <c r="M9" s="116">
        <f>+K9+'23'!M9+L9</f>
        <v>48870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689</v>
      </c>
      <c r="I10" s="755"/>
      <c r="J10" s="213" t="str">
        <f>+'23'!J10</f>
        <v>F 12 VP OW</v>
      </c>
      <c r="K10" s="238"/>
      <c r="L10" s="238"/>
      <c r="M10" s="116">
        <f>+K10+'23'!M10+L10</f>
        <v>10321</v>
      </c>
    </row>
    <row r="11" spans="1:19" ht="26.25" thickBot="1">
      <c r="A11" s="752"/>
      <c r="B11" s="214"/>
      <c r="C11" s="215"/>
      <c r="D11" s="216"/>
      <c r="E11" s="218"/>
      <c r="F11" s="227"/>
      <c r="G11" s="231"/>
      <c r="H11" s="232" t="s">
        <v>694</v>
      </c>
      <c r="I11" s="755"/>
      <c r="J11" s="213" t="str">
        <f>+'23'!J11</f>
        <v>F 16 VP OW</v>
      </c>
      <c r="K11" s="238"/>
      <c r="L11" s="238"/>
      <c r="M11" s="116">
        <f>+K11+'23'!M11+L11</f>
        <v>37034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+'23'!J12</f>
        <v>F 15 VP OW</v>
      </c>
      <c r="K12" s="238"/>
      <c r="L12" s="238"/>
      <c r="M12" s="116">
        <f>+K12+'23'!M12+L12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+'23'!J13</f>
        <v>T 14 VP OW</v>
      </c>
      <c r="K13" s="238"/>
      <c r="L13" s="238"/>
      <c r="M13" s="116">
        <f>+K13+'23'!M13+L13</f>
        <v>5600</v>
      </c>
    </row>
    <row r="14" spans="1:19" ht="13.5" thickBot="1">
      <c r="A14" s="753"/>
      <c r="B14" s="164" t="s">
        <v>2</v>
      </c>
      <c r="C14" s="98">
        <f>SUM(C7:C13)</f>
        <v>13364</v>
      </c>
      <c r="D14" s="110">
        <f>SUM(D7:D13)</f>
        <v>450</v>
      </c>
      <c r="E14" s="111">
        <f>SUM(E5:E13)</f>
        <v>0</v>
      </c>
      <c r="F14" s="115">
        <f>SUM(F7:F13)</f>
        <v>26</v>
      </c>
      <c r="G14" s="158"/>
      <c r="H14" s="165"/>
      <c r="I14" s="166"/>
      <c r="J14" s="213" t="str">
        <f>+'23'!J14</f>
        <v>T 13 VP OW</v>
      </c>
      <c r="K14" s="238"/>
      <c r="L14" s="238"/>
      <c r="M14" s="116">
        <f>+K14+'23'!M14+L14</f>
        <v>305914</v>
      </c>
      <c r="Q14" s="175">
        <f>SUM(Q6:Q11)</f>
        <v>480</v>
      </c>
      <c r="R14" s="175">
        <f>SUM(R6:R11)</f>
        <v>558600</v>
      </c>
      <c r="S14" s="175">
        <f>SUM(S6:S11)</f>
        <v>416354</v>
      </c>
    </row>
    <row r="15" spans="1:19" ht="13.5" customHeight="1" thickBot="1">
      <c r="A15" s="751" t="s">
        <v>391</v>
      </c>
      <c r="B15" s="164"/>
      <c r="C15" s="112">
        <f>C14/($C$23+$D$23+$E$23)</f>
        <v>0.94185636760871094</v>
      </c>
      <c r="D15" s="113">
        <f>D14/($C$23+$D$23+$E$23)</f>
        <v>3.1714708577066743E-2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698</v>
      </c>
      <c r="J15" s="213" t="str">
        <f>+'23'!J15</f>
        <v>T 12 VP OW</v>
      </c>
      <c r="K15" s="238"/>
      <c r="L15" s="238"/>
      <c r="M15" s="116">
        <f>+K15+'23'!M15+L15</f>
        <v>12729</v>
      </c>
      <c r="Q15" s="148">
        <f>480-Q14</f>
        <v>0</v>
      </c>
      <c r="R15" s="175">
        <f>+R14/Q14</f>
        <v>1163.75</v>
      </c>
      <c r="S15" s="175">
        <f>+S14/Q14</f>
        <v>867.4041666666667</v>
      </c>
    </row>
    <row r="16" spans="1:19" ht="13.5" thickBot="1">
      <c r="A16" s="757"/>
      <c r="B16" s="214" t="s">
        <v>457</v>
      </c>
      <c r="C16" s="221">
        <f>379+440</f>
        <v>819</v>
      </c>
      <c r="D16" s="222"/>
      <c r="E16" s="223"/>
      <c r="F16" s="230">
        <v>2</v>
      </c>
      <c r="G16" s="560" t="s">
        <v>12</v>
      </c>
      <c r="H16" s="229" t="s">
        <v>414</v>
      </c>
      <c r="I16" s="755"/>
      <c r="J16" s="213" t="str">
        <f>+'23'!J16</f>
        <v>T 12,5 VP OW</v>
      </c>
      <c r="K16" s="228"/>
      <c r="L16" s="228"/>
      <c r="M16" s="116">
        <f>+K16+'23'!M16+L16</f>
        <v>51474</v>
      </c>
    </row>
    <row r="17" spans="1:26" ht="13.5" thickBot="1">
      <c r="A17" s="757"/>
      <c r="B17" s="214" t="s">
        <v>456</v>
      </c>
      <c r="C17" s="215">
        <f>6812+5852+706</f>
        <v>13370</v>
      </c>
      <c r="D17" s="216"/>
      <c r="E17" s="224"/>
      <c r="F17" s="227">
        <f>20-6</f>
        <v>14</v>
      </c>
      <c r="G17" s="560" t="s">
        <v>12</v>
      </c>
      <c r="H17" s="232" t="s">
        <v>427</v>
      </c>
      <c r="I17" s="755"/>
      <c r="J17" s="213" t="str">
        <f>+'23'!J17</f>
        <v>T 13,5 VP OW</v>
      </c>
      <c r="K17" s="228"/>
      <c r="L17" s="228"/>
      <c r="M17" s="116">
        <f>+K17+'23'!M17+L17</f>
        <v>17480</v>
      </c>
      <c r="N17" s="148" t="s">
        <v>444</v>
      </c>
      <c r="O17" s="148">
        <v>1170</v>
      </c>
      <c r="P17" s="148">
        <f>+O17-(O17*0.26)</f>
        <v>865.8</v>
      </c>
      <c r="Q17" s="148">
        <v>480</v>
      </c>
      <c r="R17" s="148">
        <f t="shared" ref="R17" si="2">+O17*Q17</f>
        <v>561600</v>
      </c>
      <c r="S17" s="148">
        <f t="shared" ref="S17" si="3">+P17*Q17</f>
        <v>415584</v>
      </c>
    </row>
    <row r="18" spans="1:26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695</v>
      </c>
      <c r="I18" s="755"/>
      <c r="J18" s="213" t="str">
        <f>+'23'!J18</f>
        <v>F 14,5 VP OW</v>
      </c>
      <c r="K18" s="238"/>
      <c r="L18" s="238"/>
      <c r="M18" s="116">
        <f>+K18+'23'!M18+L18</f>
        <v>158908</v>
      </c>
    </row>
    <row r="19" spans="1:26" ht="26.25" thickBot="1">
      <c r="A19" s="757"/>
      <c r="B19" s="214"/>
      <c r="C19" s="215"/>
      <c r="D19" s="216"/>
      <c r="E19" s="224"/>
      <c r="F19" s="234"/>
      <c r="G19" s="231"/>
      <c r="H19" s="232" t="s">
        <v>690</v>
      </c>
      <c r="I19" s="755"/>
      <c r="J19" s="213">
        <f>+'23'!J19</f>
        <v>0</v>
      </c>
      <c r="K19" s="238"/>
      <c r="L19" s="238">
        <v>0</v>
      </c>
      <c r="M19" s="116">
        <f>+K19+'23'!M19+L19</f>
        <v>0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+'23'!J20</f>
        <v>0</v>
      </c>
      <c r="K20" s="239"/>
      <c r="L20" s="239">
        <v>0</v>
      </c>
      <c r="M20" s="116">
        <f>+K20+'23'!M20+L20</f>
        <v>0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+'23'!J21</f>
        <v>0</v>
      </c>
      <c r="K21" s="238"/>
      <c r="L21" s="238">
        <v>0</v>
      </c>
      <c r="M21" s="116">
        <f>+K21+'23'!M21+L21</f>
        <v>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+'23'!J22</f>
        <v>0</v>
      </c>
      <c r="K22" s="238"/>
      <c r="L22" s="238">
        <v>0</v>
      </c>
      <c r="M22" s="116">
        <f>+K22+'23'!M22+L22</f>
        <v>0</v>
      </c>
    </row>
    <row r="23" spans="1:26" ht="13.5" thickBot="1">
      <c r="A23" s="758"/>
      <c r="B23" s="167" t="s">
        <v>2</v>
      </c>
      <c r="C23" s="99">
        <f>SUM(C16:C22)</f>
        <v>14189</v>
      </c>
      <c r="D23" s="110">
        <f>SUM(D16:D22)</f>
        <v>0</v>
      </c>
      <c r="E23" s="111">
        <f>SUM(E18:E22)</f>
        <v>0</v>
      </c>
      <c r="F23" s="115">
        <f>SUM(F15:F22)</f>
        <v>20</v>
      </c>
      <c r="G23" s="158"/>
      <c r="H23" s="165"/>
      <c r="I23" s="168"/>
      <c r="J23" s="213">
        <f>+'23'!J23</f>
        <v>0</v>
      </c>
      <c r="K23" s="238"/>
      <c r="L23" s="238"/>
      <c r="M23" s="116">
        <f>+K23+'23'!M23+L23</f>
        <v>0</v>
      </c>
    </row>
    <row r="24" spans="1:26" ht="13.5" customHeight="1" thickBot="1">
      <c r="A24" s="751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9</v>
      </c>
      <c r="G24" s="228" t="s">
        <v>12</v>
      </c>
      <c r="H24" s="229" t="s">
        <v>493</v>
      </c>
      <c r="I24" s="754" t="s">
        <v>699</v>
      </c>
      <c r="J24" s="213">
        <f>+'23'!J24</f>
        <v>0</v>
      </c>
      <c r="K24" s="238"/>
      <c r="L24" s="238"/>
      <c r="M24" s="116">
        <f>+K24+'23'!M24+L24</f>
        <v>0</v>
      </c>
    </row>
    <row r="25" spans="1:26" ht="13.5" thickBot="1">
      <c r="A25" s="757"/>
      <c r="B25" s="214" t="s">
        <v>456</v>
      </c>
      <c r="C25" s="225">
        <v>11009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+'23'!J25</f>
        <v>0</v>
      </c>
      <c r="K25" s="238"/>
      <c r="L25" s="238"/>
      <c r="M25" s="116">
        <f>+K25+'23'!M25+L25</f>
        <v>0</v>
      </c>
      <c r="Q25" s="175">
        <f>SUM(Q17:Q22)</f>
        <v>480</v>
      </c>
      <c r="R25" s="175">
        <f>SUM(R17:R22)</f>
        <v>561600</v>
      </c>
      <c r="S25" s="175">
        <f>SUM(S17:S22)</f>
        <v>415584</v>
      </c>
    </row>
    <row r="26" spans="1:26" ht="13.5" thickBot="1">
      <c r="A26" s="757"/>
      <c r="B26" s="214"/>
      <c r="C26" s="225"/>
      <c r="D26" s="216"/>
      <c r="E26" s="226"/>
      <c r="F26" s="227">
        <v>10</v>
      </c>
      <c r="G26" s="560" t="s">
        <v>12</v>
      </c>
      <c r="H26" s="232" t="s">
        <v>386</v>
      </c>
      <c r="I26" s="755"/>
      <c r="J26" s="213">
        <f>+'23'!J26</f>
        <v>0</v>
      </c>
      <c r="K26" s="238"/>
      <c r="L26" s="238"/>
      <c r="M26" s="116">
        <f>+K26+'23'!M26+L26</f>
        <v>0</v>
      </c>
      <c r="Q26" s="148">
        <f>480-Q25</f>
        <v>0</v>
      </c>
      <c r="R26" s="175">
        <f>+R25/Q25</f>
        <v>1170</v>
      </c>
      <c r="S26" s="175">
        <f>+S25/Q25</f>
        <v>865.8</v>
      </c>
    </row>
    <row r="27" spans="1:26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696</v>
      </c>
      <c r="I27" s="755"/>
      <c r="J27" s="213">
        <f>+'23'!J27</f>
        <v>0</v>
      </c>
      <c r="K27" s="238"/>
      <c r="L27" s="238"/>
      <c r="M27" s="116">
        <f>+K27+'23'!M27+L27</f>
        <v>0</v>
      </c>
      <c r="N27" s="148" t="s">
        <v>444</v>
      </c>
      <c r="O27" s="148">
        <v>1170</v>
      </c>
      <c r="P27" s="148">
        <f>+O27-(O27*0.27)</f>
        <v>854.09999999999991</v>
      </c>
      <c r="Q27" s="148">
        <v>480</v>
      </c>
      <c r="R27" s="148">
        <f t="shared" ref="R27" si="4">+O27*Q27</f>
        <v>561600</v>
      </c>
      <c r="S27" s="148">
        <f t="shared" ref="S27" si="5">+P27*Q27</f>
        <v>409967.99999999994</v>
      </c>
      <c r="U27" s="148" t="s">
        <v>444</v>
      </c>
      <c r="V27" s="148">
        <v>1180</v>
      </c>
      <c r="W27" s="148">
        <v>873.2</v>
      </c>
      <c r="X27" s="148">
        <v>220</v>
      </c>
      <c r="Y27" s="148">
        <f t="shared" ref="Y27" si="6">+V27*X27</f>
        <v>259600</v>
      </c>
      <c r="Z27" s="148">
        <f t="shared" ref="Z27" si="7">+W27*X27</f>
        <v>192104</v>
      </c>
    </row>
    <row r="28" spans="1:26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+'23'!J28</f>
        <v>0</v>
      </c>
      <c r="K28" s="238"/>
      <c r="L28" s="238"/>
      <c r="M28" s="116">
        <f>+K28+'23'!M28+L28</f>
        <v>0</v>
      </c>
      <c r="U28" s="148" t="s">
        <v>444</v>
      </c>
      <c r="V28" s="148">
        <v>1170</v>
      </c>
      <c r="W28" s="148">
        <v>865.8</v>
      </c>
      <c r="X28" s="148">
        <v>480</v>
      </c>
      <c r="Y28" s="148">
        <f t="shared" ref="Y28:Y29" si="8">+V28*X28</f>
        <v>561600</v>
      </c>
      <c r="Z28" s="148">
        <f t="shared" ref="Z28:Z29" si="9">+W28*X28</f>
        <v>415584</v>
      </c>
    </row>
    <row r="29" spans="1:2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+'23'!J29</f>
        <v>0</v>
      </c>
      <c r="K29" s="238"/>
      <c r="L29" s="238"/>
      <c r="M29" s="116">
        <f>+K29+'23'!M29+L29</f>
        <v>0</v>
      </c>
      <c r="U29" s="148" t="s">
        <v>444</v>
      </c>
      <c r="V29" s="148">
        <v>1170</v>
      </c>
      <c r="W29" s="148">
        <v>854.09999999999991</v>
      </c>
      <c r="X29" s="148">
        <v>480</v>
      </c>
      <c r="Y29" s="148">
        <f t="shared" si="8"/>
        <v>561600</v>
      </c>
      <c r="Z29" s="148">
        <f t="shared" si="9"/>
        <v>409967.99999999994</v>
      </c>
    </row>
    <row r="30" spans="1:2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+'23'!J30</f>
        <v>0</v>
      </c>
      <c r="K30" s="238"/>
      <c r="L30" s="238"/>
      <c r="M30" s="116">
        <f>+K30+'23'!M30+L30</f>
        <v>0</v>
      </c>
    </row>
    <row r="31" spans="1:26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+'23'!J31</f>
        <v>0</v>
      </c>
      <c r="K31" s="238"/>
      <c r="L31" s="238"/>
      <c r="M31" s="116">
        <f>+K31+'23'!M31+L31</f>
        <v>0</v>
      </c>
    </row>
    <row r="32" spans="1:26" ht="13.5" thickBot="1">
      <c r="A32" s="758"/>
      <c r="B32" s="164" t="s">
        <v>2</v>
      </c>
      <c r="C32" s="98">
        <f>SUM(C25:C31)</f>
        <v>11009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+'23'!J32</f>
        <v>0</v>
      </c>
      <c r="K32" s="240"/>
      <c r="L32" s="242"/>
      <c r="M32" s="116">
        <f>+K32+'23'!M32+L32</f>
        <v>0</v>
      </c>
    </row>
    <row r="33" spans="1:26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9" t="s">
        <v>57</v>
      </c>
      <c r="B34" s="760"/>
      <c r="C34" s="106">
        <f>C14+C23+C32</f>
        <v>38562</v>
      </c>
      <c r="D34" s="106">
        <f>D14+D23+D32</f>
        <v>450</v>
      </c>
      <c r="E34" s="106">
        <f>E14+E23+E32</f>
        <v>0</v>
      </c>
      <c r="F34" s="107">
        <f>F14+F23+F32</f>
        <v>65</v>
      </c>
      <c r="H34" s="177"/>
      <c r="I34" s="177"/>
      <c r="J34" s="122" t="s">
        <v>28</v>
      </c>
      <c r="K34" s="123">
        <f>SUM(K7:K32)</f>
        <v>38562</v>
      </c>
      <c r="L34" s="211">
        <f>SUM(L7:L32)</f>
        <v>0</v>
      </c>
      <c r="M34" s="119">
        <f>SUM(M7:M32)</f>
        <v>910477</v>
      </c>
    </row>
    <row r="35" spans="1:26" ht="13.5" thickBot="1">
      <c r="A35" s="178"/>
      <c r="B35" s="179"/>
      <c r="C35" s="103">
        <f>C34/($C$34+$D$34+$E$34)</f>
        <v>0.9884650876653337</v>
      </c>
      <c r="D35" s="103">
        <f>D34/($C$34+$D$34+$E$34)</f>
        <v>1.1534912334666256E-2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561600</v>
      </c>
      <c r="S35" s="175">
        <f>SUM(S27:S32)</f>
        <v>409967.99999999994</v>
      </c>
      <c r="X35" s="175">
        <f>SUM(X27:X32)</f>
        <v>1180</v>
      </c>
      <c r="Y35" s="175">
        <f>SUM(Y27:Y32)</f>
        <v>1382800</v>
      </c>
      <c r="Z35" s="175">
        <f>SUM(Z27:Z32)</f>
        <v>1017656</v>
      </c>
    </row>
    <row r="36" spans="1:26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1170</v>
      </c>
      <c r="S36" s="175">
        <f>+S35/Q35</f>
        <v>854.09999999999991</v>
      </c>
      <c r="X36" s="148">
        <f>480-X35</f>
        <v>-700</v>
      </c>
      <c r="Y36" s="175">
        <f>+Y35/X35</f>
        <v>1171.8644067796611</v>
      </c>
      <c r="Z36" s="175">
        <f>+Z35/X35</f>
        <v>862.4203389830509</v>
      </c>
    </row>
    <row r="37" spans="1:26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(14*260+13*1180)/1440*G42*2.74*1440/1000000</f>
        <v>44.851090216111118</v>
      </c>
      <c r="J37" s="124">
        <f>+I37+'23'!J37</f>
        <v>1050.0974337353621</v>
      </c>
      <c r="K37" s="125" t="s">
        <v>63</v>
      </c>
    </row>
    <row r="38" spans="1:26" ht="17.45" customHeight="1">
      <c r="A38" s="763" t="s">
        <v>12</v>
      </c>
      <c r="B38" s="764"/>
      <c r="C38" s="163">
        <f>SUMIF($G$7:$G$31,"Process",$F$7:$F$31)</f>
        <v>65</v>
      </c>
      <c r="D38" s="117">
        <f>+C38+'23'!D38</f>
        <v>1491</v>
      </c>
      <c r="E38" s="142">
        <f t="shared" ref="E38:E51" si="10">D38/60</f>
        <v>24.85</v>
      </c>
      <c r="F38" s="321">
        <v>1163.75</v>
      </c>
      <c r="G38" s="321">
        <v>867.4041666666667</v>
      </c>
      <c r="H38" s="186" t="s">
        <v>64</v>
      </c>
      <c r="I38" s="244">
        <f>7.535+5.162+12.7+12.779</f>
        <v>38.176000000000002</v>
      </c>
      <c r="J38" s="126">
        <f>+I38+'23'!J38</f>
        <v>940.67499999999995</v>
      </c>
      <c r="K38" s="127" t="s">
        <v>63</v>
      </c>
    </row>
    <row r="39" spans="1:26" ht="17.45" customHeight="1">
      <c r="A39" s="765" t="s">
        <v>13</v>
      </c>
      <c r="B39" s="766"/>
      <c r="C39" s="163">
        <f>SUMIF($G$7:$G$31,"Cleaning",$F$7:$F$31)</f>
        <v>0</v>
      </c>
      <c r="D39" s="117">
        <f>+C39+'23'!D39</f>
        <v>33</v>
      </c>
      <c r="E39" s="142">
        <f t="shared" si="10"/>
        <v>0.55000000000000004</v>
      </c>
      <c r="F39" s="321">
        <v>1170</v>
      </c>
      <c r="G39" s="321">
        <v>865.8</v>
      </c>
      <c r="H39" s="186" t="s">
        <v>65</v>
      </c>
      <c r="I39" s="141"/>
      <c r="J39" s="128">
        <f>J37/G4</f>
        <v>43.754059738973417</v>
      </c>
      <c r="K39" s="129" t="s">
        <v>63</v>
      </c>
      <c r="N39" s="148" t="s">
        <v>443</v>
      </c>
      <c r="O39" s="148">
        <v>1150</v>
      </c>
      <c r="P39" s="148">
        <v>862.5</v>
      </c>
      <c r="Q39" s="148">
        <v>260</v>
      </c>
    </row>
    <row r="40" spans="1:26" ht="17.45" customHeight="1">
      <c r="A40" s="765" t="s">
        <v>66</v>
      </c>
      <c r="B40" s="766"/>
      <c r="C40" s="163">
        <f>SUMIF($G$7:$G$31,"Mechanical",$F$7:$F$31)</f>
        <v>0</v>
      </c>
      <c r="D40" s="117">
        <f>+C40+'23'!D40</f>
        <v>206</v>
      </c>
      <c r="E40" s="142">
        <f t="shared" si="10"/>
        <v>3.4333333333333331</v>
      </c>
      <c r="F40" s="321">
        <v>1170</v>
      </c>
      <c r="G40" s="321">
        <v>854.09999999999991</v>
      </c>
      <c r="H40" s="186" t="s">
        <v>67</v>
      </c>
      <c r="I40" s="117">
        <f>(K34+L34)/1000</f>
        <v>38.561999999999998</v>
      </c>
      <c r="J40" s="130">
        <f>+I40+'23'!J40</f>
        <v>910.47699999999998</v>
      </c>
      <c r="K40" s="129" t="s">
        <v>63</v>
      </c>
      <c r="N40" s="148" t="s">
        <v>444</v>
      </c>
      <c r="O40" s="148">
        <v>1171.8644067796611</v>
      </c>
      <c r="P40" s="148">
        <v>862.4203389830509</v>
      </c>
      <c r="Q40" s="148">
        <v>1180</v>
      </c>
    </row>
    <row r="41" spans="1:26" ht="17.45" customHeight="1">
      <c r="A41" s="765" t="s">
        <v>68</v>
      </c>
      <c r="B41" s="766"/>
      <c r="C41" s="163">
        <f>SUMIF($G$7:$G$31,"Electrical",$F$7:$F$31)</f>
        <v>0</v>
      </c>
      <c r="D41" s="117">
        <f>+C41+'23'!D41</f>
        <v>0</v>
      </c>
      <c r="E41" s="142">
        <f t="shared" si="10"/>
        <v>0</v>
      </c>
      <c r="F41" s="321"/>
      <c r="G41" s="321"/>
      <c r="H41" s="186" t="s">
        <v>69</v>
      </c>
      <c r="I41" s="141"/>
      <c r="J41" s="128">
        <f>J40/G4</f>
        <v>37.936541666666663</v>
      </c>
      <c r="K41" s="129" t="s">
        <v>63</v>
      </c>
      <c r="Q41" s="148">
        <f>+Q39+Q40</f>
        <v>1440</v>
      </c>
    </row>
    <row r="42" spans="1:26" ht="17.45" customHeight="1">
      <c r="A42" s="765" t="s">
        <v>16</v>
      </c>
      <c r="B42" s="766"/>
      <c r="C42" s="163">
        <f>SUMIF($G$7:$G$31,"Instrument",$F$7:$F$31)</f>
        <v>0</v>
      </c>
      <c r="D42" s="117">
        <f>+C42+'23'!D42</f>
        <v>0</v>
      </c>
      <c r="E42" s="142">
        <f t="shared" si="10"/>
        <v>0</v>
      </c>
      <c r="F42" s="321">
        <f>+(480*F38+480*F39+480*F40)/1440</f>
        <v>1167.9166666666667</v>
      </c>
      <c r="G42" s="321">
        <f>+(480*G38+480*G39+480*G40)/1440</f>
        <v>862.43472222222226</v>
      </c>
      <c r="H42" s="186" t="s">
        <v>70</v>
      </c>
      <c r="I42" s="245" t="s">
        <v>691</v>
      </c>
      <c r="J42" s="131"/>
      <c r="K42" s="129" t="s">
        <v>71</v>
      </c>
    </row>
    <row r="43" spans="1:26" ht="17.45" customHeight="1">
      <c r="A43" s="765" t="s">
        <v>72</v>
      </c>
      <c r="B43" s="766"/>
      <c r="C43" s="163">
        <f>SUMIF($G$7:$G$31,"Water",$F$7:$F$31)</f>
        <v>0</v>
      </c>
      <c r="D43" s="117">
        <f>+C43+'23'!D43</f>
        <v>0</v>
      </c>
      <c r="E43" s="142">
        <f t="shared" si="10"/>
        <v>0</v>
      </c>
      <c r="F43" s="321"/>
      <c r="G43" s="322"/>
      <c r="H43" s="187" t="s">
        <v>73</v>
      </c>
      <c r="I43" s="117">
        <f>+Report1!Z32</f>
        <v>51.8</v>
      </c>
      <c r="J43" s="132">
        <f>+I43+'23'!J43</f>
        <v>1310.9999999999998</v>
      </c>
      <c r="K43" s="129" t="s">
        <v>63</v>
      </c>
      <c r="L43" s="188"/>
    </row>
    <row r="44" spans="1:26" ht="17.45" customHeight="1">
      <c r="A44" s="765" t="s">
        <v>17</v>
      </c>
      <c r="B44" s="766"/>
      <c r="C44" s="163">
        <f>SUMIF($G$7:$G$31,"PLN",$F$7:$F$31)</f>
        <v>0</v>
      </c>
      <c r="D44" s="117">
        <f>+C44+'23'!D44</f>
        <v>438</v>
      </c>
      <c r="E44" s="142">
        <f t="shared" si="10"/>
        <v>7.3</v>
      </c>
      <c r="F44" s="321"/>
      <c r="G44" s="322"/>
      <c r="H44" s="187" t="s">
        <v>74</v>
      </c>
      <c r="I44" s="117">
        <f>I43/I38</f>
        <v>1.3568734283319361</v>
      </c>
      <c r="J44" s="133">
        <f>J43/J38</f>
        <v>1.3936800701623833</v>
      </c>
      <c r="K44" s="129" t="s">
        <v>63</v>
      </c>
    </row>
    <row r="45" spans="1:26" ht="17.45" customHeight="1">
      <c r="A45" s="765" t="s">
        <v>18</v>
      </c>
      <c r="B45" s="766"/>
      <c r="C45" s="163">
        <f>SUMIF($G$7:$G$31,"Boiler",$F$7:$F$31)</f>
        <v>0</v>
      </c>
      <c r="D45" s="117">
        <f>+C45+'23'!D45</f>
        <v>0</v>
      </c>
      <c r="E45" s="142">
        <f t="shared" si="10"/>
        <v>0</v>
      </c>
      <c r="F45" s="321"/>
      <c r="G45" s="324"/>
      <c r="H45" s="187" t="s">
        <v>75</v>
      </c>
      <c r="I45" s="117">
        <f>I43/I40</f>
        <v>1.3432913230641563</v>
      </c>
      <c r="J45" s="133">
        <f>J43/J40</f>
        <v>1.4399045774906998</v>
      </c>
      <c r="K45" s="129" t="s">
        <v>63</v>
      </c>
    </row>
    <row r="46" spans="1:26" ht="17.45" customHeight="1">
      <c r="A46" s="765" t="s">
        <v>76</v>
      </c>
      <c r="B46" s="766"/>
      <c r="C46" s="163">
        <f>SUMIF($G$7:$G$31,"Gas",$F$7:$F$31)</f>
        <v>0</v>
      </c>
      <c r="D46" s="117">
        <f>+C46+'23'!D46</f>
        <v>0</v>
      </c>
      <c r="E46" s="142">
        <f t="shared" si="10"/>
        <v>0</v>
      </c>
      <c r="F46" s="321"/>
      <c r="G46" s="322"/>
      <c r="H46" s="187" t="s">
        <v>77</v>
      </c>
      <c r="I46" s="139">
        <f>+SUMIF(Listrik!P31,"&gt;0")</f>
        <v>35587.620000000366</v>
      </c>
      <c r="J46" s="134">
        <f>+I46+'23'!J46</f>
        <v>847884.8200000003</v>
      </c>
      <c r="K46" s="129" t="s">
        <v>78</v>
      </c>
    </row>
    <row r="47" spans="1:26" ht="17.45" customHeight="1">
      <c r="A47" s="765" t="s">
        <v>79</v>
      </c>
      <c r="B47" s="766"/>
      <c r="C47" s="163">
        <f>SUMIF($G$7:$G$31,"Gas",$F$7:$F$31)</f>
        <v>0</v>
      </c>
      <c r="D47" s="117">
        <f>+C47+'23'!D47</f>
        <v>0</v>
      </c>
      <c r="E47" s="142">
        <f t="shared" si="10"/>
        <v>0</v>
      </c>
      <c r="F47" s="321"/>
      <c r="G47" s="322"/>
      <c r="H47" s="187" t="s">
        <v>80</v>
      </c>
      <c r="I47" s="117">
        <f>I46/I38</f>
        <v>932.1987636211328</v>
      </c>
      <c r="J47" s="134">
        <f>J46/J38</f>
        <v>901.35787599330308</v>
      </c>
      <c r="K47" s="129" t="s">
        <v>24</v>
      </c>
    </row>
    <row r="48" spans="1:26" ht="17.45" customHeight="1">
      <c r="A48" s="765" t="s">
        <v>14</v>
      </c>
      <c r="B48" s="766"/>
      <c r="C48" s="163">
        <f>SUMIF($G$7:$G$31,"Start Up",$F$7:$F$31)</f>
        <v>0</v>
      </c>
      <c r="D48" s="117">
        <f>+C48+'23'!D48</f>
        <v>0</v>
      </c>
      <c r="E48" s="142">
        <f t="shared" si="10"/>
        <v>0</v>
      </c>
      <c r="F48" s="321"/>
      <c r="G48" s="322"/>
      <c r="H48" s="187" t="s">
        <v>81</v>
      </c>
      <c r="I48" s="117">
        <f>I46/I40</f>
        <v>922.86758985530753</v>
      </c>
      <c r="J48" s="134">
        <f>J46/J40</f>
        <v>931.25341991066261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+C49+'23'!D49</f>
        <v>0</v>
      </c>
      <c r="E49" s="142">
        <f t="shared" si="10"/>
        <v>0</v>
      </c>
      <c r="F49" s="184"/>
      <c r="H49" s="187" t="s">
        <v>270</v>
      </c>
      <c r="I49" s="117">
        <f>+Report1!T32</f>
        <v>5338.0831904194401</v>
      </c>
      <c r="J49" s="134">
        <f>+I49+'23'!J49</f>
        <v>124536.30207217396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+C50+'23'!D50</f>
        <v>0</v>
      </c>
      <c r="E50" s="142">
        <f t="shared" si="10"/>
        <v>0</v>
      </c>
      <c r="F50" s="184"/>
      <c r="H50" s="187" t="s">
        <v>83</v>
      </c>
      <c r="I50" s="139">
        <f>I49/I38</f>
        <v>139.82824786304064</v>
      </c>
      <c r="J50" s="132">
        <f>J49/J38</f>
        <v>132.39036019047381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+C51+'23'!D51</f>
        <v>738</v>
      </c>
      <c r="E51" s="142">
        <f t="shared" si="10"/>
        <v>12.3</v>
      </c>
      <c r="F51" s="184"/>
      <c r="H51" s="189" t="s">
        <v>85</v>
      </c>
      <c r="I51" s="140">
        <f>I49/I40</f>
        <v>138.42858748040663</v>
      </c>
      <c r="J51" s="135">
        <f>J49/J40</f>
        <v>136.78138170670314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65</v>
      </c>
      <c r="D52" s="143">
        <f>SUM(D38:D51)</f>
        <v>2906</v>
      </c>
      <c r="E52" s="144">
        <f>SUM(E38:E51)</f>
        <v>48.433333333333337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4.5138888888888888E-2</v>
      </c>
      <c r="D53" s="145">
        <f>D52/(24*60*G4)</f>
        <v>8.4085648148148145E-2</v>
      </c>
      <c r="E53" s="146">
        <f>E52/(G4*24)</f>
        <v>8.4085648148148159E-2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+D34+'23'!J56</f>
        <v>3921</v>
      </c>
      <c r="K56" s="200">
        <f>J56/(J40+J56/1000)/1000</f>
        <v>4.2880671217566087E-3</v>
      </c>
    </row>
    <row r="57" spans="1:11">
      <c r="A57" s="175"/>
      <c r="I57" s="198" t="s">
        <v>88</v>
      </c>
      <c r="J57" s="199">
        <f>+E34+'23'!J57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28"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3.710937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23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663</v>
      </c>
      <c r="O6" s="148">
        <v>1150</v>
      </c>
      <c r="P6" s="148">
        <f>+O6-(O6*0.25)</f>
        <v>862.5</v>
      </c>
      <c r="Q6" s="148">
        <v>480</v>
      </c>
      <c r="R6" s="148">
        <f t="shared" ref="R6" si="0">+O6*Q6</f>
        <v>552000</v>
      </c>
      <c r="S6" s="148">
        <f t="shared" ref="S6" si="1">+P6*Q6</f>
        <v>414000</v>
      </c>
    </row>
    <row r="7" spans="1:19" ht="13.5" customHeight="1" thickBot="1">
      <c r="A7" s="751" t="s">
        <v>432</v>
      </c>
      <c r="B7" s="214" t="s">
        <v>672</v>
      </c>
      <c r="C7" s="215">
        <v>12938</v>
      </c>
      <c r="D7" s="216"/>
      <c r="E7" s="217"/>
      <c r="F7" s="227"/>
      <c r="G7" s="228" t="s">
        <v>12</v>
      </c>
      <c r="H7" s="229" t="s">
        <v>385</v>
      </c>
      <c r="I7" s="754" t="s">
        <v>462</v>
      </c>
      <c r="J7" s="213" t="str">
        <f>+'22'!J7</f>
        <v>F 11,5 VP OW</v>
      </c>
      <c r="K7" s="237"/>
      <c r="L7" s="241"/>
      <c r="M7" s="116">
        <f>+K7+'22'!M7+L7</f>
        <v>168614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+'22'!J8</f>
        <v>F 14 VP OW</v>
      </c>
      <c r="K8" s="238"/>
      <c r="L8" s="238"/>
      <c r="M8" s="116">
        <f>+K8+'22'!M8+L8</f>
        <v>78398</v>
      </c>
    </row>
    <row r="9" spans="1:19" ht="13.5" thickBot="1">
      <c r="A9" s="752"/>
      <c r="B9" s="214"/>
      <c r="C9" s="215"/>
      <c r="D9" s="216"/>
      <c r="E9" s="219"/>
      <c r="F9" s="227">
        <v>24</v>
      </c>
      <c r="G9" s="560" t="s">
        <v>12</v>
      </c>
      <c r="H9" s="232" t="s">
        <v>427</v>
      </c>
      <c r="I9" s="755"/>
      <c r="J9" s="213" t="str">
        <f>+'22'!J9</f>
        <v>F 13 VP OW</v>
      </c>
      <c r="K9" s="238"/>
      <c r="L9" s="238"/>
      <c r="M9" s="116">
        <f>+K9+'22'!M9+L9</f>
        <v>22241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688</v>
      </c>
      <c r="I10" s="755"/>
      <c r="J10" s="213" t="str">
        <f>+'22'!J10</f>
        <v>F 12 VP OW</v>
      </c>
      <c r="K10" s="238"/>
      <c r="L10" s="238"/>
      <c r="M10" s="116">
        <f>+K10+'22'!M10+L10</f>
        <v>10321</v>
      </c>
    </row>
    <row r="11" spans="1:19" ht="13.5" thickBot="1">
      <c r="A11" s="752"/>
      <c r="B11" s="214"/>
      <c r="C11" s="215"/>
      <c r="D11" s="216"/>
      <c r="E11" s="218"/>
      <c r="F11" s="227"/>
      <c r="G11" s="231"/>
      <c r="H11" s="232"/>
      <c r="I11" s="755"/>
      <c r="J11" s="213" t="str">
        <f>+'22'!J11</f>
        <v>F 16 VP OW</v>
      </c>
      <c r="K11" s="238"/>
      <c r="L11" s="238"/>
      <c r="M11" s="116">
        <f>+K11+'22'!M11+L11</f>
        <v>37034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+'22'!J12</f>
        <v>F 15 VP OW</v>
      </c>
      <c r="K12" s="238"/>
      <c r="L12" s="238"/>
      <c r="M12" s="116">
        <f>+K12+'22'!M12+L12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+'22'!J13</f>
        <v>T 14 VP OW</v>
      </c>
      <c r="K13" s="238"/>
      <c r="L13" s="238"/>
      <c r="M13" s="116">
        <f>+K13+'22'!M13+L13</f>
        <v>5600</v>
      </c>
    </row>
    <row r="14" spans="1:19" ht="13.5" thickBot="1">
      <c r="A14" s="753"/>
      <c r="B14" s="164" t="s">
        <v>2</v>
      </c>
      <c r="C14" s="98">
        <f>SUM(C7:C13)</f>
        <v>12938</v>
      </c>
      <c r="D14" s="110">
        <f>SUM(D7:D13)</f>
        <v>0</v>
      </c>
      <c r="E14" s="111">
        <f>SUM(E5:E13)</f>
        <v>0</v>
      </c>
      <c r="F14" s="115">
        <f>SUM(F7:F13)</f>
        <v>24</v>
      </c>
      <c r="G14" s="158"/>
      <c r="H14" s="165"/>
      <c r="I14" s="166"/>
      <c r="J14" s="213" t="str">
        <f>+'22'!J14</f>
        <v>T 13 VP OW</v>
      </c>
      <c r="K14" s="238"/>
      <c r="L14" s="238"/>
      <c r="M14" s="116">
        <f>+K14+'22'!M14+L14</f>
        <v>305914</v>
      </c>
      <c r="Q14" s="175">
        <f>SUM(Q6:Q11)</f>
        <v>480</v>
      </c>
      <c r="R14" s="175">
        <f>SUM(R6:R11)</f>
        <v>552000</v>
      </c>
      <c r="S14" s="175">
        <f>SUM(S6:S11)</f>
        <v>414000</v>
      </c>
    </row>
    <row r="15" spans="1:19" ht="13.5" customHeight="1" thickBot="1">
      <c r="A15" s="751" t="s">
        <v>391</v>
      </c>
      <c r="B15" s="164"/>
      <c r="C15" s="112">
        <f>C14/($C$23+$D$23+$E$23)</f>
        <v>0.86132747486851746</v>
      </c>
      <c r="D15" s="113">
        <f>D14/($C$23+$D$23+$E$23)</f>
        <v>0</v>
      </c>
      <c r="E15" s="114">
        <f>E14/($C$23+$D$23+$E$23)</f>
        <v>0</v>
      </c>
      <c r="F15" s="227">
        <v>6</v>
      </c>
      <c r="G15" s="228" t="s">
        <v>12</v>
      </c>
      <c r="H15" s="229" t="s">
        <v>493</v>
      </c>
      <c r="I15" s="754" t="s">
        <v>462</v>
      </c>
      <c r="J15" s="213" t="str">
        <f>+'22'!J15</f>
        <v>T 12 VP OW</v>
      </c>
      <c r="K15" s="238"/>
      <c r="L15" s="238"/>
      <c r="M15" s="116">
        <f>+K15+'22'!M15+L15</f>
        <v>12729</v>
      </c>
      <c r="Q15" s="148">
        <f>480-Q14</f>
        <v>0</v>
      </c>
      <c r="R15" s="175">
        <f>+R14/Q14</f>
        <v>1150</v>
      </c>
      <c r="S15" s="175">
        <f>+S14/Q14</f>
        <v>862.5</v>
      </c>
    </row>
    <row r="16" spans="1:19" ht="13.5" thickBot="1">
      <c r="A16" s="757"/>
      <c r="B16" s="214" t="s">
        <v>672</v>
      </c>
      <c r="C16" s="221">
        <v>15021</v>
      </c>
      <c r="D16" s="222"/>
      <c r="E16" s="223"/>
      <c r="F16" s="230"/>
      <c r="G16" s="560" t="s">
        <v>12</v>
      </c>
      <c r="H16" s="229" t="s">
        <v>412</v>
      </c>
      <c r="I16" s="755"/>
      <c r="J16" s="213" t="str">
        <f>+'22'!J16</f>
        <v>T 12,5 VP OW</v>
      </c>
      <c r="K16" s="238"/>
      <c r="L16" s="228"/>
      <c r="M16" s="116">
        <f>+K16+'22'!M16+L16</f>
        <v>51474</v>
      </c>
    </row>
    <row r="17" spans="1:19" ht="13.5" thickBot="1">
      <c r="A17" s="757"/>
      <c r="B17" s="214"/>
      <c r="C17" s="215"/>
      <c r="D17" s="216"/>
      <c r="E17" s="224"/>
      <c r="F17" s="227">
        <v>13</v>
      </c>
      <c r="G17" s="560" t="s">
        <v>12</v>
      </c>
      <c r="H17" s="232" t="s">
        <v>427</v>
      </c>
      <c r="I17" s="755"/>
      <c r="J17" s="213" t="str">
        <f>+'22'!J17</f>
        <v>T 13,5 VP OW</v>
      </c>
      <c r="K17" s="238"/>
      <c r="L17" s="228"/>
      <c r="M17" s="116">
        <f>+K17+'22'!M17+L17</f>
        <v>17480</v>
      </c>
      <c r="N17" s="148" t="s">
        <v>663</v>
      </c>
      <c r="O17" s="148">
        <v>1150</v>
      </c>
      <c r="P17" s="148">
        <f>+O17-(O17*0.25)</f>
        <v>862.5</v>
      </c>
      <c r="Q17" s="148">
        <v>480</v>
      </c>
      <c r="R17" s="148">
        <f t="shared" ref="R17" si="2">+O17*Q17</f>
        <v>552000</v>
      </c>
      <c r="S17" s="148">
        <f t="shared" ref="S17" si="3">+P17*Q17</f>
        <v>414000</v>
      </c>
    </row>
    <row r="18" spans="1:19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685</v>
      </c>
      <c r="I18" s="755"/>
      <c r="J18" s="213" t="str">
        <f>+'22'!J18</f>
        <v>F 14,5 VP OW</v>
      </c>
      <c r="K18" s="238">
        <f>+C34</f>
        <v>41984</v>
      </c>
      <c r="L18" s="238"/>
      <c r="M18" s="116">
        <f>+K18+'22'!M18+L18</f>
        <v>158908</v>
      </c>
    </row>
    <row r="19" spans="1:19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+'22'!J19</f>
        <v>0</v>
      </c>
      <c r="K19" s="238"/>
      <c r="L19" s="238"/>
      <c r="M19" s="116">
        <f>+K19+'22'!M19+L19</f>
        <v>0</v>
      </c>
    </row>
    <row r="20" spans="1:1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+'22'!J20</f>
        <v>0</v>
      </c>
      <c r="K20" s="239"/>
      <c r="L20" s="239"/>
      <c r="M20" s="116">
        <f>+K20+'22'!M20+L20</f>
        <v>0</v>
      </c>
    </row>
    <row r="21" spans="1:1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+'22'!J21</f>
        <v>0</v>
      </c>
      <c r="K21" s="238"/>
      <c r="L21" s="238"/>
      <c r="M21" s="116">
        <f>+K21+'22'!M21+L21</f>
        <v>0</v>
      </c>
    </row>
    <row r="22" spans="1:1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+'22'!J22</f>
        <v>0</v>
      </c>
      <c r="K22" s="238"/>
      <c r="L22" s="238"/>
      <c r="M22" s="116">
        <f>+K22+'22'!M22+L22</f>
        <v>0</v>
      </c>
    </row>
    <row r="23" spans="1:19" ht="13.5" thickBot="1">
      <c r="A23" s="758"/>
      <c r="B23" s="167" t="s">
        <v>2</v>
      </c>
      <c r="C23" s="99">
        <f>SUM(C16:C22)</f>
        <v>15021</v>
      </c>
      <c r="D23" s="110">
        <f>SUM(D16:D22)</f>
        <v>0</v>
      </c>
      <c r="E23" s="111">
        <f>SUM(E18:E22)</f>
        <v>0</v>
      </c>
      <c r="F23" s="115">
        <f>SUM(F15:F22)</f>
        <v>19</v>
      </c>
      <c r="G23" s="158"/>
      <c r="H23" s="165"/>
      <c r="I23" s="168"/>
      <c r="J23" s="213">
        <f>+'22'!J23</f>
        <v>0</v>
      </c>
      <c r="K23" s="238"/>
      <c r="L23" s="238"/>
      <c r="M23" s="116">
        <f>+K23+'22'!M23+L23</f>
        <v>0</v>
      </c>
    </row>
    <row r="24" spans="1:19" ht="13.5" customHeight="1" thickBot="1">
      <c r="A24" s="751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493</v>
      </c>
      <c r="I24" s="754" t="s">
        <v>462</v>
      </c>
      <c r="J24" s="213">
        <f>+'22'!J24</f>
        <v>0</v>
      </c>
      <c r="K24" s="238"/>
      <c r="L24" s="238"/>
      <c r="M24" s="116">
        <f>+K24+'22'!M24+L24</f>
        <v>0</v>
      </c>
    </row>
    <row r="25" spans="1:19" ht="13.5" thickBot="1">
      <c r="A25" s="757"/>
      <c r="B25" s="214" t="s">
        <v>672</v>
      </c>
      <c r="C25" s="225">
        <v>14025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+'22'!J25</f>
        <v>0</v>
      </c>
      <c r="K25" s="238"/>
      <c r="L25" s="238"/>
      <c r="M25" s="116">
        <f>+K25+'22'!M25+L25</f>
        <v>0</v>
      </c>
      <c r="Q25" s="175">
        <f>SUM(Q17:Q22)</f>
        <v>480</v>
      </c>
      <c r="R25" s="175">
        <f>SUM(R17:R22)</f>
        <v>552000</v>
      </c>
      <c r="S25" s="175">
        <f>SUM(S17:S22)</f>
        <v>414000</v>
      </c>
    </row>
    <row r="26" spans="1:19" ht="13.5" thickBot="1">
      <c r="A26" s="757"/>
      <c r="B26" s="214"/>
      <c r="C26" s="225"/>
      <c r="D26" s="216"/>
      <c r="E26" s="226"/>
      <c r="F26" s="227">
        <v>12</v>
      </c>
      <c r="G26" s="560" t="s">
        <v>12</v>
      </c>
      <c r="H26" s="232" t="s">
        <v>413</v>
      </c>
      <c r="I26" s="755"/>
      <c r="J26" s="213">
        <f>+'22'!J26</f>
        <v>0</v>
      </c>
      <c r="K26" s="238"/>
      <c r="L26" s="238"/>
      <c r="M26" s="116">
        <f>+K26+'22'!M26+L26</f>
        <v>0</v>
      </c>
      <c r="Q26" s="148">
        <f>480-Q25</f>
        <v>0</v>
      </c>
      <c r="R26" s="175">
        <f>+R25/Q25</f>
        <v>1150</v>
      </c>
      <c r="S26" s="175">
        <f>+S25/Q25</f>
        <v>862.5</v>
      </c>
    </row>
    <row r="27" spans="1:19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681</v>
      </c>
      <c r="I27" s="755"/>
      <c r="J27" s="213">
        <f>+'22'!J27</f>
        <v>0</v>
      </c>
      <c r="K27" s="238"/>
      <c r="L27" s="238"/>
      <c r="M27" s="116">
        <f>+K27+'22'!M27+L27</f>
        <v>0</v>
      </c>
      <c r="N27" s="148" t="s">
        <v>663</v>
      </c>
      <c r="O27" s="148">
        <v>1150</v>
      </c>
      <c r="P27" s="148">
        <f>+O27-(O27*0.25)</f>
        <v>862.5</v>
      </c>
      <c r="Q27" s="148">
        <f>60*6+8</f>
        <v>368</v>
      </c>
      <c r="R27" s="148">
        <f t="shared" ref="R27:R28" si="4">+O27*Q27</f>
        <v>423200</v>
      </c>
      <c r="S27" s="148">
        <f t="shared" ref="S27:S28" si="5">+P27*Q27</f>
        <v>317400</v>
      </c>
    </row>
    <row r="28" spans="1:19" ht="13.5" thickBot="1">
      <c r="A28" s="757"/>
      <c r="B28" s="214"/>
      <c r="C28" s="215"/>
      <c r="D28" s="216"/>
      <c r="E28" s="224"/>
      <c r="F28" s="230"/>
      <c r="G28" s="231"/>
      <c r="H28" s="232" t="s">
        <v>686</v>
      </c>
      <c r="I28" s="755"/>
      <c r="J28" s="213">
        <f>+'22'!J28</f>
        <v>0</v>
      </c>
      <c r="K28" s="238"/>
      <c r="L28" s="238"/>
      <c r="M28" s="116">
        <f>+K28+'22'!M28+L28</f>
        <v>0</v>
      </c>
      <c r="N28" s="148" t="s">
        <v>443</v>
      </c>
      <c r="O28" s="148">
        <v>1150</v>
      </c>
      <c r="P28" s="148">
        <f>+O28-(O28*0.25)</f>
        <v>862.5</v>
      </c>
      <c r="Q28" s="148">
        <f>480-Q27</f>
        <v>112</v>
      </c>
      <c r="R28" s="148">
        <f t="shared" si="4"/>
        <v>128800</v>
      </c>
      <c r="S28" s="148">
        <f t="shared" si="5"/>
        <v>96600</v>
      </c>
    </row>
    <row r="29" spans="1:1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+'22'!J29</f>
        <v>0</v>
      </c>
      <c r="K29" s="238"/>
      <c r="L29" s="238"/>
      <c r="M29" s="116">
        <f>+K29+'22'!M29+L29</f>
        <v>0</v>
      </c>
    </row>
    <row r="30" spans="1:1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+'22'!J30</f>
        <v>0</v>
      </c>
      <c r="K30" s="238"/>
      <c r="L30" s="238"/>
      <c r="M30" s="116">
        <f>+K30+'22'!M30+L30</f>
        <v>0</v>
      </c>
    </row>
    <row r="31" spans="1:1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+'22'!J31</f>
        <v>0</v>
      </c>
      <c r="K31" s="238"/>
      <c r="L31" s="238"/>
      <c r="M31" s="116">
        <f>+K31+'22'!M31+L31</f>
        <v>0</v>
      </c>
    </row>
    <row r="32" spans="1:19" ht="13.5" thickBot="1">
      <c r="A32" s="758"/>
      <c r="B32" s="164" t="s">
        <v>2</v>
      </c>
      <c r="C32" s="98">
        <f>SUM(C25:C31)</f>
        <v>14025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+'22'!J32</f>
        <v>0</v>
      </c>
      <c r="K32" s="240"/>
      <c r="L32" s="242"/>
      <c r="M32" s="116">
        <f>+K32+'22'!M32+L32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41984</v>
      </c>
      <c r="D34" s="106">
        <f>D14+D23+D32</f>
        <v>0</v>
      </c>
      <c r="E34" s="106">
        <f>E14+E23+E32</f>
        <v>0</v>
      </c>
      <c r="F34" s="107">
        <f>F14+F23+F32</f>
        <v>61</v>
      </c>
      <c r="H34" s="177"/>
      <c r="I34" s="177"/>
      <c r="J34" s="122" t="s">
        <v>28</v>
      </c>
      <c r="K34" s="123">
        <f>SUM(K7:K32)</f>
        <v>41984</v>
      </c>
      <c r="L34" s="211">
        <f>SUM(L7:L32)</f>
        <v>0</v>
      </c>
      <c r="M34" s="119">
        <f>SUM(M7:M32)</f>
        <v>871915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552000</v>
      </c>
      <c r="S35" s="175">
        <f>SUM(S27:S32)</f>
        <v>414000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1150</v>
      </c>
      <c r="S36" s="175">
        <f>+S35/Q35</f>
        <v>862.5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(14.5*1328+112*14)/1440*G42*2.74*1440/1000000</f>
        <v>49.212318000000003</v>
      </c>
      <c r="J37" s="124">
        <f>+I37+'22'!J37</f>
        <v>1005.2463435192509</v>
      </c>
      <c r="K37" s="125" t="s">
        <v>63</v>
      </c>
      <c r="N37" s="148" t="s">
        <v>663</v>
      </c>
      <c r="O37" s="148">
        <v>1150</v>
      </c>
      <c r="P37" s="148">
        <v>862.5</v>
      </c>
      <c r="Q37" s="148">
        <f>480+480+368</f>
        <v>1328</v>
      </c>
    </row>
    <row r="38" spans="1:19" ht="17.45" customHeight="1">
      <c r="A38" s="763" t="s">
        <v>12</v>
      </c>
      <c r="B38" s="764"/>
      <c r="C38" s="163">
        <f>SUMIF($G$7:$G$31,"Process",$F$7:$F$31)</f>
        <v>61</v>
      </c>
      <c r="D38" s="117">
        <f>+C38+'22'!D38</f>
        <v>1426</v>
      </c>
      <c r="E38" s="142">
        <f t="shared" ref="E38:E51" si="6">D38/60</f>
        <v>23.766666666666666</v>
      </c>
      <c r="F38" s="321">
        <v>1150</v>
      </c>
      <c r="G38" s="321">
        <v>862.5</v>
      </c>
      <c r="H38" s="186" t="s">
        <v>64</v>
      </c>
      <c r="I38" s="244">
        <f>14.262+14.75+15.038</f>
        <v>44.05</v>
      </c>
      <c r="J38" s="126">
        <f>+I38+'22'!J38</f>
        <v>902.49899999999991</v>
      </c>
      <c r="K38" s="127" t="s">
        <v>63</v>
      </c>
      <c r="N38" s="148" t="s">
        <v>443</v>
      </c>
      <c r="O38" s="148">
        <v>1150</v>
      </c>
      <c r="P38" s="148">
        <v>862.5</v>
      </c>
      <c r="Q38" s="148">
        <v>112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+C39+'22'!D39</f>
        <v>33</v>
      </c>
      <c r="E39" s="142">
        <f t="shared" si="6"/>
        <v>0.55000000000000004</v>
      </c>
      <c r="F39" s="321">
        <v>1150</v>
      </c>
      <c r="G39" s="321">
        <v>862.5</v>
      </c>
      <c r="H39" s="186" t="s">
        <v>65</v>
      </c>
      <c r="I39" s="141"/>
      <c r="J39" s="128">
        <f>J37/G4</f>
        <v>43.706362761706558</v>
      </c>
      <c r="K39" s="129" t="s">
        <v>63</v>
      </c>
      <c r="Q39" s="148">
        <f>+Q37+Q38</f>
        <v>1440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+C40+'22'!D40</f>
        <v>206</v>
      </c>
      <c r="E40" s="142">
        <f t="shared" si="6"/>
        <v>3.4333333333333331</v>
      </c>
      <c r="F40" s="321">
        <v>1150</v>
      </c>
      <c r="G40" s="321">
        <v>862.5</v>
      </c>
      <c r="H40" s="186" t="s">
        <v>67</v>
      </c>
      <c r="I40" s="117">
        <f>(K34+L34)/1000</f>
        <v>41.984000000000002</v>
      </c>
      <c r="J40" s="130">
        <f>+I40+'22'!J40</f>
        <v>871.91499999999996</v>
      </c>
      <c r="K40" s="129" t="s">
        <v>63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+C41+'22'!D41</f>
        <v>0</v>
      </c>
      <c r="E41" s="142">
        <f t="shared" si="6"/>
        <v>0</v>
      </c>
      <c r="F41" s="321"/>
      <c r="G41" s="321"/>
      <c r="H41" s="186" t="s">
        <v>69</v>
      </c>
      <c r="I41" s="141"/>
      <c r="J41" s="128">
        <f>J40/G4</f>
        <v>37.909347826086957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+C42+'22'!D42</f>
        <v>0</v>
      </c>
      <c r="E42" s="142">
        <f t="shared" si="6"/>
        <v>0</v>
      </c>
      <c r="F42" s="321">
        <v>1150</v>
      </c>
      <c r="G42" s="321">
        <v>862.5</v>
      </c>
      <c r="H42" s="186" t="s">
        <v>70</v>
      </c>
      <c r="I42" s="245" t="s">
        <v>462</v>
      </c>
      <c r="J42" s="131"/>
      <c r="K42" s="129" t="s">
        <v>71</v>
      </c>
    </row>
    <row r="43" spans="1:19" ht="17.45" customHeight="1">
      <c r="A43" s="765" t="s">
        <v>72</v>
      </c>
      <c r="B43" s="766"/>
      <c r="C43" s="163">
        <f>SUMIF($G$7:$G$31,"Water",$F$7:$F$31)</f>
        <v>0</v>
      </c>
      <c r="D43" s="117">
        <f>+C43+'22'!D43</f>
        <v>0</v>
      </c>
      <c r="E43" s="142">
        <f t="shared" si="6"/>
        <v>0</v>
      </c>
      <c r="F43" s="321"/>
      <c r="G43" s="322"/>
      <c r="H43" s="187" t="s">
        <v>73</v>
      </c>
      <c r="I43" s="117">
        <f>+Report1!Z31</f>
        <v>56.8</v>
      </c>
      <c r="J43" s="132">
        <f>+I43+'22'!J43</f>
        <v>1259.1999999999998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+C44+'22'!D44</f>
        <v>438</v>
      </c>
      <c r="E44" s="142">
        <f t="shared" si="6"/>
        <v>7.3</v>
      </c>
      <c r="F44" s="321"/>
      <c r="G44" s="322"/>
      <c r="H44" s="187" t="s">
        <v>74</v>
      </c>
      <c r="I44" s="117">
        <f>I43/I38</f>
        <v>1.2894438138479001</v>
      </c>
      <c r="J44" s="133">
        <f>J43/J38</f>
        <v>1.3952370030326904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+C45+'22'!D45</f>
        <v>0</v>
      </c>
      <c r="E45" s="142">
        <f t="shared" si="6"/>
        <v>0</v>
      </c>
      <c r="F45" s="321"/>
      <c r="G45" s="324"/>
      <c r="H45" s="187" t="s">
        <v>75</v>
      </c>
      <c r="I45" s="117">
        <f>I43/I40</f>
        <v>1.3528963414634145</v>
      </c>
      <c r="J45" s="133">
        <f>J43/J40</f>
        <v>1.4441774714278339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+C46+'22'!D46</f>
        <v>0</v>
      </c>
      <c r="E46" s="142">
        <f t="shared" si="6"/>
        <v>0</v>
      </c>
      <c r="F46" s="321"/>
      <c r="G46" s="322"/>
      <c r="H46" s="187" t="s">
        <v>77</v>
      </c>
      <c r="I46" s="139">
        <f>+SUMIF(Listrik!P30,"&gt;0")</f>
        <v>34824.44</v>
      </c>
      <c r="J46" s="134">
        <f>+I46+'22'!J46</f>
        <v>812297.2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+C47+'22'!D47</f>
        <v>0</v>
      </c>
      <c r="E47" s="142">
        <f t="shared" si="6"/>
        <v>0</v>
      </c>
      <c r="F47" s="321"/>
      <c r="G47" s="322"/>
      <c r="H47" s="187" t="s">
        <v>80</v>
      </c>
      <c r="I47" s="117">
        <f>I46/I38</f>
        <v>790.56617480136219</v>
      </c>
      <c r="J47" s="134">
        <f>J46/J38</f>
        <v>900.0532964579462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+C48+'22'!D48</f>
        <v>0</v>
      </c>
      <c r="E48" s="142">
        <f t="shared" si="6"/>
        <v>0</v>
      </c>
      <c r="F48" s="321"/>
      <c r="G48" s="322"/>
      <c r="H48" s="187" t="s">
        <v>81</v>
      </c>
      <c r="I48" s="117">
        <f>I46/I40</f>
        <v>829.46932164634143</v>
      </c>
      <c r="J48" s="134">
        <f>J46/J40</f>
        <v>931.62429824008075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+C49+'22'!D49</f>
        <v>0</v>
      </c>
      <c r="E49" s="142">
        <f t="shared" si="6"/>
        <v>0</v>
      </c>
      <c r="F49" s="184"/>
      <c r="H49" s="187" t="s">
        <v>270</v>
      </c>
      <c r="I49" s="117">
        <f>+Report1!T31</f>
        <v>5864.5523134008126</v>
      </c>
      <c r="J49" s="134">
        <f>+I49+'22'!J49</f>
        <v>119198.21888175452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+C50+'22'!D50</f>
        <v>0</v>
      </c>
      <c r="E50" s="142">
        <f t="shared" si="6"/>
        <v>0</v>
      </c>
      <c r="F50" s="184"/>
      <c r="H50" s="187" t="s">
        <v>83</v>
      </c>
      <c r="I50" s="139">
        <f>I49/I38</f>
        <v>133.13399122362799</v>
      </c>
      <c r="J50" s="132">
        <f>J49/J38</f>
        <v>132.07573513295253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+C51+'22'!D51</f>
        <v>738</v>
      </c>
      <c r="E51" s="142">
        <f t="shared" si="6"/>
        <v>12.3</v>
      </c>
      <c r="F51" s="184"/>
      <c r="H51" s="189" t="s">
        <v>85</v>
      </c>
      <c r="I51" s="140">
        <f>I49/I40</f>
        <v>139.68541142818245</v>
      </c>
      <c r="J51" s="135">
        <f>J49/J40</f>
        <v>136.70853108589085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61</v>
      </c>
      <c r="D52" s="143">
        <f>SUM(D38:D51)</f>
        <v>2841</v>
      </c>
      <c r="E52" s="144">
        <f>SUM(E38:E51)</f>
        <v>47.349999999999994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4.2361111111111113E-2</v>
      </c>
      <c r="D53" s="145">
        <f>D52/(24*60*G4)</f>
        <v>8.5778985507246372E-2</v>
      </c>
      <c r="E53" s="146">
        <f>E52/(G4*24)</f>
        <v>8.5778985507246372E-2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+D34+'22'!J56</f>
        <v>3471</v>
      </c>
      <c r="K56" s="200">
        <f>J56/(J40+J56/1000)/1000</f>
        <v>3.9651079638011117E-3</v>
      </c>
    </row>
    <row r="57" spans="1:11">
      <c r="A57" s="175"/>
      <c r="I57" s="198" t="s">
        <v>88</v>
      </c>
      <c r="J57" s="199">
        <f>+E34+'22'!J57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7109375" style="148" bestFit="1" customWidth="1"/>
    <col min="12" max="12" width="8.28515625" style="148" customWidth="1"/>
    <col min="13" max="13" width="15.28515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22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663</v>
      </c>
      <c r="O6" s="148">
        <v>1140</v>
      </c>
      <c r="P6" s="148">
        <f>+O6-(O6*0.25)</f>
        <v>855</v>
      </c>
      <c r="Q6" s="148">
        <v>480</v>
      </c>
      <c r="R6" s="148">
        <f t="shared" ref="R6:R8" si="0">+O6*Q6</f>
        <v>547200</v>
      </c>
      <c r="S6" s="148">
        <f t="shared" ref="S6:S8" si="1">+P6*Q6</f>
        <v>410400</v>
      </c>
    </row>
    <row r="7" spans="1:19" ht="13.5" customHeight="1" thickBot="1">
      <c r="A7" s="751" t="s">
        <v>432</v>
      </c>
      <c r="B7" s="214" t="s">
        <v>672</v>
      </c>
      <c r="C7" s="215">
        <v>14343</v>
      </c>
      <c r="D7" s="216"/>
      <c r="E7" s="217"/>
      <c r="F7" s="227">
        <v>9</v>
      </c>
      <c r="G7" s="228" t="s">
        <v>12</v>
      </c>
      <c r="H7" s="229" t="s">
        <v>493</v>
      </c>
      <c r="I7" s="754" t="s">
        <v>549</v>
      </c>
      <c r="J7" s="213" t="str">
        <f>+'21'!J7</f>
        <v>F 11,5 VP OW</v>
      </c>
      <c r="K7" s="237"/>
      <c r="L7" s="241"/>
      <c r="M7" s="116">
        <f>+K7+'21'!M7+L7</f>
        <v>168614</v>
      </c>
      <c r="O7" s="148">
        <v>1140</v>
      </c>
      <c r="P7" s="148">
        <f>+O7-(O7*0.25)</f>
        <v>855</v>
      </c>
      <c r="Q7" s="148">
        <v>480</v>
      </c>
      <c r="R7" s="148">
        <f t="shared" si="0"/>
        <v>547200</v>
      </c>
      <c r="S7" s="148">
        <f t="shared" si="1"/>
        <v>410400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+'21'!J8</f>
        <v>F 14 VP OW</v>
      </c>
      <c r="K8" s="238"/>
      <c r="L8" s="238"/>
      <c r="M8" s="116">
        <f>+K8+'21'!M8+L8</f>
        <v>78398</v>
      </c>
      <c r="O8" s="148">
        <v>1150</v>
      </c>
      <c r="P8" s="148">
        <f>+O8-(O8*0.25)</f>
        <v>862.5</v>
      </c>
      <c r="Q8" s="148">
        <v>480</v>
      </c>
      <c r="R8" s="148">
        <f t="shared" si="0"/>
        <v>552000</v>
      </c>
      <c r="S8" s="148">
        <f t="shared" si="1"/>
        <v>414000</v>
      </c>
    </row>
    <row r="9" spans="1:19" ht="13.5" thickBot="1">
      <c r="A9" s="752"/>
      <c r="B9" s="214"/>
      <c r="C9" s="215"/>
      <c r="D9" s="216"/>
      <c r="E9" s="219"/>
      <c r="F9" s="227">
        <f>22-9</f>
        <v>13</v>
      </c>
      <c r="G9" s="560" t="s">
        <v>12</v>
      </c>
      <c r="H9" s="232" t="s">
        <v>413</v>
      </c>
      <c r="I9" s="755"/>
      <c r="J9" s="213" t="str">
        <f>+'21'!J9</f>
        <v>F 13 VP OW</v>
      </c>
      <c r="K9" s="238"/>
      <c r="L9" s="238"/>
      <c r="M9" s="116">
        <f>+K9+'21'!M9+L9</f>
        <v>22241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659</v>
      </c>
      <c r="I10" s="755"/>
      <c r="J10" s="213" t="str">
        <f>+'21'!J10</f>
        <v>F 12 VP OW</v>
      </c>
      <c r="K10" s="238"/>
      <c r="L10" s="238"/>
      <c r="M10" s="116">
        <f>+K10+'21'!M10+L10</f>
        <v>10321</v>
      </c>
    </row>
    <row r="11" spans="1:19" ht="13.5" thickBot="1">
      <c r="A11" s="752"/>
      <c r="B11" s="214"/>
      <c r="C11" s="215"/>
      <c r="D11" s="216"/>
      <c r="E11" s="218"/>
      <c r="F11" s="227"/>
      <c r="G11" s="231"/>
      <c r="H11" s="232"/>
      <c r="I11" s="755"/>
      <c r="J11" s="213" t="str">
        <f>+'21'!J11</f>
        <v>F 16 VP OW</v>
      </c>
      <c r="K11" s="238"/>
      <c r="L11" s="238"/>
      <c r="M11" s="116">
        <f>+K11+'21'!M11+L11</f>
        <v>37034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+'21'!J12</f>
        <v>F 15 VP OW</v>
      </c>
      <c r="K12" s="238"/>
      <c r="L12" s="238"/>
      <c r="M12" s="116">
        <f>+K12+'21'!M12+L12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+'21'!J13</f>
        <v>T 14 VP OW</v>
      </c>
      <c r="K13" s="238"/>
      <c r="L13" s="238"/>
      <c r="M13" s="116">
        <f>+K13+'21'!M13+L13</f>
        <v>5600</v>
      </c>
    </row>
    <row r="14" spans="1:19" ht="13.5" thickBot="1">
      <c r="A14" s="753"/>
      <c r="B14" s="164" t="s">
        <v>2</v>
      </c>
      <c r="C14" s="98">
        <f>SUM(C7:C13)</f>
        <v>14343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 t="str">
        <f>+'21'!J14</f>
        <v>T 13 VP OW</v>
      </c>
      <c r="K14" s="238"/>
      <c r="L14" s="238"/>
      <c r="M14" s="116">
        <f>+K14+'21'!M14+L14</f>
        <v>305914</v>
      </c>
      <c r="Q14" s="175">
        <f>SUM(Q6:Q11)</f>
        <v>1440</v>
      </c>
      <c r="R14" s="175">
        <f>SUM(R6:R11)</f>
        <v>1646400</v>
      </c>
      <c r="S14" s="175">
        <f>SUM(S6:S11)</f>
        <v>1234800</v>
      </c>
    </row>
    <row r="15" spans="1:19" ht="13.5" customHeight="1" thickBot="1">
      <c r="A15" s="751" t="s">
        <v>391</v>
      </c>
      <c r="B15" s="164"/>
      <c r="C15" s="112">
        <f>C14/($C$23+$D$23+$E$23)</f>
        <v>1.0514625027490654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549</v>
      </c>
      <c r="J15" s="213" t="str">
        <f>+'21'!J15</f>
        <v>T 12 VP OW</v>
      </c>
      <c r="K15" s="238"/>
      <c r="L15" s="238"/>
      <c r="M15" s="116">
        <f>+K15+'21'!M15+L15</f>
        <v>12729</v>
      </c>
      <c r="Q15" s="148">
        <f>480-Q14</f>
        <v>-960</v>
      </c>
      <c r="R15" s="175">
        <f>+R14/Q14</f>
        <v>1143.3333333333333</v>
      </c>
      <c r="S15" s="175">
        <f>+S14/Q14</f>
        <v>857.5</v>
      </c>
    </row>
    <row r="16" spans="1:19" ht="13.5" thickBot="1">
      <c r="A16" s="757"/>
      <c r="B16" s="214" t="s">
        <v>672</v>
      </c>
      <c r="C16" s="221">
        <v>13303</v>
      </c>
      <c r="D16" s="222">
        <v>338</v>
      </c>
      <c r="E16" s="223"/>
      <c r="F16" s="230">
        <v>2</v>
      </c>
      <c r="G16" s="560" t="s">
        <v>12</v>
      </c>
      <c r="H16" s="229" t="s">
        <v>414</v>
      </c>
      <c r="I16" s="755"/>
      <c r="J16" s="213" t="str">
        <f>+'21'!J16</f>
        <v>T 12,5 VP OW</v>
      </c>
      <c r="K16" s="228"/>
      <c r="L16" s="228"/>
      <c r="M16" s="116">
        <f>+K16+'21'!M16+L16</f>
        <v>51474</v>
      </c>
    </row>
    <row r="17" spans="1:13" ht="13.5" thickBot="1">
      <c r="A17" s="757"/>
      <c r="B17" s="214"/>
      <c r="C17" s="215"/>
      <c r="D17" s="216"/>
      <c r="E17" s="224"/>
      <c r="F17" s="227">
        <v>17</v>
      </c>
      <c r="G17" s="560" t="s">
        <v>12</v>
      </c>
      <c r="H17" s="232" t="s">
        <v>427</v>
      </c>
      <c r="I17" s="755"/>
      <c r="J17" s="213" t="str">
        <f>+'21'!J17</f>
        <v>T 13,5 VP OW</v>
      </c>
      <c r="K17" s="228"/>
      <c r="L17" s="228"/>
      <c r="M17" s="116">
        <f>+K17+'21'!M17+L17</f>
        <v>17480</v>
      </c>
    </row>
    <row r="18" spans="1:13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682</v>
      </c>
      <c r="I18" s="755"/>
      <c r="J18" s="213" t="str">
        <f>+'21'!J18</f>
        <v>F 14,5 VP OW</v>
      </c>
      <c r="K18" s="238">
        <f>+C34</f>
        <v>41222</v>
      </c>
      <c r="L18" s="238"/>
      <c r="M18" s="116">
        <f>+K18+'21'!M18+L18</f>
        <v>116924</v>
      </c>
    </row>
    <row r="19" spans="1:13" ht="77.25" thickBot="1">
      <c r="A19" s="757"/>
      <c r="B19" s="214"/>
      <c r="C19" s="215"/>
      <c r="D19" s="216"/>
      <c r="E19" s="224"/>
      <c r="F19" s="234"/>
      <c r="G19" s="231"/>
      <c r="H19" s="232" t="s">
        <v>683</v>
      </c>
      <c r="I19" s="755"/>
      <c r="J19" s="213">
        <f>+'21'!J19</f>
        <v>0</v>
      </c>
      <c r="K19" s="238"/>
      <c r="L19" s="238"/>
      <c r="M19" s="116">
        <f>+K19+'21'!M19+L19</f>
        <v>0</v>
      </c>
    </row>
    <row r="20" spans="1:13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+'21'!J20</f>
        <v>0</v>
      </c>
      <c r="K20" s="239"/>
      <c r="L20" s="239"/>
      <c r="M20" s="116">
        <f>+K20+'21'!M20+L20</f>
        <v>0</v>
      </c>
    </row>
    <row r="21" spans="1:13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+'21'!J21</f>
        <v>0</v>
      </c>
      <c r="K21" s="238"/>
      <c r="L21" s="238"/>
      <c r="M21" s="116">
        <f>+K21+'21'!M21+L21</f>
        <v>0</v>
      </c>
    </row>
    <row r="22" spans="1:13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+'21'!J22</f>
        <v>0</v>
      </c>
      <c r="K22" s="238"/>
      <c r="L22" s="238"/>
      <c r="M22" s="116">
        <f>+K22+'21'!M22+L22</f>
        <v>0</v>
      </c>
    </row>
    <row r="23" spans="1:13" ht="13.5" thickBot="1">
      <c r="A23" s="758"/>
      <c r="B23" s="167" t="s">
        <v>2</v>
      </c>
      <c r="C23" s="99">
        <f>SUM(C16:C22)</f>
        <v>13303</v>
      </c>
      <c r="D23" s="110">
        <f>SUM(D16:D22)</f>
        <v>338</v>
      </c>
      <c r="E23" s="111">
        <f>SUM(E18:E22)</f>
        <v>0</v>
      </c>
      <c r="F23" s="115">
        <f>SUM(F15:F22)</f>
        <v>19</v>
      </c>
      <c r="G23" s="158"/>
      <c r="H23" s="165"/>
      <c r="I23" s="168"/>
      <c r="J23" s="213">
        <f>+'21'!J23</f>
        <v>0</v>
      </c>
      <c r="K23" s="238"/>
      <c r="L23" s="238"/>
      <c r="M23" s="116">
        <f>+K23+'21'!M23+L23</f>
        <v>0</v>
      </c>
    </row>
    <row r="24" spans="1:13" ht="13.5" customHeight="1" thickBot="1">
      <c r="A24" s="751" t="s">
        <v>389</v>
      </c>
      <c r="B24" s="169"/>
      <c r="C24" s="112">
        <f>C23/($C$23+$D$23+$E$23)</f>
        <v>0.97522175793563526</v>
      </c>
      <c r="D24" s="113">
        <f>D23/($C$23+$D$23+$E$23)</f>
        <v>2.4778242064364783E-2</v>
      </c>
      <c r="E24" s="114">
        <f>E23/($C$23+$D$23+$E$23)</f>
        <v>0</v>
      </c>
      <c r="F24" s="227">
        <v>9</v>
      </c>
      <c r="G24" s="228" t="s">
        <v>12</v>
      </c>
      <c r="H24" s="229" t="s">
        <v>493</v>
      </c>
      <c r="I24" s="754" t="s">
        <v>462</v>
      </c>
      <c r="J24" s="213">
        <f>+'21'!J24</f>
        <v>0</v>
      </c>
      <c r="K24" s="238"/>
      <c r="L24" s="238"/>
      <c r="M24" s="116">
        <f>+K24+'21'!M24+L24</f>
        <v>0</v>
      </c>
    </row>
    <row r="25" spans="1:13" ht="13.5" thickBot="1">
      <c r="A25" s="757"/>
      <c r="B25" s="214" t="s">
        <v>672</v>
      </c>
      <c r="C25" s="225">
        <v>13576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+'21'!J25</f>
        <v>0</v>
      </c>
      <c r="K25" s="238"/>
      <c r="L25" s="238"/>
      <c r="M25" s="116">
        <f>+K25+'21'!M25+L25</f>
        <v>0</v>
      </c>
    </row>
    <row r="26" spans="1:13" ht="13.5" thickBot="1">
      <c r="A26" s="757"/>
      <c r="B26" s="214"/>
      <c r="C26" s="225"/>
      <c r="D26" s="216"/>
      <c r="E26" s="226"/>
      <c r="F26" s="227">
        <f>22-9</f>
        <v>13</v>
      </c>
      <c r="G26" s="560" t="s">
        <v>12</v>
      </c>
      <c r="H26" s="232" t="s">
        <v>386</v>
      </c>
      <c r="I26" s="755"/>
      <c r="J26" s="213">
        <f>+'21'!J26</f>
        <v>0</v>
      </c>
      <c r="K26" s="238"/>
      <c r="L26" s="238"/>
      <c r="M26" s="116">
        <f>+K26+'21'!M26+L26</f>
        <v>0</v>
      </c>
    </row>
    <row r="27" spans="1:13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681</v>
      </c>
      <c r="I27" s="755"/>
      <c r="J27" s="213">
        <f>+'21'!J27</f>
        <v>0</v>
      </c>
      <c r="K27" s="238"/>
      <c r="L27" s="238"/>
      <c r="M27" s="116">
        <f>+K27+'21'!M27+L27</f>
        <v>0</v>
      </c>
    </row>
    <row r="28" spans="1:13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+'21'!J28</f>
        <v>0</v>
      </c>
      <c r="K28" s="238"/>
      <c r="L28" s="238"/>
      <c r="M28" s="116">
        <f>+K28+'21'!M28+L28</f>
        <v>0</v>
      </c>
    </row>
    <row r="29" spans="1:13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+'21'!J29</f>
        <v>0</v>
      </c>
      <c r="K29" s="238"/>
      <c r="L29" s="238"/>
      <c r="M29" s="116">
        <f>+K29+'21'!M29+L29</f>
        <v>0</v>
      </c>
    </row>
    <row r="30" spans="1:13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+'21'!J30</f>
        <v>0</v>
      </c>
      <c r="K30" s="238"/>
      <c r="L30" s="238"/>
      <c r="M30" s="116">
        <f>+K30+'21'!M30+L30</f>
        <v>0</v>
      </c>
    </row>
    <row r="31" spans="1:13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+'21'!J31</f>
        <v>0</v>
      </c>
      <c r="K31" s="238"/>
      <c r="L31" s="238"/>
      <c r="M31" s="116">
        <f>+K31+'21'!M31+L31</f>
        <v>0</v>
      </c>
    </row>
    <row r="32" spans="1:13" ht="13.5" thickBot="1">
      <c r="A32" s="758"/>
      <c r="B32" s="164" t="s">
        <v>2</v>
      </c>
      <c r="C32" s="98">
        <f>SUM(C25:C31)</f>
        <v>13576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+'21'!J32</f>
        <v>0</v>
      </c>
      <c r="K32" s="240"/>
      <c r="L32" s="242"/>
      <c r="M32" s="116">
        <f>+K32+'21'!M32+L32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9" t="s">
        <v>57</v>
      </c>
      <c r="B34" s="760"/>
      <c r="C34" s="106">
        <f>C14+C23+C32</f>
        <v>41222</v>
      </c>
      <c r="D34" s="106">
        <f>D14+D23+D32</f>
        <v>338</v>
      </c>
      <c r="E34" s="106">
        <f>E14+E23+E32</f>
        <v>0</v>
      </c>
      <c r="F34" s="107">
        <f>F14+F23+F32</f>
        <v>63</v>
      </c>
      <c r="H34" s="177"/>
      <c r="I34" s="177"/>
      <c r="J34" s="122" t="s">
        <v>28</v>
      </c>
      <c r="K34" s="123">
        <f>SUM(K7:K32)</f>
        <v>41222</v>
      </c>
      <c r="L34" s="211">
        <f>SUM(L7:L32)</f>
        <v>0</v>
      </c>
      <c r="M34" s="119">
        <f>SUM(M7:M32)</f>
        <v>829931</v>
      </c>
    </row>
    <row r="35" spans="1:13" ht="13.5" thickBot="1">
      <c r="A35" s="178"/>
      <c r="B35" s="179"/>
      <c r="C35" s="103">
        <f>C34/($C$34+$D$34+$E$34)</f>
        <v>0.99186717998075069</v>
      </c>
      <c r="D35" s="103">
        <f>D34/($C$34+$D$34+$E$34)</f>
        <v>8.1328200192492782E-3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(14.5*1440)/1440*G42*2.74*1440/1000000</f>
        <v>49.05860400000001</v>
      </c>
      <c r="J37" s="124">
        <f>+I37+'21'!J37</f>
        <v>956.03402551925092</v>
      </c>
      <c r="K37" s="125" t="s">
        <v>63</v>
      </c>
    </row>
    <row r="38" spans="1:13" ht="17.45" customHeight="1">
      <c r="A38" s="763" t="s">
        <v>12</v>
      </c>
      <c r="B38" s="764"/>
      <c r="C38" s="163">
        <f>SUMIF($G$7:$G$31,"Process",$F$7:$F$31)</f>
        <v>63</v>
      </c>
      <c r="D38" s="117">
        <f>+C38+'21'!D38</f>
        <v>1365</v>
      </c>
      <c r="E38" s="142">
        <f t="shared" ref="E38:E51" si="2">D38/60</f>
        <v>22.75</v>
      </c>
      <c r="F38" s="321">
        <v>1140</v>
      </c>
      <c r="G38" s="321">
        <v>855</v>
      </c>
      <c r="H38" s="186" t="s">
        <v>64</v>
      </c>
      <c r="I38" s="244">
        <f>14.003+14.609+13.772</f>
        <v>42.384</v>
      </c>
      <c r="J38" s="126">
        <f>+I38+'21'!J38</f>
        <v>858.44899999999996</v>
      </c>
      <c r="K38" s="127" t="s">
        <v>63</v>
      </c>
    </row>
    <row r="39" spans="1:13" ht="17.45" customHeight="1">
      <c r="A39" s="765" t="s">
        <v>13</v>
      </c>
      <c r="B39" s="766"/>
      <c r="C39" s="163">
        <f>SUMIF($G$7:$G$31,"Cleaning",$F$7:$F$31)</f>
        <v>0</v>
      </c>
      <c r="D39" s="117">
        <f>+C39+'21'!D39</f>
        <v>33</v>
      </c>
      <c r="E39" s="142">
        <f t="shared" si="2"/>
        <v>0.55000000000000004</v>
      </c>
      <c r="F39" s="321">
        <v>1140</v>
      </c>
      <c r="G39" s="321">
        <v>855</v>
      </c>
      <c r="H39" s="186" t="s">
        <v>65</v>
      </c>
      <c r="I39" s="141"/>
      <c r="J39" s="128">
        <f>J37/G4</f>
        <v>43.456092069056858</v>
      </c>
      <c r="K39" s="129" t="s">
        <v>63</v>
      </c>
    </row>
    <row r="40" spans="1:13" ht="17.45" customHeight="1">
      <c r="A40" s="765" t="s">
        <v>66</v>
      </c>
      <c r="B40" s="766"/>
      <c r="C40" s="163">
        <f>SUMIF($G$7:$G$31,"Mechanical",$F$7:$F$31)</f>
        <v>0</v>
      </c>
      <c r="D40" s="117">
        <f>+C40+'21'!D40</f>
        <v>206</v>
      </c>
      <c r="E40" s="142">
        <f t="shared" si="2"/>
        <v>3.4333333333333331</v>
      </c>
      <c r="F40" s="321">
        <v>1150</v>
      </c>
      <c r="G40" s="321">
        <v>862.5</v>
      </c>
      <c r="H40" s="186" t="s">
        <v>67</v>
      </c>
      <c r="I40" s="117">
        <f>(K34+L34)/1000</f>
        <v>41.222000000000001</v>
      </c>
      <c r="J40" s="130">
        <f>+I40+'21'!J40</f>
        <v>829.93099999999993</v>
      </c>
      <c r="K40" s="129" t="s">
        <v>63</v>
      </c>
    </row>
    <row r="41" spans="1:13" ht="17.45" customHeight="1">
      <c r="A41" s="765" t="s">
        <v>68</v>
      </c>
      <c r="B41" s="766"/>
      <c r="C41" s="163">
        <f>SUMIF($G$7:$G$31,"Electrical",$F$7:$F$31)</f>
        <v>0</v>
      </c>
      <c r="D41" s="117">
        <f>+C41+'21'!D41</f>
        <v>0</v>
      </c>
      <c r="E41" s="142">
        <f t="shared" si="2"/>
        <v>0</v>
      </c>
      <c r="F41" s="321"/>
      <c r="G41" s="321"/>
      <c r="H41" s="186" t="s">
        <v>69</v>
      </c>
      <c r="I41" s="141"/>
      <c r="J41" s="128">
        <f>J40/G4</f>
        <v>37.724136363636362</v>
      </c>
      <c r="K41" s="129" t="s">
        <v>63</v>
      </c>
    </row>
    <row r="42" spans="1:13" ht="17.45" customHeight="1">
      <c r="A42" s="765" t="s">
        <v>16</v>
      </c>
      <c r="B42" s="766"/>
      <c r="C42" s="163">
        <f>SUMIF($G$7:$G$31,"Instrument",$F$7:$F$31)</f>
        <v>0</v>
      </c>
      <c r="D42" s="117">
        <f>+C42+'21'!D42</f>
        <v>0</v>
      </c>
      <c r="E42" s="142">
        <f t="shared" si="2"/>
        <v>0</v>
      </c>
      <c r="F42" s="321">
        <f>+(480*F38+480*F39+480*F40)/1440</f>
        <v>1143.3333333333333</v>
      </c>
      <c r="G42" s="321">
        <f>+(480*G38+480*G39+480*G40)/1440</f>
        <v>857.5</v>
      </c>
      <c r="H42" s="186" t="s">
        <v>70</v>
      </c>
      <c r="I42" s="245"/>
      <c r="J42" s="131"/>
      <c r="K42" s="129" t="s">
        <v>71</v>
      </c>
    </row>
    <row r="43" spans="1:13" ht="17.45" customHeight="1">
      <c r="A43" s="765" t="s">
        <v>72</v>
      </c>
      <c r="B43" s="766"/>
      <c r="C43" s="163">
        <f>SUMIF($G$7:$G$31,"Water",$F$7:$F$31)</f>
        <v>0</v>
      </c>
      <c r="D43" s="117">
        <f>+C43+'21'!D43</f>
        <v>0</v>
      </c>
      <c r="E43" s="142">
        <f t="shared" si="2"/>
        <v>0</v>
      </c>
      <c r="F43" s="321"/>
      <c r="G43" s="322"/>
      <c r="H43" s="187" t="s">
        <v>73</v>
      </c>
      <c r="I43" s="117">
        <f>+Report1!Z30</f>
        <v>57.5</v>
      </c>
      <c r="J43" s="132">
        <f>+I43+'21'!J43</f>
        <v>1202.3999999999999</v>
      </c>
      <c r="K43" s="129" t="s">
        <v>63</v>
      </c>
      <c r="L43" s="188"/>
    </row>
    <row r="44" spans="1:13" ht="17.45" customHeight="1">
      <c r="A44" s="765" t="s">
        <v>17</v>
      </c>
      <c r="B44" s="766"/>
      <c r="C44" s="163">
        <f>SUMIF($G$7:$G$31,"PLN",$F$7:$F$31)</f>
        <v>0</v>
      </c>
      <c r="D44" s="117">
        <f>+C44+'21'!D44</f>
        <v>438</v>
      </c>
      <c r="E44" s="142">
        <f t="shared" si="2"/>
        <v>7.3</v>
      </c>
      <c r="F44" s="321"/>
      <c r="G44" s="322"/>
      <c r="H44" s="187" t="s">
        <v>74</v>
      </c>
      <c r="I44" s="117">
        <f>I43/I38</f>
        <v>1.3566440166100415</v>
      </c>
      <c r="J44" s="133">
        <f>J43/J38</f>
        <v>1.4006656190408515</v>
      </c>
      <c r="K44" s="129" t="s">
        <v>63</v>
      </c>
    </row>
    <row r="45" spans="1:13" ht="17.45" customHeight="1">
      <c r="A45" s="765" t="s">
        <v>18</v>
      </c>
      <c r="B45" s="766"/>
      <c r="C45" s="163">
        <f>SUMIF($G$7:$G$31,"Boiler",$F$7:$F$31)</f>
        <v>0</v>
      </c>
      <c r="D45" s="117">
        <f>+C45+'21'!D45</f>
        <v>0</v>
      </c>
      <c r="E45" s="142">
        <f t="shared" si="2"/>
        <v>0</v>
      </c>
      <c r="F45" s="321"/>
      <c r="G45" s="324"/>
      <c r="H45" s="187" t="s">
        <v>75</v>
      </c>
      <c r="I45" s="117">
        <f>I43/I40</f>
        <v>1.3948862258017563</v>
      </c>
      <c r="J45" s="133">
        <f>J43/J40</f>
        <v>1.4487951408008617</v>
      </c>
      <c r="K45" s="129" t="s">
        <v>63</v>
      </c>
    </row>
    <row r="46" spans="1:13" ht="17.45" customHeight="1">
      <c r="A46" s="765" t="s">
        <v>76</v>
      </c>
      <c r="B46" s="766"/>
      <c r="C46" s="163">
        <f>SUMIF($G$7:$G$31,"Gas",$F$7:$F$31)</f>
        <v>0</v>
      </c>
      <c r="D46" s="117">
        <f>+C46+'21'!D46</f>
        <v>0</v>
      </c>
      <c r="E46" s="142">
        <f t="shared" si="2"/>
        <v>0</v>
      </c>
      <c r="F46" s="321"/>
      <c r="G46" s="322"/>
      <c r="H46" s="187" t="s">
        <v>77</v>
      </c>
      <c r="I46" s="139">
        <f>+SUMIF(Listrik!P29,"&gt;0")</f>
        <v>35446.199999999997</v>
      </c>
      <c r="J46" s="134">
        <f>+I46+'21'!J46</f>
        <v>777472.76</v>
      </c>
      <c r="K46" s="129" t="s">
        <v>78</v>
      </c>
    </row>
    <row r="47" spans="1:13" ht="17.45" customHeight="1">
      <c r="A47" s="765" t="s">
        <v>79</v>
      </c>
      <c r="B47" s="766"/>
      <c r="C47" s="163">
        <f>SUMIF($G$7:$G$31,"Gas",$F$7:$F$31)</f>
        <v>0</v>
      </c>
      <c r="D47" s="117">
        <f>+C47+'21'!D47</f>
        <v>0</v>
      </c>
      <c r="E47" s="142">
        <f t="shared" si="2"/>
        <v>0</v>
      </c>
      <c r="F47" s="321"/>
      <c r="G47" s="322"/>
      <c r="H47" s="187" t="s">
        <v>80</v>
      </c>
      <c r="I47" s="117">
        <f>I46/I38</f>
        <v>836.31087202718004</v>
      </c>
      <c r="J47" s="134">
        <f>J46/J38</f>
        <v>905.67146097205546</v>
      </c>
      <c r="K47" s="129" t="s">
        <v>24</v>
      </c>
    </row>
    <row r="48" spans="1:13" ht="17.45" customHeight="1">
      <c r="A48" s="765" t="s">
        <v>14</v>
      </c>
      <c r="B48" s="766"/>
      <c r="C48" s="163">
        <f>SUMIF($G$7:$G$31,"Start Up",$F$7:$F$31)</f>
        <v>0</v>
      </c>
      <c r="D48" s="117">
        <f>+C48+'21'!D48</f>
        <v>0</v>
      </c>
      <c r="E48" s="142">
        <f t="shared" si="2"/>
        <v>0</v>
      </c>
      <c r="F48" s="321"/>
      <c r="G48" s="322"/>
      <c r="H48" s="187" t="s">
        <v>81</v>
      </c>
      <c r="I48" s="117">
        <f>I46/I40</f>
        <v>859.88549803502974</v>
      </c>
      <c r="J48" s="134">
        <f>J46/J40</f>
        <v>936.79204656772686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+C49+'21'!D49</f>
        <v>0</v>
      </c>
      <c r="E49" s="142">
        <f t="shared" si="2"/>
        <v>0</v>
      </c>
      <c r="F49" s="184"/>
      <c r="H49" s="187" t="s">
        <v>270</v>
      </c>
      <c r="I49" s="117">
        <f>+Report1!T30</f>
        <v>5984.8747930709214</v>
      </c>
      <c r="J49" s="134">
        <f>+I49+'21'!J49</f>
        <v>113333.66656835371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+C50+'21'!D50</f>
        <v>0</v>
      </c>
      <c r="E50" s="142">
        <f t="shared" si="2"/>
        <v>0</v>
      </c>
      <c r="F50" s="184"/>
      <c r="H50" s="187" t="s">
        <v>83</v>
      </c>
      <c r="I50" s="139">
        <f>I49/I38</f>
        <v>141.2059926639987</v>
      </c>
      <c r="J50" s="132">
        <f>J49/J38</f>
        <v>132.02143233710299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+C51+'21'!D51</f>
        <v>738</v>
      </c>
      <c r="E51" s="142">
        <f t="shared" si="2"/>
        <v>12.3</v>
      </c>
      <c r="F51" s="184"/>
      <c r="H51" s="189" t="s">
        <v>85</v>
      </c>
      <c r="I51" s="140">
        <f>I49/I40</f>
        <v>145.18642455656982</v>
      </c>
      <c r="J51" s="135">
        <f>J49/J40</f>
        <v>136.55793863387888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63</v>
      </c>
      <c r="D52" s="143">
        <f>SUM(D38:D51)</f>
        <v>2780</v>
      </c>
      <c r="E52" s="144">
        <f>SUM(E38:E51)</f>
        <v>46.333333333333329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4.3749999999999997E-2</v>
      </c>
      <c r="D53" s="145">
        <f>D52/(24*60*G4)</f>
        <v>8.7752525252525249E-2</v>
      </c>
      <c r="E53" s="146">
        <f>E52/(G4*24)</f>
        <v>8.7752525252525249E-2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+D34+'21'!J56</f>
        <v>3471</v>
      </c>
      <c r="K56" s="200">
        <f>J56/(J40+J56/1000)/1000</f>
        <v>4.1648568157983783E-3</v>
      </c>
    </row>
    <row r="57" spans="1:11">
      <c r="A57" s="175"/>
      <c r="I57" s="198" t="s">
        <v>88</v>
      </c>
      <c r="J57" s="199">
        <f>+E34+'21'!J57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"/>
  <sheetViews>
    <sheetView zoomScale="80" zoomScaleNormal="80" workbookViewId="0">
      <selection activeCell="D17" sqref="D1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710937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710937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29" ht="15.75">
      <c r="A1" s="147"/>
    </row>
    <row r="2" spans="1:29" ht="15.75">
      <c r="A2" s="147" t="s">
        <v>183</v>
      </c>
    </row>
    <row r="3" spans="1:29" ht="15">
      <c r="A3" s="149"/>
    </row>
    <row r="4" spans="1:29" ht="20.25">
      <c r="A4" s="150" t="s">
        <v>3</v>
      </c>
      <c r="B4" s="151"/>
      <c r="F4" s="152" t="s">
        <v>29</v>
      </c>
      <c r="G4" s="153">
        <v>21</v>
      </c>
      <c r="H4" s="153" t="str">
        <f>+'1'!H4</f>
        <v>.04.26</v>
      </c>
    </row>
    <row r="5" spans="1:29" ht="13.5" thickBot="1">
      <c r="C5" s="154"/>
      <c r="D5" s="154"/>
    </row>
    <row r="6" spans="1:2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2" t="s">
        <v>190</v>
      </c>
      <c r="P6" s="422" t="s">
        <v>190</v>
      </c>
      <c r="Q6" s="422" t="s">
        <v>191</v>
      </c>
      <c r="R6" s="422" t="s">
        <v>192</v>
      </c>
      <c r="S6" s="422" t="s">
        <v>193</v>
      </c>
      <c r="T6" s="422" t="s">
        <v>188</v>
      </c>
      <c r="U6" s="423" t="s">
        <v>194</v>
      </c>
      <c r="V6" s="422" t="s">
        <v>195</v>
      </c>
      <c r="W6" s="422" t="s">
        <v>189</v>
      </c>
      <c r="X6" s="148" t="s">
        <v>663</v>
      </c>
      <c r="Y6" s="148">
        <v>1140</v>
      </c>
      <c r="Z6" s="148">
        <f>+Y6-(Y6*0.25)</f>
        <v>855</v>
      </c>
      <c r="AA6" s="148">
        <v>45</v>
      </c>
      <c r="AB6" s="148">
        <f t="shared" ref="AB6:AB7" si="0">+Y6*AA6</f>
        <v>51300</v>
      </c>
      <c r="AC6" s="148">
        <f t="shared" ref="AC6:AC7" si="1">+Z6*AA6</f>
        <v>38475</v>
      </c>
    </row>
    <row r="7" spans="1:29" ht="13.5" customHeight="1" thickBot="1">
      <c r="A7" s="751" t="s">
        <v>432</v>
      </c>
      <c r="B7" s="214" t="s">
        <v>672</v>
      </c>
      <c r="C7" s="215">
        <v>14693</v>
      </c>
      <c r="D7" s="216"/>
      <c r="E7" s="217"/>
      <c r="F7" s="227">
        <v>4</v>
      </c>
      <c r="G7" s="228" t="s">
        <v>12</v>
      </c>
      <c r="H7" s="229" t="s">
        <v>400</v>
      </c>
      <c r="I7" s="754" t="s">
        <v>677</v>
      </c>
      <c r="J7" s="326" t="str">
        <f>+'20'!J7</f>
        <v>F 11,5 VP OW</v>
      </c>
      <c r="K7" s="237"/>
      <c r="L7" s="241"/>
      <c r="M7" s="116">
        <f>+K7+'20'!M7+L7</f>
        <v>168614</v>
      </c>
      <c r="N7" s="424">
        <v>14.5</v>
      </c>
      <c r="O7" s="198">
        <v>1200</v>
      </c>
      <c r="P7" s="198">
        <v>1120</v>
      </c>
      <c r="Q7" s="198">
        <v>896</v>
      </c>
      <c r="R7" s="425">
        <f>1-(Q7/P7)</f>
        <v>0.19999999999999996</v>
      </c>
      <c r="S7" s="426">
        <v>45</v>
      </c>
      <c r="T7" s="427">
        <v>256.5</v>
      </c>
      <c r="U7" s="428">
        <f>(O7*(1-R7)*N7*T7*S7)/100000000</f>
        <v>1.606716</v>
      </c>
      <c r="V7" s="429">
        <f>+C14/1000</f>
        <v>14.693</v>
      </c>
      <c r="W7" s="430">
        <f>SUM(V7:V9)/SUM(U7:U9)</f>
        <v>0.7034415349263774</v>
      </c>
      <c r="Y7" s="148">
        <f>+Y6+10</f>
        <v>1150</v>
      </c>
      <c r="Z7" s="148">
        <f>+Y7-(Y7*0.25)</f>
        <v>862.5</v>
      </c>
      <c r="AA7" s="148">
        <f>480-AA6</f>
        <v>435</v>
      </c>
      <c r="AB7" s="148">
        <f t="shared" si="0"/>
        <v>500250</v>
      </c>
      <c r="AC7" s="148">
        <f t="shared" si="1"/>
        <v>375187.5</v>
      </c>
    </row>
    <row r="8" spans="1:2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+'20'!J8</f>
        <v>F 14 VP OW</v>
      </c>
      <c r="K8" s="238"/>
      <c r="L8" s="238"/>
      <c r="M8" s="116">
        <f>+K8+'20'!M8+L8</f>
        <v>78398</v>
      </c>
      <c r="N8" s="424">
        <v>18</v>
      </c>
      <c r="O8" s="198">
        <v>1200</v>
      </c>
      <c r="P8" s="198">
        <v>930</v>
      </c>
      <c r="Q8" s="198">
        <v>744</v>
      </c>
      <c r="R8" s="425">
        <f>1-(Q8/P8)</f>
        <v>0.19999999999999996</v>
      </c>
      <c r="S8" s="426">
        <f>480-S7</f>
        <v>435</v>
      </c>
      <c r="T8" s="427">
        <v>256.5</v>
      </c>
      <c r="U8" s="428">
        <f>(O8*(1-R8)*N8*T8*S8)/100000000</f>
        <v>19.280591999999999</v>
      </c>
      <c r="V8" s="429"/>
      <c r="W8" s="431"/>
    </row>
    <row r="9" spans="1:29" ht="13.5" thickBot="1">
      <c r="A9" s="752"/>
      <c r="B9" s="214"/>
      <c r="C9" s="215"/>
      <c r="D9" s="216"/>
      <c r="E9" s="219"/>
      <c r="F9" s="227">
        <v>12</v>
      </c>
      <c r="G9" s="560" t="s">
        <v>12</v>
      </c>
      <c r="H9" s="232" t="s">
        <v>413</v>
      </c>
      <c r="I9" s="755"/>
      <c r="J9" s="213" t="str">
        <f>+'20'!J9</f>
        <v>F 13 VP OW</v>
      </c>
      <c r="K9" s="238"/>
      <c r="L9" s="238"/>
      <c r="M9" s="116">
        <f>+K9+'20'!M9+L9</f>
        <v>22241</v>
      </c>
      <c r="N9" s="432"/>
    </row>
    <row r="10" spans="1:29" ht="13.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673</v>
      </c>
      <c r="I10" s="755"/>
      <c r="J10" s="213" t="str">
        <f>+'20'!J10</f>
        <v>F 12 VP OW</v>
      </c>
      <c r="K10" s="238"/>
      <c r="L10" s="238"/>
      <c r="M10" s="116">
        <f>+K10+'20'!M10+L10</f>
        <v>10321</v>
      </c>
      <c r="N10" s="432"/>
    </row>
    <row r="11" spans="1:29" ht="26.25" thickBot="1">
      <c r="A11" s="752"/>
      <c r="B11" s="214"/>
      <c r="C11" s="215"/>
      <c r="D11" s="216"/>
      <c r="E11" s="218"/>
      <c r="F11" s="227"/>
      <c r="G11" s="231"/>
      <c r="H11" s="232" t="s">
        <v>674</v>
      </c>
      <c r="I11" s="755"/>
      <c r="J11" s="213" t="str">
        <f>+'20'!J11</f>
        <v>F 16 VP OW</v>
      </c>
      <c r="K11" s="238"/>
      <c r="L11" s="238"/>
      <c r="M11" s="116">
        <f>+K11+'20'!M11+L11</f>
        <v>37034</v>
      </c>
      <c r="N11" s="432"/>
    </row>
    <row r="12" spans="1:2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+'20'!J12</f>
        <v>F 15 VP OW</v>
      </c>
      <c r="K12" s="238"/>
      <c r="L12" s="238"/>
      <c r="M12" s="116">
        <f>+K12+'20'!M12+L12</f>
        <v>3202</v>
      </c>
      <c r="N12" s="432"/>
    </row>
    <row r="13" spans="1:2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+'20'!J13</f>
        <v>T 14 VP OW</v>
      </c>
      <c r="K13" s="238"/>
      <c r="L13" s="238"/>
      <c r="M13" s="116">
        <f>+K13+'20'!M13+L13</f>
        <v>5600</v>
      </c>
      <c r="N13" s="433"/>
      <c r="O13" s="434"/>
      <c r="P13" s="434"/>
      <c r="Q13" s="434"/>
      <c r="R13" s="434"/>
      <c r="S13" s="434"/>
      <c r="T13" s="434"/>
      <c r="U13" s="434"/>
      <c r="V13" s="434"/>
      <c r="W13" s="434"/>
    </row>
    <row r="14" spans="1:29" ht="13.5" thickBot="1">
      <c r="A14" s="753"/>
      <c r="B14" s="164" t="s">
        <v>2</v>
      </c>
      <c r="C14" s="98">
        <f>SUM(C7:C13)</f>
        <v>14693</v>
      </c>
      <c r="D14" s="110">
        <f>SUM(D7:D13)</f>
        <v>0</v>
      </c>
      <c r="E14" s="111">
        <f>SUM(E5:E13)</f>
        <v>0</v>
      </c>
      <c r="F14" s="115">
        <f>SUM(F7:F13)</f>
        <v>16</v>
      </c>
      <c r="G14" s="158"/>
      <c r="H14" s="165"/>
      <c r="I14" s="166"/>
      <c r="J14" s="213" t="str">
        <f>+'20'!J14</f>
        <v>T 13 VP OW</v>
      </c>
      <c r="K14" s="238"/>
      <c r="L14" s="238"/>
      <c r="M14" s="116">
        <f>+K14+'20'!M14+L14</f>
        <v>305914</v>
      </c>
      <c r="AA14" s="175">
        <f>SUM(AA6:AA11)</f>
        <v>480</v>
      </c>
      <c r="AB14" s="175">
        <f>SUM(AB6:AB11)</f>
        <v>551550</v>
      </c>
      <c r="AC14" s="175">
        <f>SUM(AC6:AC11)</f>
        <v>413662.5</v>
      </c>
    </row>
    <row r="15" spans="1:29" ht="13.5" customHeight="1" thickBot="1">
      <c r="A15" s="751" t="s">
        <v>390</v>
      </c>
      <c r="B15" s="164"/>
      <c r="C15" s="112">
        <f>C14/($C$23+$D$23+$E$23)</f>
        <v>1.0581160881463345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678</v>
      </c>
      <c r="J15" s="213" t="str">
        <f>+'20'!J15</f>
        <v>T 12 VP OW</v>
      </c>
      <c r="K15" s="238"/>
      <c r="L15" s="238"/>
      <c r="M15" s="116">
        <f>+K15+'20'!M15+L15</f>
        <v>12729</v>
      </c>
      <c r="N15" s="424">
        <v>18</v>
      </c>
      <c r="O15" s="198">
        <v>1200</v>
      </c>
      <c r="P15" s="198">
        <v>850</v>
      </c>
      <c r="Q15" s="198">
        <v>680</v>
      </c>
      <c r="R15" s="425">
        <f>1-(Q15/P15)</f>
        <v>0.19999999999999996</v>
      </c>
      <c r="S15" s="426">
        <v>480</v>
      </c>
      <c r="T15" s="427">
        <v>256.5</v>
      </c>
      <c r="U15" s="428">
        <f>(O15*(1-R15)*N15*T15*S15)/100000000</f>
        <v>21.275136</v>
      </c>
      <c r="V15" s="429">
        <f>+C23/1000</f>
        <v>13.564</v>
      </c>
      <c r="W15" s="430">
        <f>SUM(V15:V17)/SUM(U15:U17)</f>
        <v>0.6375517411498568</v>
      </c>
      <c r="AA15" s="148">
        <f>480-AA14</f>
        <v>0</v>
      </c>
      <c r="AB15" s="175">
        <f>+AB14/AA14</f>
        <v>1149.0625</v>
      </c>
      <c r="AC15" s="175">
        <f>+AC14/AA14</f>
        <v>861.796875</v>
      </c>
    </row>
    <row r="16" spans="1:29" ht="13.5" thickBot="1">
      <c r="A16" s="757"/>
      <c r="B16" s="214" t="s">
        <v>672</v>
      </c>
      <c r="C16" s="221">
        <v>13564</v>
      </c>
      <c r="D16" s="222">
        <v>322</v>
      </c>
      <c r="E16" s="223"/>
      <c r="F16" s="230"/>
      <c r="G16" s="560" t="s">
        <v>12</v>
      </c>
      <c r="H16" s="229" t="s">
        <v>412</v>
      </c>
      <c r="I16" s="755"/>
      <c r="J16" s="213" t="str">
        <f>+'20'!J16</f>
        <v>T 12,5 VP OW</v>
      </c>
      <c r="K16" s="228"/>
      <c r="L16" s="228"/>
      <c r="M16" s="116">
        <f>+K16+'20'!M16+L16</f>
        <v>51474</v>
      </c>
      <c r="N16" s="435"/>
      <c r="O16" s="198"/>
      <c r="P16" s="198"/>
      <c r="Q16" s="436"/>
      <c r="R16" s="425"/>
      <c r="S16" s="198"/>
      <c r="T16" s="427"/>
      <c r="U16" s="428"/>
      <c r="V16" s="429"/>
      <c r="W16" s="431"/>
      <c r="X16" s="148" t="s">
        <v>663</v>
      </c>
      <c r="Y16" s="148">
        <v>1140</v>
      </c>
      <c r="Z16" s="148">
        <f>+Y16-(Y16*0.25)</f>
        <v>855</v>
      </c>
      <c r="AA16" s="148">
        <v>45</v>
      </c>
      <c r="AB16" s="148">
        <f t="shared" ref="AB16:AB17" si="2">+Y16*AA16</f>
        <v>51300</v>
      </c>
      <c r="AC16" s="148">
        <f t="shared" ref="AC16:AC17" si="3">+Z16*AA16</f>
        <v>38475</v>
      </c>
    </row>
    <row r="17" spans="1:29" ht="13.5" thickBot="1">
      <c r="A17" s="757"/>
      <c r="B17" s="214"/>
      <c r="C17" s="215"/>
      <c r="D17" s="216"/>
      <c r="E17" s="224"/>
      <c r="F17" s="227">
        <v>18</v>
      </c>
      <c r="G17" s="560" t="s">
        <v>12</v>
      </c>
      <c r="H17" s="232" t="s">
        <v>413</v>
      </c>
      <c r="I17" s="755"/>
      <c r="J17" s="213" t="str">
        <f>+'20'!J17</f>
        <v>T 13,5 VP OW</v>
      </c>
      <c r="K17" s="228"/>
      <c r="L17" s="228"/>
      <c r="M17" s="116">
        <f>+K17+'20'!M17+L17</f>
        <v>17480</v>
      </c>
      <c r="N17" s="432"/>
      <c r="O17" s="198"/>
      <c r="R17" s="425"/>
      <c r="T17" s="427"/>
      <c r="U17" s="428"/>
      <c r="Y17" s="148">
        <f>+Y16-10</f>
        <v>1130</v>
      </c>
      <c r="Z17" s="148">
        <f>+Y17-(Y17*0.25)</f>
        <v>847.5</v>
      </c>
      <c r="AA17" s="148">
        <f>480-AA16</f>
        <v>435</v>
      </c>
      <c r="AB17" s="148">
        <f t="shared" si="2"/>
        <v>491550</v>
      </c>
      <c r="AC17" s="148">
        <f t="shared" si="3"/>
        <v>368662.5</v>
      </c>
    </row>
    <row r="18" spans="1:29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675</v>
      </c>
      <c r="I18" s="755"/>
      <c r="J18" s="213" t="str">
        <f>+'20'!J18</f>
        <v>F 14,5 VP OW</v>
      </c>
      <c r="K18" s="238">
        <f>+C34</f>
        <v>43083</v>
      </c>
      <c r="L18" s="238"/>
      <c r="M18" s="116">
        <f>+K18+'20'!M18+L18</f>
        <v>75702</v>
      </c>
      <c r="N18" s="432"/>
    </row>
    <row r="19" spans="1:29" ht="13.5" thickBot="1">
      <c r="A19" s="757"/>
      <c r="B19" s="214"/>
      <c r="C19" s="215"/>
      <c r="D19" s="216"/>
      <c r="E19" s="224"/>
      <c r="F19" s="234"/>
      <c r="G19" s="231"/>
      <c r="H19" s="232" t="s">
        <v>676</v>
      </c>
      <c r="I19" s="755"/>
      <c r="J19" s="213">
        <f>+'20'!J19</f>
        <v>0</v>
      </c>
      <c r="K19" s="238"/>
      <c r="L19" s="238"/>
      <c r="M19" s="116">
        <f>+K19+'20'!M19+L19</f>
        <v>0</v>
      </c>
      <c r="N19" s="432"/>
    </row>
    <row r="20" spans="1:2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+'20'!J20</f>
        <v>0</v>
      </c>
      <c r="K20" s="239"/>
      <c r="L20" s="239"/>
      <c r="M20" s="116">
        <f>+K20+'20'!M20+L20</f>
        <v>0</v>
      </c>
      <c r="N20" s="432"/>
    </row>
    <row r="21" spans="1:2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+'20'!J21</f>
        <v>0</v>
      </c>
      <c r="K21" s="238"/>
      <c r="L21" s="238"/>
      <c r="M21" s="116">
        <f>+K21+'20'!M21+L21</f>
        <v>0</v>
      </c>
      <c r="N21" s="433"/>
      <c r="O21" s="434"/>
      <c r="P21" s="434"/>
      <c r="Q21" s="434"/>
      <c r="R21" s="434"/>
      <c r="S21" s="434"/>
      <c r="T21" s="434"/>
      <c r="U21" s="434"/>
      <c r="V21" s="434"/>
      <c r="W21" s="434"/>
    </row>
    <row r="22" spans="1:2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+'20'!J22</f>
        <v>0</v>
      </c>
      <c r="K22" s="238"/>
      <c r="L22" s="238"/>
      <c r="M22" s="116">
        <f>+K22+'20'!M22+L22</f>
        <v>0</v>
      </c>
    </row>
    <row r="23" spans="1:29" ht="13.5" thickBot="1">
      <c r="A23" s="758"/>
      <c r="B23" s="167" t="s">
        <v>2</v>
      </c>
      <c r="C23" s="99">
        <f>SUM(C16:C22)</f>
        <v>13564</v>
      </c>
      <c r="D23" s="110">
        <f>SUM(D16:D22)</f>
        <v>322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+'20'!J23</f>
        <v>0</v>
      </c>
      <c r="K23" s="238"/>
      <c r="L23" s="238"/>
      <c r="M23" s="116">
        <f>+K23+'20'!M23+L23</f>
        <v>0</v>
      </c>
      <c r="N23" s="437"/>
      <c r="O23" s="438"/>
      <c r="P23" s="438"/>
      <c r="Q23" s="438"/>
      <c r="R23" s="438"/>
      <c r="S23" s="438"/>
      <c r="T23" s="438"/>
      <c r="U23" s="438"/>
      <c r="V23" s="438"/>
      <c r="W23" s="438"/>
    </row>
    <row r="24" spans="1:29" ht="13.5" customHeight="1" thickBot="1">
      <c r="A24" s="751" t="s">
        <v>389</v>
      </c>
      <c r="B24" s="169"/>
      <c r="C24" s="112">
        <f>C23/($C$23+$D$23+$E$23)</f>
        <v>0.9768111767247587</v>
      </c>
      <c r="D24" s="113">
        <f>D23/($C$23+$D$23+$E$23)</f>
        <v>2.3188823275241251E-2</v>
      </c>
      <c r="E24" s="114">
        <f>E23/($C$23+$D$23+$E$23)</f>
        <v>0</v>
      </c>
      <c r="F24" s="227"/>
      <c r="G24" s="228" t="s">
        <v>12</v>
      </c>
      <c r="H24" s="229" t="s">
        <v>385</v>
      </c>
      <c r="I24" s="754" t="s">
        <v>549</v>
      </c>
      <c r="J24" s="213">
        <f>+'20'!J24</f>
        <v>0</v>
      </c>
      <c r="K24" s="238"/>
      <c r="L24" s="238"/>
      <c r="M24" s="116">
        <f>+K24+'20'!M24+L24</f>
        <v>0</v>
      </c>
      <c r="N24" s="424">
        <v>14.5</v>
      </c>
      <c r="O24" s="198">
        <v>1130</v>
      </c>
      <c r="P24" s="198">
        <v>1130</v>
      </c>
      <c r="Q24" s="198">
        <v>915</v>
      </c>
      <c r="R24" s="425">
        <f>1-(Q24/P24)</f>
        <v>0.19026548672566368</v>
      </c>
      <c r="S24" s="426">
        <v>9</v>
      </c>
      <c r="T24" s="427">
        <v>266</v>
      </c>
      <c r="U24" s="428">
        <f>(O24*(1-R24)*N24*T24*S24)/100000000</f>
        <v>0.31762394999999999</v>
      </c>
      <c r="V24" s="429">
        <f>+C32/1000</f>
        <v>14.826000000000001</v>
      </c>
      <c r="W24" s="430">
        <f>SUM(V24:V25)/SUM(U24:U25)</f>
        <v>46.677840257323169</v>
      </c>
      <c r="AA24" s="175">
        <f>SUM(AA16:AA21)</f>
        <v>480</v>
      </c>
      <c r="AB24" s="175">
        <f>SUM(AB16:AB21)</f>
        <v>542850</v>
      </c>
      <c r="AC24" s="175">
        <f>SUM(AC16:AC21)</f>
        <v>407137.5</v>
      </c>
    </row>
    <row r="25" spans="1:29" ht="13.5" thickBot="1">
      <c r="A25" s="757"/>
      <c r="B25" s="214" t="s">
        <v>672</v>
      </c>
      <c r="C25" s="225">
        <v>14826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+'20'!J25</f>
        <v>0</v>
      </c>
      <c r="K25" s="238"/>
      <c r="L25" s="238"/>
      <c r="M25" s="116">
        <f>+K25+'20'!M25+L25</f>
        <v>0</v>
      </c>
      <c r="N25" s="424"/>
      <c r="O25" s="198"/>
      <c r="P25" s="198"/>
      <c r="Q25" s="198"/>
      <c r="R25" s="425"/>
      <c r="S25" s="426"/>
      <c r="T25" s="427"/>
      <c r="U25" s="428"/>
      <c r="V25" s="429"/>
      <c r="W25" s="430"/>
      <c r="AA25" s="148">
        <f>480-AA24</f>
        <v>0</v>
      </c>
      <c r="AB25" s="175">
        <f>+AB24/AA24</f>
        <v>1130.9375</v>
      </c>
      <c r="AC25" s="175">
        <f>+AC24/AA24</f>
        <v>848.203125</v>
      </c>
    </row>
    <row r="26" spans="1:29" ht="13.5" thickBot="1">
      <c r="A26" s="757"/>
      <c r="B26" s="214"/>
      <c r="C26" s="225"/>
      <c r="D26" s="216"/>
      <c r="E26" s="226"/>
      <c r="F26" s="227">
        <v>19</v>
      </c>
      <c r="G26" s="560" t="s">
        <v>12</v>
      </c>
      <c r="H26" s="232" t="s">
        <v>413</v>
      </c>
      <c r="I26" s="755"/>
      <c r="J26" s="213">
        <f>+'20'!J26</f>
        <v>0</v>
      </c>
      <c r="K26" s="238"/>
      <c r="L26" s="238"/>
      <c r="M26" s="116">
        <f>+K26+'20'!M26+L26</f>
        <v>0</v>
      </c>
    </row>
    <row r="27" spans="1:29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659</v>
      </c>
      <c r="I27" s="755"/>
      <c r="J27" s="213">
        <f>+'20'!J27</f>
        <v>0</v>
      </c>
      <c r="K27" s="238"/>
      <c r="L27" s="238"/>
      <c r="M27" s="116">
        <f>+K27+'20'!M27+L27</f>
        <v>0</v>
      </c>
    </row>
    <row r="28" spans="1:29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+'20'!J28</f>
        <v>0</v>
      </c>
      <c r="K28" s="238"/>
      <c r="L28" s="238"/>
      <c r="M28" s="116">
        <f>+K28+'20'!M28+L28</f>
        <v>0</v>
      </c>
    </row>
    <row r="29" spans="1:2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+'20'!J29</f>
        <v>0</v>
      </c>
      <c r="K29" s="238"/>
      <c r="L29" s="238"/>
      <c r="M29" s="116">
        <f>+K29+'20'!M29+L29</f>
        <v>0</v>
      </c>
    </row>
    <row r="30" spans="1:2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+'20'!J30</f>
        <v>0</v>
      </c>
      <c r="K30" s="238"/>
      <c r="L30" s="238"/>
      <c r="M30" s="116">
        <f>+K30+'20'!M30+L30</f>
        <v>0</v>
      </c>
      <c r="N30" s="154"/>
    </row>
    <row r="31" spans="1:2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+'20'!J31</f>
        <v>0</v>
      </c>
      <c r="K31" s="238"/>
      <c r="L31" s="238"/>
      <c r="M31" s="116">
        <f>+K31+'20'!M31+L31</f>
        <v>0</v>
      </c>
    </row>
    <row r="32" spans="1:29" ht="13.5" thickBot="1">
      <c r="A32" s="758"/>
      <c r="B32" s="164" t="s">
        <v>2</v>
      </c>
      <c r="C32" s="98">
        <f>SUM(C25:C31)</f>
        <v>14826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+'20'!J32</f>
        <v>0</v>
      </c>
      <c r="K32" s="240"/>
      <c r="L32" s="242"/>
      <c r="M32" s="116">
        <f>+K32+'20'!M32+L32</f>
        <v>0</v>
      </c>
    </row>
    <row r="33" spans="1:14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4" ht="13.5" thickBot="1">
      <c r="A34" s="759" t="s">
        <v>57</v>
      </c>
      <c r="B34" s="760"/>
      <c r="C34" s="106">
        <f>C14+C23+C32</f>
        <v>43083</v>
      </c>
      <c r="D34" s="106">
        <f>D14+D23+D32</f>
        <v>322</v>
      </c>
      <c r="E34" s="106">
        <f>E14+E23+E32</f>
        <v>0</v>
      </c>
      <c r="F34" s="107">
        <f>F14+F23+F32</f>
        <v>53</v>
      </c>
      <c r="H34" s="177"/>
      <c r="I34" s="177"/>
      <c r="J34" s="122" t="s">
        <v>28</v>
      </c>
      <c r="K34" s="123">
        <f>SUM(K7:K32)</f>
        <v>43083</v>
      </c>
      <c r="L34" s="211">
        <f>SUM(L7:L32)</f>
        <v>0</v>
      </c>
      <c r="M34" s="119">
        <f>SUM(M7:M32)</f>
        <v>788709</v>
      </c>
      <c r="N34" s="154"/>
    </row>
    <row r="35" spans="1:14" ht="13.5" thickBot="1">
      <c r="A35" s="178"/>
      <c r="B35" s="179"/>
      <c r="C35" s="103">
        <f>C34/($C$34+$D$34+$E$34)</f>
        <v>0.99258149982720889</v>
      </c>
      <c r="D35" s="103">
        <f>D34/($C$34+$D$34+$E$34)</f>
        <v>7.4185001727911527E-3</v>
      </c>
      <c r="E35" s="108">
        <f>E34/($C$34+$D$34+$E$34)</f>
        <v>0</v>
      </c>
      <c r="K35" s="154"/>
    </row>
    <row r="36" spans="1:14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4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(14.5*1440)/1440*G42*2.74*1440/1000000</f>
        <v>48.915576000000001</v>
      </c>
      <c r="J37" s="124">
        <f>+I37+'20'!J37</f>
        <v>906.97542151925086</v>
      </c>
      <c r="K37" s="125" t="s">
        <v>63</v>
      </c>
    </row>
    <row r="38" spans="1:14" ht="17.45" customHeight="1">
      <c r="A38" s="763" t="s">
        <v>12</v>
      </c>
      <c r="B38" s="764"/>
      <c r="C38" s="163">
        <f>SUMIF($G$7:$G$31,"Process",$F$7:$F$31)</f>
        <v>53</v>
      </c>
      <c r="D38" s="117">
        <f>+C38+'20'!D38</f>
        <v>1302</v>
      </c>
      <c r="E38" s="142">
        <f t="shared" ref="E38:E51" si="4">D38/60</f>
        <v>21.7</v>
      </c>
      <c r="F38" s="321">
        <v>1149.0625</v>
      </c>
      <c r="G38" s="321">
        <v>861.796875</v>
      </c>
      <c r="H38" s="186" t="s">
        <v>64</v>
      </c>
      <c r="I38" s="244">
        <f>13.795+14.7+15.571</f>
        <v>44.065999999999995</v>
      </c>
      <c r="J38" s="126">
        <f>+I38+'20'!J38</f>
        <v>816.06499999999994</v>
      </c>
      <c r="K38" s="127" t="s">
        <v>63</v>
      </c>
    </row>
    <row r="39" spans="1:14" ht="17.45" customHeight="1">
      <c r="A39" s="765" t="s">
        <v>13</v>
      </c>
      <c r="B39" s="766"/>
      <c r="C39" s="163">
        <f>SUMIF($G$7:$G$31,"Cleaning",$F$7:$F$31)</f>
        <v>0</v>
      </c>
      <c r="D39" s="117">
        <f>+C39+'20'!D39</f>
        <v>33</v>
      </c>
      <c r="E39" s="142">
        <f t="shared" si="4"/>
        <v>0.55000000000000004</v>
      </c>
      <c r="F39" s="321">
        <v>1130.9375</v>
      </c>
      <c r="G39" s="321">
        <v>848.203125</v>
      </c>
      <c r="H39" s="186" t="s">
        <v>65</v>
      </c>
      <c r="I39" s="141"/>
      <c r="J39" s="128">
        <f>J37/G4</f>
        <v>43.189305786630996</v>
      </c>
      <c r="K39" s="129" t="s">
        <v>63</v>
      </c>
    </row>
    <row r="40" spans="1:14" ht="17.45" customHeight="1">
      <c r="A40" s="765" t="s">
        <v>66</v>
      </c>
      <c r="B40" s="766"/>
      <c r="C40" s="163">
        <f>SUMIF($G$7:$G$31,"Mechanical",$F$7:$F$31)</f>
        <v>0</v>
      </c>
      <c r="D40" s="117">
        <f>+C40+'20'!D40</f>
        <v>206</v>
      </c>
      <c r="E40" s="142">
        <f t="shared" si="4"/>
        <v>3.4333333333333331</v>
      </c>
      <c r="F40" s="321">
        <v>1140</v>
      </c>
      <c r="G40" s="321">
        <v>855</v>
      </c>
      <c r="H40" s="186" t="s">
        <v>67</v>
      </c>
      <c r="I40" s="117">
        <f>(K34+L34)/1000</f>
        <v>43.082999999999998</v>
      </c>
      <c r="J40" s="130">
        <f>+I40+'20'!J40</f>
        <v>788.70899999999995</v>
      </c>
      <c r="K40" s="129" t="s">
        <v>63</v>
      </c>
    </row>
    <row r="41" spans="1:14" ht="17.45" customHeight="1">
      <c r="A41" s="765" t="s">
        <v>68</v>
      </c>
      <c r="B41" s="766"/>
      <c r="C41" s="163">
        <f>SUMIF($G$7:$G$31,"Electrical",$F$7:$F$31)</f>
        <v>0</v>
      </c>
      <c r="D41" s="117">
        <f>+C41+'20'!D41</f>
        <v>0</v>
      </c>
      <c r="E41" s="142">
        <f t="shared" si="4"/>
        <v>0</v>
      </c>
      <c r="F41" s="321"/>
      <c r="G41" s="321"/>
      <c r="H41" s="186" t="s">
        <v>69</v>
      </c>
      <c r="I41" s="141"/>
      <c r="J41" s="128">
        <f>J40/G4</f>
        <v>37.557571428571428</v>
      </c>
      <c r="K41" s="129" t="s">
        <v>63</v>
      </c>
    </row>
    <row r="42" spans="1:14" ht="17.45" customHeight="1">
      <c r="A42" s="765" t="s">
        <v>16</v>
      </c>
      <c r="B42" s="766"/>
      <c r="C42" s="163">
        <f>SUMIF($G$7:$G$31,"Instrument",$F$7:$F$31)</f>
        <v>0</v>
      </c>
      <c r="D42" s="117">
        <f>+C42+'20'!D42</f>
        <v>0</v>
      </c>
      <c r="E42" s="142">
        <f t="shared" si="4"/>
        <v>0</v>
      </c>
      <c r="F42" s="321">
        <f>+(480*F38+480*F39+480*F40)/1440</f>
        <v>1140</v>
      </c>
      <c r="G42" s="321">
        <f>+(480*G38+480*G39+480*G40)/1440</f>
        <v>855</v>
      </c>
      <c r="H42" s="186" t="s">
        <v>70</v>
      </c>
      <c r="I42" s="245" t="s">
        <v>549</v>
      </c>
      <c r="J42" s="131"/>
      <c r="K42" s="129" t="s">
        <v>71</v>
      </c>
    </row>
    <row r="43" spans="1:14" ht="17.45" customHeight="1">
      <c r="A43" s="765" t="s">
        <v>72</v>
      </c>
      <c r="B43" s="766"/>
      <c r="C43" s="163">
        <f>SUMIF($G$7:$G$31,"Water",$F$7:$F$31)</f>
        <v>0</v>
      </c>
      <c r="D43" s="117">
        <f>+C43+'20'!D43</f>
        <v>0</v>
      </c>
      <c r="E43" s="142">
        <f t="shared" si="4"/>
        <v>0</v>
      </c>
      <c r="F43" s="321"/>
      <c r="G43" s="322"/>
      <c r="H43" s="187" t="s">
        <v>73</v>
      </c>
      <c r="I43" s="117">
        <f>+Report1!Z29</f>
        <v>56.7</v>
      </c>
      <c r="J43" s="132">
        <f>+I43+'20'!J43</f>
        <v>1144.8999999999999</v>
      </c>
      <c r="K43" s="129" t="s">
        <v>63</v>
      </c>
      <c r="L43" s="188"/>
    </row>
    <row r="44" spans="1:14" ht="17.45" customHeight="1">
      <c r="A44" s="765" t="s">
        <v>17</v>
      </c>
      <c r="B44" s="766"/>
      <c r="C44" s="163">
        <f>SUMIF($G$7:$G$31,"PLN",$F$7:$F$31)</f>
        <v>0</v>
      </c>
      <c r="D44" s="117">
        <f>+C44+'20'!D44</f>
        <v>438</v>
      </c>
      <c r="E44" s="142">
        <f t="shared" si="4"/>
        <v>7.3</v>
      </c>
      <c r="F44" s="321"/>
      <c r="G44" s="322"/>
      <c r="H44" s="187" t="s">
        <v>74</v>
      </c>
      <c r="I44" s="117">
        <f>I43/I38</f>
        <v>1.2867063041800937</v>
      </c>
      <c r="J44" s="133">
        <f>J43/J38</f>
        <v>1.402951970737625</v>
      </c>
      <c r="K44" s="129" t="s">
        <v>63</v>
      </c>
    </row>
    <row r="45" spans="1:14" ht="17.45" customHeight="1">
      <c r="A45" s="765" t="s">
        <v>18</v>
      </c>
      <c r="B45" s="766"/>
      <c r="C45" s="163">
        <f>SUMIF($G$7:$G$31,"Boiler",$F$7:$F$31)</f>
        <v>0</v>
      </c>
      <c r="D45" s="117">
        <f>+C45+'20'!D45</f>
        <v>0</v>
      </c>
      <c r="E45" s="142">
        <f t="shared" si="4"/>
        <v>0</v>
      </c>
      <c r="F45" s="321"/>
      <c r="G45" s="324"/>
      <c r="H45" s="187" t="s">
        <v>75</v>
      </c>
      <c r="I45" s="117">
        <f>I43/I40</f>
        <v>1.3160643409233341</v>
      </c>
      <c r="J45" s="133">
        <f>J43/J40</f>
        <v>1.4516126987266533</v>
      </c>
      <c r="K45" s="129" t="s">
        <v>63</v>
      </c>
    </row>
    <row r="46" spans="1:14" ht="17.45" customHeight="1">
      <c r="A46" s="765" t="s">
        <v>76</v>
      </c>
      <c r="B46" s="766"/>
      <c r="C46" s="163">
        <f>SUMIF($G$7:$G$31,"Gas",$F$7:$F$31)</f>
        <v>0</v>
      </c>
      <c r="D46" s="117">
        <f>+C46+'20'!D46</f>
        <v>0</v>
      </c>
      <c r="E46" s="142">
        <f t="shared" si="4"/>
        <v>0</v>
      </c>
      <c r="F46" s="321"/>
      <c r="G46" s="322"/>
      <c r="H46" s="187" t="s">
        <v>77</v>
      </c>
      <c r="I46" s="139">
        <f>+SUMIF(Listrik!P28,"&gt;0")</f>
        <v>36187.339999998541</v>
      </c>
      <c r="J46" s="134">
        <f>+I46+'20'!J46</f>
        <v>742026.56</v>
      </c>
      <c r="K46" s="129" t="s">
        <v>78</v>
      </c>
    </row>
    <row r="47" spans="1:14" ht="17.45" customHeight="1">
      <c r="A47" s="765" t="s">
        <v>79</v>
      </c>
      <c r="B47" s="766"/>
      <c r="C47" s="163">
        <f>SUMIF($G$7:$G$31,"Gas",$F$7:$F$31)</f>
        <v>0</v>
      </c>
      <c r="D47" s="117">
        <f>+C47+'20'!D47</f>
        <v>0</v>
      </c>
      <c r="E47" s="142">
        <f t="shared" si="4"/>
        <v>0</v>
      </c>
      <c r="F47" s="321"/>
      <c r="G47" s="322"/>
      <c r="H47" s="187" t="s">
        <v>80</v>
      </c>
      <c r="I47" s="117">
        <f>I46/I38</f>
        <v>821.20773385373184</v>
      </c>
      <c r="J47" s="134">
        <f>J46/J38</f>
        <v>909.27384460796645</v>
      </c>
      <c r="K47" s="129" t="s">
        <v>24</v>
      </c>
    </row>
    <row r="48" spans="1:14" ht="17.45" customHeight="1">
      <c r="A48" s="765" t="s">
        <v>14</v>
      </c>
      <c r="B48" s="766"/>
      <c r="C48" s="163">
        <f>SUMIF($G$7:$G$31,"Start Up",$F$7:$F$31)</f>
        <v>0</v>
      </c>
      <c r="D48" s="117">
        <f>+C48+'20'!D48</f>
        <v>0</v>
      </c>
      <c r="E48" s="142">
        <f t="shared" si="4"/>
        <v>0</v>
      </c>
      <c r="F48" s="321"/>
      <c r="G48" s="322"/>
      <c r="H48" s="187" t="s">
        <v>81</v>
      </c>
      <c r="I48" s="117">
        <f>I46/I40</f>
        <v>839.94475779306322</v>
      </c>
      <c r="J48" s="134">
        <f>J46/J40</f>
        <v>940.81157942916855</v>
      </c>
      <c r="K48" s="129" t="s">
        <v>24</v>
      </c>
    </row>
    <row r="49" spans="1:23" ht="17.45" customHeight="1">
      <c r="A49" s="771" t="s">
        <v>20</v>
      </c>
      <c r="B49" s="766"/>
      <c r="C49" s="163">
        <f>SUMIF($G$7:$G$31,"Others",$F$7:$F$31)</f>
        <v>0</v>
      </c>
      <c r="D49" s="117">
        <f>+C49+'20'!D49</f>
        <v>0</v>
      </c>
      <c r="E49" s="142">
        <f t="shared" si="4"/>
        <v>0</v>
      </c>
      <c r="F49" s="184"/>
      <c r="H49" s="187" t="s">
        <v>270</v>
      </c>
      <c r="I49" s="117">
        <f>+Report1!T29</f>
        <v>5839.5320090539617</v>
      </c>
      <c r="J49" s="134">
        <f>+I49+'20'!J49</f>
        <v>107348.79177528279</v>
      </c>
      <c r="K49" s="129" t="s">
        <v>82</v>
      </c>
    </row>
    <row r="50" spans="1:23" ht="17.45" customHeight="1">
      <c r="A50" s="765" t="s">
        <v>19</v>
      </c>
      <c r="B50" s="766"/>
      <c r="C50" s="163">
        <f>SUMIF($G$7:$G$31,"Steam",$F$7:$F$31)</f>
        <v>0</v>
      </c>
      <c r="D50" s="117">
        <f>+C50+'20'!D50</f>
        <v>0</v>
      </c>
      <c r="E50" s="142">
        <f t="shared" si="4"/>
        <v>0</v>
      </c>
      <c r="F50" s="184"/>
      <c r="H50" s="187" t="s">
        <v>83</v>
      </c>
      <c r="I50" s="139">
        <f>I49/I38</f>
        <v>132.51785977973861</v>
      </c>
      <c r="J50" s="132">
        <f>J49/J38</f>
        <v>131.54441346618566</v>
      </c>
      <c r="K50" s="129" t="s">
        <v>82</v>
      </c>
    </row>
    <row r="51" spans="1:23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+C51+'20'!D51</f>
        <v>738</v>
      </c>
      <c r="E51" s="142">
        <f t="shared" si="4"/>
        <v>12.3</v>
      </c>
      <c r="F51" s="184"/>
      <c r="H51" s="189" t="s">
        <v>85</v>
      </c>
      <c r="I51" s="140">
        <f>I49/I40</f>
        <v>135.54144347083448</v>
      </c>
      <c r="J51" s="135">
        <f>J49/J40</f>
        <v>136.10696945930982</v>
      </c>
      <c r="K51" s="136" t="s">
        <v>82</v>
      </c>
    </row>
    <row r="52" spans="1:23" ht="13.5" thickBot="1">
      <c r="A52" s="763" t="s">
        <v>28</v>
      </c>
      <c r="B52" s="764"/>
      <c r="C52" s="143">
        <f>SUM(C38:C51)</f>
        <v>53</v>
      </c>
      <c r="D52" s="143">
        <f>SUM(D38:D51)</f>
        <v>2717</v>
      </c>
      <c r="E52" s="144">
        <f>SUM(E38:E51)</f>
        <v>45.283333333333331</v>
      </c>
      <c r="F52" s="184"/>
      <c r="H52" s="190"/>
      <c r="I52" s="191"/>
      <c r="J52" s="137"/>
      <c r="K52" s="138"/>
    </row>
    <row r="53" spans="1:23" ht="13.5" thickBot="1">
      <c r="A53" s="769"/>
      <c r="B53" s="770"/>
      <c r="C53" s="145">
        <f>C52/(24*60)</f>
        <v>3.6805555555555557E-2</v>
      </c>
      <c r="D53" s="145">
        <f>D52/(24*60*G4)</f>
        <v>8.9847883597883593E-2</v>
      </c>
      <c r="E53" s="146">
        <f>E52/(G4*24)</f>
        <v>8.9847883597883593E-2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+D34+'20'!J56</f>
        <v>3133</v>
      </c>
      <c r="K56" s="200">
        <f>J56/(J40+J56/1000)/1000</f>
        <v>3.956597402006966E-3</v>
      </c>
    </row>
    <row r="57" spans="1:23">
      <c r="A57" s="175"/>
      <c r="I57" s="198" t="s">
        <v>88</v>
      </c>
      <c r="J57" s="199">
        <f>+E34+'20'!J57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topLeftCell="A25"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425781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20</v>
      </c>
      <c r="H4" s="153" t="str">
        <f>+'1'!H4</f>
        <v>.04.26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648</v>
      </c>
      <c r="O6" s="148">
        <v>1120</v>
      </c>
      <c r="P6" s="148">
        <f>+O6-(O6*0.22)</f>
        <v>873.6</v>
      </c>
      <c r="Q6" s="148">
        <f>60+20</f>
        <v>80</v>
      </c>
      <c r="R6" s="148">
        <f t="shared" ref="R6:R8" si="0">+O6*Q6</f>
        <v>89600</v>
      </c>
      <c r="S6" s="148">
        <f t="shared" ref="S6:S8" si="1">+P6*Q6</f>
        <v>69888</v>
      </c>
      <c r="U6" s="148" t="s">
        <v>663</v>
      </c>
      <c r="V6" s="148">
        <v>1150</v>
      </c>
      <c r="W6" s="148">
        <v>856.75</v>
      </c>
      <c r="X6" s="148">
        <v>287</v>
      </c>
      <c r="Y6" s="148">
        <f t="shared" ref="Y6:Y8" si="2">+V6*X6</f>
        <v>330050</v>
      </c>
      <c r="Z6" s="148">
        <f t="shared" ref="Z6:Z8" si="3">+W6*X6</f>
        <v>245887.25</v>
      </c>
    </row>
    <row r="7" spans="1:26" ht="13.5" customHeight="1" thickBot="1">
      <c r="A7" s="751" t="s">
        <v>432</v>
      </c>
      <c r="B7" s="214" t="s">
        <v>656</v>
      </c>
      <c r="C7" s="215">
        <v>5746</v>
      </c>
      <c r="D7" s="216"/>
      <c r="E7" s="217"/>
      <c r="F7" s="227">
        <v>4</v>
      </c>
      <c r="G7" s="228" t="s">
        <v>12</v>
      </c>
      <c r="H7" s="229" t="s">
        <v>400</v>
      </c>
      <c r="I7" s="754" t="s">
        <v>665</v>
      </c>
      <c r="J7" s="213" t="str">
        <f>+'19'!J7</f>
        <v>F 11,5 VP OW</v>
      </c>
      <c r="K7" s="237"/>
      <c r="L7" s="241"/>
      <c r="M7" s="116">
        <f>+K7+'19'!M7+L7</f>
        <v>168614</v>
      </c>
      <c r="N7" s="148" t="s">
        <v>460</v>
      </c>
      <c r="O7" s="148">
        <v>1230</v>
      </c>
      <c r="P7" s="148">
        <f>+O7-(O7*0.25)</f>
        <v>922.5</v>
      </c>
      <c r="Q7" s="148">
        <f>60-20+60+13</f>
        <v>113</v>
      </c>
      <c r="R7" s="148">
        <f t="shared" si="0"/>
        <v>138990</v>
      </c>
      <c r="S7" s="148">
        <f t="shared" si="1"/>
        <v>104242.5</v>
      </c>
      <c r="U7" s="148" t="s">
        <v>663</v>
      </c>
      <c r="V7" s="148">
        <v>1160</v>
      </c>
      <c r="W7" s="148">
        <v>870</v>
      </c>
      <c r="X7" s="148">
        <v>480</v>
      </c>
      <c r="Y7" s="148">
        <f t="shared" si="2"/>
        <v>556800</v>
      </c>
      <c r="Z7" s="148">
        <f t="shared" si="3"/>
        <v>417600</v>
      </c>
    </row>
    <row r="8" spans="1:26" ht="13.5" thickBot="1">
      <c r="A8" s="752"/>
      <c r="B8" s="214" t="s">
        <v>469</v>
      </c>
      <c r="C8" s="215">
        <v>2676</v>
      </c>
      <c r="D8" s="216"/>
      <c r="E8" s="218"/>
      <c r="F8" s="230"/>
      <c r="G8" s="560" t="s">
        <v>12</v>
      </c>
      <c r="H8" s="229" t="s">
        <v>412</v>
      </c>
      <c r="I8" s="755"/>
      <c r="J8" s="213" t="str">
        <f>+'19'!J8</f>
        <v>F 14 VP OW</v>
      </c>
      <c r="K8" s="238"/>
      <c r="L8" s="238"/>
      <c r="M8" s="116">
        <f>+K8+'19'!M8+L8</f>
        <v>78398</v>
      </c>
      <c r="N8" s="148" t="s">
        <v>663</v>
      </c>
      <c r="O8" s="148">
        <v>1150</v>
      </c>
      <c r="P8" s="148">
        <f>+O8-(O8*0.255)</f>
        <v>856.75</v>
      </c>
      <c r="Q8" s="148">
        <f>60-13+240</f>
        <v>287</v>
      </c>
      <c r="R8" s="148">
        <f t="shared" si="0"/>
        <v>330050</v>
      </c>
      <c r="S8" s="148">
        <f t="shared" si="1"/>
        <v>245887.25</v>
      </c>
      <c r="U8" s="148" t="s">
        <v>663</v>
      </c>
      <c r="V8" s="148">
        <v>1140</v>
      </c>
      <c r="W8" s="148">
        <v>855</v>
      </c>
      <c r="X8" s="148">
        <v>78</v>
      </c>
      <c r="Y8" s="148">
        <f t="shared" si="2"/>
        <v>88920</v>
      </c>
      <c r="Z8" s="148">
        <f t="shared" si="3"/>
        <v>66690</v>
      </c>
    </row>
    <row r="9" spans="1:26" ht="13.5" thickBot="1">
      <c r="A9" s="752"/>
      <c r="B9" s="214" t="s">
        <v>672</v>
      </c>
      <c r="C9" s="215">
        <v>3614</v>
      </c>
      <c r="D9" s="216">
        <v>322</v>
      </c>
      <c r="E9" s="219"/>
      <c r="F9" s="227">
        <f>22-4</f>
        <v>18</v>
      </c>
      <c r="G9" s="560" t="s">
        <v>12</v>
      </c>
      <c r="H9" s="232" t="s">
        <v>667</v>
      </c>
      <c r="I9" s="755"/>
      <c r="J9" s="213" t="str">
        <f>+'19'!J9</f>
        <v>F 13 VP OW</v>
      </c>
      <c r="K9" s="238"/>
      <c r="L9" s="238"/>
      <c r="M9" s="116">
        <f>+K9+'19'!M9+L9</f>
        <v>22241</v>
      </c>
      <c r="V9" s="148">
        <v>1130</v>
      </c>
      <c r="W9" s="148">
        <v>847.5</v>
      </c>
      <c r="X9" s="148">
        <v>402</v>
      </c>
      <c r="Y9" s="148">
        <f t="shared" ref="Y9" si="4">+V9*X9</f>
        <v>454260</v>
      </c>
      <c r="Z9" s="148">
        <f t="shared" ref="Z9" si="5">+W9*X9</f>
        <v>340695</v>
      </c>
    </row>
    <row r="10" spans="1:26" ht="51.7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661</v>
      </c>
      <c r="I10" s="755"/>
      <c r="J10" s="213" t="str">
        <f>+'19'!J10</f>
        <v>F 12 VP OW</v>
      </c>
      <c r="K10" s="238">
        <f>+C8</f>
        <v>2676</v>
      </c>
      <c r="L10" s="238"/>
      <c r="M10" s="116">
        <f>+K10+'19'!M10+L10</f>
        <v>10321</v>
      </c>
    </row>
    <row r="11" spans="1:26" ht="79.5" customHeight="1" thickBot="1">
      <c r="A11" s="752"/>
      <c r="B11" s="214"/>
      <c r="C11" s="215"/>
      <c r="D11" s="216"/>
      <c r="E11" s="218"/>
      <c r="F11" s="227"/>
      <c r="G11" s="231"/>
      <c r="H11" s="232" t="s">
        <v>662</v>
      </c>
      <c r="I11" s="755"/>
      <c r="J11" s="213" t="str">
        <f>+'19'!J11</f>
        <v>F 16 VP OW</v>
      </c>
      <c r="K11" s="238"/>
      <c r="L11" s="238"/>
      <c r="M11" s="116">
        <f>+K11+'19'!M11+L11</f>
        <v>37034</v>
      </c>
    </row>
    <row r="12" spans="1:2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+'19'!J12</f>
        <v>F 15 VP OW</v>
      </c>
      <c r="K12" s="238"/>
      <c r="L12" s="238"/>
      <c r="M12" s="116">
        <f>+K12+'19'!M12+L12</f>
        <v>3202</v>
      </c>
    </row>
    <row r="13" spans="1:2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+'19'!J13</f>
        <v>T 14 VP OW</v>
      </c>
      <c r="K13" s="238"/>
      <c r="L13" s="238"/>
      <c r="M13" s="116">
        <f>+K13+'19'!M13+L13</f>
        <v>5600</v>
      </c>
    </row>
    <row r="14" spans="1:26" ht="13.5" thickBot="1">
      <c r="A14" s="753"/>
      <c r="B14" s="164" t="s">
        <v>2</v>
      </c>
      <c r="C14" s="98">
        <f>SUM(C7:C13)</f>
        <v>12036</v>
      </c>
      <c r="D14" s="110">
        <f>SUM(D7:D13)</f>
        <v>322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 t="str">
        <f>+'19'!J14</f>
        <v>T 13 VP OW</v>
      </c>
      <c r="K14" s="238"/>
      <c r="L14" s="238"/>
      <c r="M14" s="116">
        <f>+K14+'19'!M14+L14</f>
        <v>305914</v>
      </c>
      <c r="Q14" s="175">
        <f>SUM(Q6:Q11)</f>
        <v>480</v>
      </c>
      <c r="R14" s="175">
        <f>SUM(R6:R11)</f>
        <v>558640</v>
      </c>
      <c r="S14" s="175">
        <f>SUM(S6:S11)</f>
        <v>420017.75</v>
      </c>
      <c r="X14" s="175">
        <f>SUM(X6:X11)</f>
        <v>1247</v>
      </c>
      <c r="Y14" s="175">
        <f>SUM(Y6:Y11)</f>
        <v>1430030</v>
      </c>
      <c r="Z14" s="175">
        <f>SUM(Z6:Z11)</f>
        <v>1070872.25</v>
      </c>
    </row>
    <row r="15" spans="1:26" ht="13.5" customHeight="1" thickBot="1">
      <c r="A15" s="751" t="s">
        <v>390</v>
      </c>
      <c r="B15" s="164"/>
      <c r="C15" s="112">
        <f>C14/($C$23+$D$23+$E$23)</f>
        <v>0.77661633759194737</v>
      </c>
      <c r="D15" s="113">
        <f>D14/($C$23+$D$23+$E$23)</f>
        <v>2.077687443541102E-2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546</v>
      </c>
      <c r="J15" s="213" t="str">
        <f>+'19'!J15</f>
        <v>T 12 VP OW</v>
      </c>
      <c r="K15" s="238"/>
      <c r="L15" s="238"/>
      <c r="M15" s="116">
        <f>+K15+'19'!M15+L15</f>
        <v>12729</v>
      </c>
      <c r="Q15" s="148">
        <f>480-Q14</f>
        <v>0</v>
      </c>
      <c r="R15" s="175">
        <f>+R14/Q14</f>
        <v>1163.8333333333333</v>
      </c>
      <c r="S15" s="175">
        <f>+S14/Q14</f>
        <v>875.0369791666667</v>
      </c>
      <c r="X15" s="148">
        <f>480-X14</f>
        <v>-767</v>
      </c>
      <c r="Y15" s="175">
        <f>+Y14/X14</f>
        <v>1146.776263031275</v>
      </c>
      <c r="Z15" s="175">
        <f>+Z14/X14</f>
        <v>858.75882117080994</v>
      </c>
    </row>
    <row r="16" spans="1:26" ht="13.5" thickBot="1">
      <c r="A16" s="757"/>
      <c r="B16" s="214" t="s">
        <v>672</v>
      </c>
      <c r="C16" s="221">
        <v>15498</v>
      </c>
      <c r="D16" s="222"/>
      <c r="E16" s="223"/>
      <c r="F16" s="230"/>
      <c r="G16" s="560" t="s">
        <v>12</v>
      </c>
      <c r="H16" s="229" t="s">
        <v>412</v>
      </c>
      <c r="I16" s="755"/>
      <c r="J16" s="213" t="str">
        <f>+'19'!J16</f>
        <v>T 12,5 VP OW</v>
      </c>
      <c r="K16" s="228"/>
      <c r="L16" s="228"/>
      <c r="M16" s="116">
        <f>+K16+'19'!M16+L16</f>
        <v>51474</v>
      </c>
    </row>
    <row r="17" spans="1:19" ht="13.5" thickBot="1">
      <c r="A17" s="757"/>
      <c r="B17" s="214"/>
      <c r="C17" s="215"/>
      <c r="D17" s="216"/>
      <c r="E17" s="224"/>
      <c r="F17" s="227">
        <f>22-4</f>
        <v>18</v>
      </c>
      <c r="G17" s="560" t="s">
        <v>12</v>
      </c>
      <c r="H17" s="232" t="s">
        <v>413</v>
      </c>
      <c r="I17" s="755"/>
      <c r="J17" s="213" t="str">
        <f>+'19'!J17</f>
        <v>T 13,5 VP OW</v>
      </c>
      <c r="K17" s="228">
        <f>+C7</f>
        <v>5746</v>
      </c>
      <c r="L17" s="228"/>
      <c r="M17" s="116">
        <f>+K17+'19'!M17+L17</f>
        <v>17480</v>
      </c>
      <c r="N17" s="148" t="s">
        <v>663</v>
      </c>
      <c r="O17" s="148">
        <v>1160</v>
      </c>
      <c r="P17" s="148">
        <f>+O17-(O17*0.25)</f>
        <v>870</v>
      </c>
      <c r="Q17" s="148">
        <v>480</v>
      </c>
      <c r="R17" s="148">
        <f t="shared" ref="R17" si="6">+O17*Q17</f>
        <v>556800</v>
      </c>
      <c r="S17" s="148">
        <f t="shared" ref="S17" si="7">+P17*Q17</f>
        <v>417600</v>
      </c>
    </row>
    <row r="18" spans="1:19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657</v>
      </c>
      <c r="I18" s="755"/>
      <c r="J18" s="213" t="s">
        <v>672</v>
      </c>
      <c r="K18" s="238">
        <f>+C9+C16+C25</f>
        <v>32619</v>
      </c>
      <c r="L18" s="238"/>
      <c r="M18" s="116">
        <f>+K18+'19'!M18+L18</f>
        <v>32619</v>
      </c>
    </row>
    <row r="19" spans="1:19" ht="26.25" thickBot="1">
      <c r="A19" s="757"/>
      <c r="B19" s="214"/>
      <c r="C19" s="215"/>
      <c r="D19" s="216"/>
      <c r="E19" s="224"/>
      <c r="F19" s="234"/>
      <c r="G19" s="231"/>
      <c r="H19" s="232" t="s">
        <v>658</v>
      </c>
      <c r="I19" s="755"/>
      <c r="J19" s="213">
        <f>+'19'!J19</f>
        <v>0</v>
      </c>
      <c r="K19" s="238"/>
      <c r="L19" s="238"/>
      <c r="M19" s="116">
        <f>+K19+'19'!M19+L19</f>
        <v>0</v>
      </c>
    </row>
    <row r="20" spans="1:1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+'19'!J20</f>
        <v>0</v>
      </c>
      <c r="K20" s="239"/>
      <c r="L20" s="239"/>
      <c r="M20" s="116">
        <f>+K20+'19'!M20+L20</f>
        <v>0</v>
      </c>
    </row>
    <row r="21" spans="1:1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+'19'!J21</f>
        <v>0</v>
      </c>
      <c r="K21" s="238"/>
      <c r="L21" s="238"/>
      <c r="M21" s="116">
        <f>+K21+'19'!M21+L21</f>
        <v>0</v>
      </c>
    </row>
    <row r="22" spans="1:1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+'19'!J22</f>
        <v>0</v>
      </c>
      <c r="K22" s="238"/>
      <c r="L22" s="238"/>
      <c r="M22" s="116">
        <f>+K22+'19'!M22+L22</f>
        <v>0</v>
      </c>
    </row>
    <row r="23" spans="1:19" ht="13.5" thickBot="1">
      <c r="A23" s="758"/>
      <c r="B23" s="167" t="s">
        <v>2</v>
      </c>
      <c r="C23" s="99">
        <f>SUM(C16:C22)</f>
        <v>15498</v>
      </c>
      <c r="D23" s="110">
        <f>SUM(D16:D22)</f>
        <v>0</v>
      </c>
      <c r="E23" s="111">
        <f>SUM(E18:E22)</f>
        <v>0</v>
      </c>
      <c r="F23" s="115">
        <f>SUM(F15:F22)</f>
        <v>22</v>
      </c>
      <c r="G23" s="158"/>
      <c r="H23" s="165"/>
      <c r="I23" s="168"/>
      <c r="J23" s="213">
        <f>+'19'!J23</f>
        <v>0</v>
      </c>
      <c r="K23" s="238"/>
      <c r="L23" s="238"/>
      <c r="M23" s="116">
        <f>+K23+'19'!M23+L23</f>
        <v>0</v>
      </c>
    </row>
    <row r="24" spans="1:19" ht="13.5" customHeight="1" thickBot="1">
      <c r="A24" s="751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664</v>
      </c>
      <c r="J24" s="213">
        <f>+'19'!J24</f>
        <v>0</v>
      </c>
      <c r="K24" s="238"/>
      <c r="L24" s="238"/>
      <c r="M24" s="116">
        <f>+K24+'19'!M24+L24</f>
        <v>0</v>
      </c>
    </row>
    <row r="25" spans="1:19" ht="13.5" thickBot="1">
      <c r="A25" s="757"/>
      <c r="B25" s="214" t="s">
        <v>672</v>
      </c>
      <c r="C25" s="225">
        <v>13507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+'19'!J25</f>
        <v>0</v>
      </c>
      <c r="K25" s="238"/>
      <c r="L25" s="238"/>
      <c r="M25" s="116">
        <f>+K25+'19'!M25+L25</f>
        <v>0</v>
      </c>
      <c r="Q25" s="175">
        <f>SUM(Q17:Q22)</f>
        <v>480</v>
      </c>
      <c r="R25" s="175">
        <f>SUM(R17:R22)</f>
        <v>556800</v>
      </c>
      <c r="S25" s="175">
        <f>SUM(S17:S22)</f>
        <v>417600</v>
      </c>
    </row>
    <row r="26" spans="1:19" ht="13.5" thickBot="1">
      <c r="A26" s="757"/>
      <c r="B26" s="214"/>
      <c r="C26" s="225"/>
      <c r="D26" s="216"/>
      <c r="E26" s="226"/>
      <c r="F26" s="227">
        <f>22-4</f>
        <v>18</v>
      </c>
      <c r="G26" s="560" t="s">
        <v>12</v>
      </c>
      <c r="H26" s="232" t="s">
        <v>386</v>
      </c>
      <c r="I26" s="755"/>
      <c r="J26" s="213">
        <f>+'19'!J26</f>
        <v>0</v>
      </c>
      <c r="K26" s="238"/>
      <c r="L26" s="238"/>
      <c r="M26" s="116">
        <f>+K26+'19'!M26+L26</f>
        <v>0</v>
      </c>
      <c r="Q26" s="148">
        <f>480-Q25</f>
        <v>0</v>
      </c>
      <c r="R26" s="175">
        <f>+R25/Q25</f>
        <v>1160</v>
      </c>
      <c r="S26" s="175">
        <f>+S25/Q25</f>
        <v>870</v>
      </c>
    </row>
    <row r="27" spans="1:19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659</v>
      </c>
      <c r="I27" s="755"/>
      <c r="J27" s="213">
        <f>+'19'!J27</f>
        <v>0</v>
      </c>
      <c r="K27" s="238"/>
      <c r="L27" s="238"/>
      <c r="M27" s="116">
        <f>+K27+'19'!M27+L27</f>
        <v>0</v>
      </c>
    </row>
    <row r="28" spans="1:19" ht="13.5" thickBot="1">
      <c r="A28" s="757"/>
      <c r="B28" s="214"/>
      <c r="C28" s="215"/>
      <c r="D28" s="216"/>
      <c r="E28" s="224"/>
      <c r="F28" s="230"/>
      <c r="G28" s="231"/>
      <c r="H28" s="232" t="s">
        <v>660</v>
      </c>
      <c r="I28" s="755"/>
      <c r="J28" s="213">
        <f>+'19'!J28</f>
        <v>0</v>
      </c>
      <c r="K28" s="238"/>
      <c r="L28" s="238"/>
      <c r="M28" s="116">
        <f>+K28+'19'!M28+L28</f>
        <v>0</v>
      </c>
      <c r="N28" s="148" t="s">
        <v>663</v>
      </c>
      <c r="O28" s="148">
        <v>1140</v>
      </c>
      <c r="P28" s="148">
        <f>+O28-(O28*0.25)</f>
        <v>855</v>
      </c>
      <c r="Q28" s="148">
        <f>60+18</f>
        <v>78</v>
      </c>
      <c r="R28" s="148">
        <f t="shared" ref="R28:R29" si="8">+O28*Q28</f>
        <v>88920</v>
      </c>
      <c r="S28" s="148">
        <f t="shared" ref="S28:S29" si="9">+P28*Q28</f>
        <v>66690</v>
      </c>
    </row>
    <row r="29" spans="1:1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+'19'!J29</f>
        <v>0</v>
      </c>
      <c r="K29" s="238"/>
      <c r="L29" s="238"/>
      <c r="M29" s="116">
        <f>+K29+'19'!M29+L29</f>
        <v>0</v>
      </c>
      <c r="O29" s="148">
        <v>1130</v>
      </c>
      <c r="P29" s="148">
        <f>+O29-(O29*0.25)</f>
        <v>847.5</v>
      </c>
      <c r="Q29" s="148">
        <f>480-Q28</f>
        <v>402</v>
      </c>
      <c r="R29" s="148">
        <f t="shared" si="8"/>
        <v>454260</v>
      </c>
      <c r="S29" s="148">
        <f t="shared" si="9"/>
        <v>340695</v>
      </c>
    </row>
    <row r="30" spans="1:1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+'19'!J30</f>
        <v>0</v>
      </c>
      <c r="K30" s="238"/>
      <c r="L30" s="238"/>
      <c r="M30" s="116">
        <f>+K30+'19'!M30+L30</f>
        <v>0</v>
      </c>
    </row>
    <row r="31" spans="1:1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+'19'!J31</f>
        <v>0</v>
      </c>
      <c r="K31" s="238"/>
      <c r="L31" s="238"/>
      <c r="M31" s="116">
        <f>+K31+'19'!M31+L31</f>
        <v>0</v>
      </c>
    </row>
    <row r="32" spans="1:19" ht="13.5" thickBot="1">
      <c r="A32" s="758"/>
      <c r="B32" s="164" t="s">
        <v>2</v>
      </c>
      <c r="C32" s="98">
        <f>SUM(C25:C31)</f>
        <v>13507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+'19'!J32</f>
        <v>0</v>
      </c>
      <c r="K32" s="240"/>
      <c r="L32" s="242"/>
      <c r="M32" s="116">
        <f>+K32+'19'!M32+L32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41041</v>
      </c>
      <c r="D34" s="106">
        <f>D14+D23+D32</f>
        <v>322</v>
      </c>
      <c r="E34" s="106">
        <f>E14+E23+E32</f>
        <v>0</v>
      </c>
      <c r="F34" s="107">
        <f>F14+F23+F32</f>
        <v>66</v>
      </c>
      <c r="H34" s="177"/>
      <c r="I34" s="177"/>
      <c r="J34" s="122" t="s">
        <v>28</v>
      </c>
      <c r="K34" s="123">
        <f>SUM(K7:K32)</f>
        <v>41041</v>
      </c>
      <c r="L34" s="211">
        <f>SUM(L7:L32)</f>
        <v>0</v>
      </c>
      <c r="M34" s="119">
        <f>SUM(M7:M32)</f>
        <v>745626</v>
      </c>
    </row>
    <row r="35" spans="1:19" ht="13.5" thickBot="1">
      <c r="A35" s="178"/>
      <c r="B35" s="179"/>
      <c r="C35" s="103">
        <f>C34/($C$34+$D$34+$E$34)</f>
        <v>0.99221526485022848</v>
      </c>
      <c r="D35" s="103">
        <f>D34/($C$34+$D$34+$E$34)</f>
        <v>7.7847351497715347E-3</v>
      </c>
      <c r="E35" s="108">
        <f>E34/($C$34+$D$34+$E$34)</f>
        <v>0</v>
      </c>
      <c r="K35" s="154"/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75">
        <f>SUM(Q28:Q33)</f>
        <v>480</v>
      </c>
      <c r="R36" s="175">
        <f>SUM(R28:R33)</f>
        <v>543180</v>
      </c>
      <c r="S36" s="175">
        <f>SUM(S28:S33)</f>
        <v>407385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(13.5*80+12*113+14.5*1247)/1440*G42*2.74*1440/1000000</f>
        <v>48.605209964835076</v>
      </c>
      <c r="J37" s="124">
        <f>+I37+'19'!J37</f>
        <v>858.05984551925087</v>
      </c>
      <c r="K37" s="125" t="s">
        <v>63</v>
      </c>
      <c r="Q37" s="148">
        <f>480-Q36</f>
        <v>0</v>
      </c>
      <c r="R37" s="175">
        <f>+R36/Q36</f>
        <v>1131.625</v>
      </c>
      <c r="S37" s="175">
        <f>+S36/Q36</f>
        <v>848.71875</v>
      </c>
    </row>
    <row r="38" spans="1:19" ht="17.45" customHeight="1">
      <c r="A38" s="763" t="s">
        <v>12</v>
      </c>
      <c r="B38" s="764"/>
      <c r="C38" s="163">
        <f>SUMIF($G$7:$G$31,"Process",$F$7:$F$31)</f>
        <v>66</v>
      </c>
      <c r="D38" s="117">
        <f>+C38+'19'!D38</f>
        <v>1249</v>
      </c>
      <c r="E38" s="142">
        <f t="shared" ref="E38:E51" si="10">D38/60</f>
        <v>20.816666666666666</v>
      </c>
      <c r="F38" s="321">
        <v>1163.8333333333333</v>
      </c>
      <c r="G38" s="321">
        <v>875.0369791666667</v>
      </c>
      <c r="H38" s="186" t="s">
        <v>64</v>
      </c>
      <c r="I38" s="244">
        <f>13.734+13.298+15.59</f>
        <v>42.622</v>
      </c>
      <c r="J38" s="126">
        <f>+I38+'19'!J38</f>
        <v>771.99899999999991</v>
      </c>
      <c r="K38" s="127" t="s">
        <v>63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+C39+'19'!D39</f>
        <v>33</v>
      </c>
      <c r="E39" s="142">
        <f t="shared" si="10"/>
        <v>0.55000000000000004</v>
      </c>
      <c r="F39" s="321">
        <v>1160</v>
      </c>
      <c r="G39" s="321">
        <v>870</v>
      </c>
      <c r="H39" s="186" t="s">
        <v>65</v>
      </c>
      <c r="I39" s="141"/>
      <c r="J39" s="128">
        <f>J37/G4</f>
        <v>42.902992275962546</v>
      </c>
      <c r="K39" s="129" t="s">
        <v>63</v>
      </c>
      <c r="N39" s="148" t="s">
        <v>648</v>
      </c>
      <c r="O39" s="148">
        <v>1120</v>
      </c>
      <c r="P39" s="148">
        <v>873.6</v>
      </c>
      <c r="Q39" s="148">
        <v>80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+C40+'19'!D40</f>
        <v>206</v>
      </c>
      <c r="E40" s="142">
        <f t="shared" si="10"/>
        <v>3.4333333333333331</v>
      </c>
      <c r="F40" s="321">
        <v>1131.625</v>
      </c>
      <c r="G40" s="321">
        <v>848.71875</v>
      </c>
      <c r="H40" s="186" t="s">
        <v>67</v>
      </c>
      <c r="I40" s="117">
        <f>(K34+L34)/1000</f>
        <v>41.040999999999997</v>
      </c>
      <c r="J40" s="130">
        <f>+I40+'19'!J40</f>
        <v>745.62599999999998</v>
      </c>
      <c r="K40" s="129" t="s">
        <v>63</v>
      </c>
      <c r="N40" s="148" t="s">
        <v>460</v>
      </c>
      <c r="O40" s="148">
        <v>1230</v>
      </c>
      <c r="P40" s="148">
        <v>922.5</v>
      </c>
      <c r="Q40" s="148">
        <v>113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+C41+'19'!D41</f>
        <v>0</v>
      </c>
      <c r="E41" s="142">
        <f t="shared" si="10"/>
        <v>0</v>
      </c>
      <c r="F41" s="321"/>
      <c r="G41" s="321"/>
      <c r="H41" s="186" t="s">
        <v>69</v>
      </c>
      <c r="I41" s="141"/>
      <c r="J41" s="128">
        <f>J40/G4</f>
        <v>37.281300000000002</v>
      </c>
      <c r="K41" s="129" t="s">
        <v>63</v>
      </c>
      <c r="N41" s="148" t="s">
        <v>663</v>
      </c>
      <c r="O41" s="148">
        <v>1146.776263031275</v>
      </c>
      <c r="P41" s="148">
        <v>858.75882117080994</v>
      </c>
      <c r="Q41" s="148">
        <v>1247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+C42+'19'!D42</f>
        <v>0</v>
      </c>
      <c r="E42" s="142">
        <f t="shared" si="10"/>
        <v>0</v>
      </c>
      <c r="F42" s="321">
        <f>+(480*F38+480*F39+480*F40)/1440</f>
        <v>1151.8194444444443</v>
      </c>
      <c r="G42" s="321">
        <f>+(480*G38+480*G39+480*G40)/1440</f>
        <v>864.58524305555557</v>
      </c>
      <c r="H42" s="186" t="s">
        <v>70</v>
      </c>
      <c r="I42" s="245" t="s">
        <v>666</v>
      </c>
      <c r="J42" s="131"/>
      <c r="K42" s="129" t="s">
        <v>71</v>
      </c>
      <c r="Q42" s="148">
        <f>SUM(Q39:Q41)</f>
        <v>1440</v>
      </c>
    </row>
    <row r="43" spans="1:19" ht="17.45" customHeight="1">
      <c r="A43" s="765" t="s">
        <v>72</v>
      </c>
      <c r="B43" s="766"/>
      <c r="C43" s="163">
        <f>SUMIF($G$7:$G$31,"Water",$F$7:$F$31)</f>
        <v>0</v>
      </c>
      <c r="D43" s="117">
        <f>+C43+'19'!D43</f>
        <v>0</v>
      </c>
      <c r="E43" s="142">
        <f t="shared" si="10"/>
        <v>0</v>
      </c>
      <c r="F43" s="321"/>
      <c r="G43" s="322"/>
      <c r="H43" s="187" t="s">
        <v>73</v>
      </c>
      <c r="I43" s="117">
        <f>+Report1!Z28</f>
        <v>57.1</v>
      </c>
      <c r="J43" s="132">
        <f>+I43+'19'!J43</f>
        <v>1088.1999999999998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+C44+'19'!D44</f>
        <v>438</v>
      </c>
      <c r="E44" s="142">
        <f t="shared" si="10"/>
        <v>7.3</v>
      </c>
      <c r="F44" s="321"/>
      <c r="G44" s="322"/>
      <c r="H44" s="187" t="s">
        <v>74</v>
      </c>
      <c r="I44" s="117">
        <f>I43/I38</f>
        <v>1.3396837314063159</v>
      </c>
      <c r="J44" s="133">
        <f>J43/J38</f>
        <v>1.4095873181182876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+C45+'19'!D45</f>
        <v>0</v>
      </c>
      <c r="E45" s="142">
        <f t="shared" si="10"/>
        <v>0</v>
      </c>
      <c r="F45" s="321"/>
      <c r="G45" s="324"/>
      <c r="H45" s="187" t="s">
        <v>75</v>
      </c>
      <c r="I45" s="117">
        <f>I43/I40</f>
        <v>1.3912916351940743</v>
      </c>
      <c r="J45" s="133">
        <f>J43/J40</f>
        <v>1.4594448154973134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+C46+'19'!D46</f>
        <v>0</v>
      </c>
      <c r="E46" s="142">
        <f t="shared" si="10"/>
        <v>0</v>
      </c>
      <c r="F46" s="321"/>
      <c r="G46" s="322"/>
      <c r="H46" s="187" t="s">
        <v>77</v>
      </c>
      <c r="I46" s="139">
        <f>+SUMIF(Listrik!P27,"&gt;0")</f>
        <v>35544.180000001092</v>
      </c>
      <c r="J46" s="134">
        <f>+I46+'19'!J46</f>
        <v>705839.22000000149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+C47+'19'!D47</f>
        <v>0</v>
      </c>
      <c r="E47" s="142">
        <f t="shared" si="10"/>
        <v>0</v>
      </c>
      <c r="F47" s="321"/>
      <c r="G47" s="322"/>
      <c r="H47" s="187" t="s">
        <v>80</v>
      </c>
      <c r="I47" s="117">
        <f>I46/I38</f>
        <v>833.93974942520515</v>
      </c>
      <c r="J47" s="134">
        <f>J46/J38</f>
        <v>914.30069209934413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+C48+'19'!D48</f>
        <v>0</v>
      </c>
      <c r="E48" s="142">
        <f t="shared" si="10"/>
        <v>0</v>
      </c>
      <c r="F48" s="321"/>
      <c r="G48" s="322"/>
      <c r="H48" s="187" t="s">
        <v>81</v>
      </c>
      <c r="I48" s="117">
        <f>I46/I40</f>
        <v>866.065154357864</v>
      </c>
      <c r="J48" s="134">
        <f>J46/J40</f>
        <v>946.63976309839188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+C49+'19'!D49</f>
        <v>0</v>
      </c>
      <c r="E49" s="142">
        <f t="shared" si="10"/>
        <v>0</v>
      </c>
      <c r="F49" s="184"/>
      <c r="H49" s="187" t="s">
        <v>270</v>
      </c>
      <c r="I49" s="117">
        <f>+Report1!T28</f>
        <v>5611.1478501431939</v>
      </c>
      <c r="J49" s="134">
        <f>+I49+'19'!J49</f>
        <v>101509.25976622883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+C50+'19'!D50</f>
        <v>0</v>
      </c>
      <c r="E50" s="142">
        <f t="shared" si="10"/>
        <v>0</v>
      </c>
      <c r="F50" s="184"/>
      <c r="H50" s="187" t="s">
        <v>83</v>
      </c>
      <c r="I50" s="139">
        <f>I49/I38</f>
        <v>131.64909788708164</v>
      </c>
      <c r="J50" s="132">
        <f>J49/J38</f>
        <v>131.48884877600727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+C51+'19'!D51</f>
        <v>738</v>
      </c>
      <c r="E51" s="142">
        <f t="shared" si="10"/>
        <v>12.3</v>
      </c>
      <c r="F51" s="184"/>
      <c r="H51" s="189" t="s">
        <v>85</v>
      </c>
      <c r="I51" s="140">
        <f>I49/I40</f>
        <v>136.72054409354533</v>
      </c>
      <c r="J51" s="135">
        <f>J49/J40</f>
        <v>136.13964610438589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66</v>
      </c>
      <c r="D52" s="143">
        <f>SUM(D38:D51)</f>
        <v>2664</v>
      </c>
      <c r="E52" s="144">
        <f>SUM(E38:E51)</f>
        <v>44.400000000000006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4.583333333333333E-2</v>
      </c>
      <c r="D53" s="145">
        <f>D52/(24*60*G4)</f>
        <v>9.2499999999999999E-2</v>
      </c>
      <c r="E53" s="146">
        <f>E52/(G4*24)</f>
        <v>9.2500000000000013E-2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+D34+'19'!J56</f>
        <v>2811</v>
      </c>
      <c r="K56" s="200">
        <f>J56/(J40+J56/1000)/1000</f>
        <v>3.7558271437676117E-3</v>
      </c>
    </row>
    <row r="57" spans="1:11">
      <c r="A57" s="175"/>
      <c r="I57" s="198" t="s">
        <v>88</v>
      </c>
      <c r="J57" s="199">
        <f>+E34+'19'!J57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4" width="10.140625" style="148" bestFit="1" customWidth="1"/>
    <col min="15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19</v>
      </c>
      <c r="H4" s="153" t="str">
        <f>+'1'!H4</f>
        <v>.04.26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643</v>
      </c>
      <c r="O6" s="148">
        <v>1200</v>
      </c>
      <c r="P6" s="148">
        <f>+O6-(O6*0.24)</f>
        <v>912</v>
      </c>
      <c r="Q6" s="148">
        <v>480</v>
      </c>
      <c r="R6" s="148">
        <f t="shared" ref="R6" si="0">+O6*Q6</f>
        <v>576000</v>
      </c>
      <c r="S6" s="148">
        <f t="shared" ref="S6" si="1">+P6*Q6</f>
        <v>437760</v>
      </c>
      <c r="U6" s="148" t="s">
        <v>643</v>
      </c>
      <c r="V6" s="148">
        <v>1200</v>
      </c>
      <c r="W6" s="148">
        <f>+V6-(V6*0.24)</f>
        <v>912</v>
      </c>
      <c r="X6" s="148">
        <v>480</v>
      </c>
      <c r="Y6" s="148">
        <f t="shared" ref="Y6" si="2">+V6*X6</f>
        <v>576000</v>
      </c>
      <c r="Z6" s="148">
        <f t="shared" ref="Z6" si="3">+W6*X6</f>
        <v>437760</v>
      </c>
    </row>
    <row r="7" spans="1:26" ht="13.5" customHeight="1" thickBot="1">
      <c r="A7" s="751" t="s">
        <v>432</v>
      </c>
      <c r="B7" s="214" t="s">
        <v>655</v>
      </c>
      <c r="C7" s="215">
        <v>12681</v>
      </c>
      <c r="D7" s="216"/>
      <c r="E7" s="217"/>
      <c r="F7" s="227">
        <v>4</v>
      </c>
      <c r="G7" s="228" t="s">
        <v>12</v>
      </c>
      <c r="H7" s="229" t="s">
        <v>400</v>
      </c>
      <c r="I7" s="754" t="s">
        <v>644</v>
      </c>
      <c r="J7" s="213" t="str">
        <f>+'18'!J7</f>
        <v>F 11,5 VP OW</v>
      </c>
      <c r="K7" s="237"/>
      <c r="L7" s="241"/>
      <c r="M7" s="116">
        <f>+K7+'18'!M7+L7</f>
        <v>168614</v>
      </c>
      <c r="U7" s="148" t="s">
        <v>643</v>
      </c>
      <c r="V7" s="148">
        <v>1200</v>
      </c>
      <c r="W7" s="148">
        <v>912</v>
      </c>
      <c r="X7" s="148">
        <v>401</v>
      </c>
      <c r="Y7" s="148">
        <f t="shared" ref="Y7:Y8" si="4">+V7*X7</f>
        <v>481200</v>
      </c>
      <c r="Z7" s="148">
        <f t="shared" ref="Z7:Z8" si="5">+W7*X7</f>
        <v>365712</v>
      </c>
    </row>
    <row r="8" spans="1:26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+'18'!J8</f>
        <v>F 14 VP OW</v>
      </c>
      <c r="K8" s="238"/>
      <c r="L8" s="238"/>
      <c r="M8" s="116">
        <f>+K8+'18'!M8+L8</f>
        <v>78398</v>
      </c>
      <c r="Y8" s="148">
        <f t="shared" si="4"/>
        <v>0</v>
      </c>
      <c r="Z8" s="148">
        <f t="shared" si="5"/>
        <v>0</v>
      </c>
    </row>
    <row r="9" spans="1:26" ht="13.5" thickBot="1">
      <c r="A9" s="752"/>
      <c r="B9" s="214"/>
      <c r="C9" s="215"/>
      <c r="D9" s="216"/>
      <c r="E9" s="219"/>
      <c r="F9" s="227">
        <v>16</v>
      </c>
      <c r="G9" s="560" t="s">
        <v>12</v>
      </c>
      <c r="H9" s="232" t="s">
        <v>413</v>
      </c>
      <c r="I9" s="755"/>
      <c r="J9" s="213" t="str">
        <f>+'18'!J9</f>
        <v>F 13 VP OW</v>
      </c>
      <c r="K9" s="238"/>
      <c r="L9" s="238"/>
      <c r="M9" s="116">
        <f>+K9+'18'!M9+L9</f>
        <v>22241</v>
      </c>
    </row>
    <row r="10" spans="1:26" ht="51.7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637</v>
      </c>
      <c r="I10" s="755"/>
      <c r="J10" s="213" t="str">
        <f>+'18'!J10</f>
        <v>F 12 VP OW</v>
      </c>
      <c r="K10" s="238"/>
      <c r="L10" s="238"/>
      <c r="M10" s="116">
        <f>+K10+'18'!M10+L10</f>
        <v>7645</v>
      </c>
    </row>
    <row r="11" spans="1:26" ht="13.5" thickBot="1">
      <c r="A11" s="752"/>
      <c r="B11" s="214"/>
      <c r="C11" s="215"/>
      <c r="D11" s="216"/>
      <c r="E11" s="218"/>
      <c r="F11" s="227"/>
      <c r="G11" s="231"/>
      <c r="H11" s="232" t="s">
        <v>638</v>
      </c>
      <c r="I11" s="755"/>
      <c r="J11" s="213" t="str">
        <f>+'18'!J11</f>
        <v>F 16 VP OW</v>
      </c>
      <c r="K11" s="238"/>
      <c r="L11" s="238"/>
      <c r="M11" s="116">
        <f>+K11+'18'!M11+L11</f>
        <v>37034</v>
      </c>
    </row>
    <row r="12" spans="1:2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+'18'!J12</f>
        <v>F 15 VP OW</v>
      </c>
      <c r="K12" s="238"/>
      <c r="L12" s="238"/>
      <c r="M12" s="116">
        <f>+K12+'18'!M12+L12</f>
        <v>3202</v>
      </c>
    </row>
    <row r="13" spans="1:2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+'18'!J13</f>
        <v>T 14 VP OW</v>
      </c>
      <c r="K13" s="238"/>
      <c r="L13" s="238"/>
      <c r="M13" s="116">
        <f>+K13+'18'!M13+L13</f>
        <v>5600</v>
      </c>
    </row>
    <row r="14" spans="1:26" ht="13.5" thickBot="1">
      <c r="A14" s="753"/>
      <c r="B14" s="164" t="s">
        <v>2</v>
      </c>
      <c r="C14" s="98">
        <f>SUM(C7:C13)</f>
        <v>12681</v>
      </c>
      <c r="D14" s="110">
        <f>SUM(D7:D13)</f>
        <v>0</v>
      </c>
      <c r="E14" s="111">
        <f>SUM(E5:E13)</f>
        <v>0</v>
      </c>
      <c r="F14" s="115">
        <f>SUM(F7:F13)</f>
        <v>20</v>
      </c>
      <c r="G14" s="158"/>
      <c r="H14" s="165"/>
      <c r="I14" s="166"/>
      <c r="J14" s="213" t="str">
        <f>+'18'!J14</f>
        <v>T 13 VP OW</v>
      </c>
      <c r="K14" s="238"/>
      <c r="L14" s="238"/>
      <c r="M14" s="116">
        <f>+K14+'18'!M14+L14</f>
        <v>305914</v>
      </c>
      <c r="Q14" s="175">
        <f>SUM(Q6:Q11)</f>
        <v>480</v>
      </c>
      <c r="R14" s="175">
        <f>SUM(R6:R11)</f>
        <v>576000</v>
      </c>
      <c r="S14" s="175">
        <f>SUM(S6:S11)</f>
        <v>437760</v>
      </c>
      <c r="X14" s="175">
        <f>SUM(X6:X11)</f>
        <v>881</v>
      </c>
      <c r="Y14" s="175">
        <f>SUM(Y6:Y11)</f>
        <v>1057200</v>
      </c>
      <c r="Z14" s="175">
        <f>SUM(Z6:Z11)</f>
        <v>803472</v>
      </c>
    </row>
    <row r="15" spans="1:26" ht="13.5" customHeight="1" thickBot="1">
      <c r="A15" s="751" t="s">
        <v>390</v>
      </c>
      <c r="B15" s="164"/>
      <c r="C15" s="112">
        <f>C14/($C$23+$D$23+$E$23)</f>
        <v>0.777260190009194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650</v>
      </c>
      <c r="J15" s="213" t="str">
        <f>+'18'!J15</f>
        <v>T 12 VP OW</v>
      </c>
      <c r="K15" s="238"/>
      <c r="L15" s="238"/>
      <c r="M15" s="116">
        <f>+K15+'18'!M15+L15</f>
        <v>12729</v>
      </c>
      <c r="Q15" s="148">
        <f>480-Q14</f>
        <v>0</v>
      </c>
      <c r="R15" s="175">
        <f>+R14/Q14</f>
        <v>1200</v>
      </c>
      <c r="S15" s="175">
        <f>+S14/Q14</f>
        <v>912</v>
      </c>
      <c r="X15" s="148">
        <f>480-X14</f>
        <v>-401</v>
      </c>
      <c r="Y15" s="175">
        <f>+Y14/X14</f>
        <v>1200</v>
      </c>
      <c r="Z15" s="175">
        <f>+Z14/X14</f>
        <v>912</v>
      </c>
    </row>
    <row r="16" spans="1:26" ht="13.5" thickBot="1">
      <c r="A16" s="757"/>
      <c r="B16" s="214" t="s">
        <v>655</v>
      </c>
      <c r="C16" s="221">
        <v>16315</v>
      </c>
      <c r="D16" s="222"/>
      <c r="E16" s="223"/>
      <c r="F16" s="230"/>
      <c r="G16" s="560" t="s">
        <v>12</v>
      </c>
      <c r="H16" s="229" t="s">
        <v>412</v>
      </c>
      <c r="I16" s="755"/>
      <c r="J16" s="213" t="str">
        <f>+'18'!J16</f>
        <v>T 12,5 VP OW</v>
      </c>
      <c r="K16" s="228">
        <f>+C7+C16</f>
        <v>28996</v>
      </c>
      <c r="L16" s="228"/>
      <c r="M16" s="116">
        <f>+K16+'18'!M16+L16</f>
        <v>51474</v>
      </c>
    </row>
    <row r="17" spans="1:26" ht="13.5" thickBot="1">
      <c r="A17" s="757"/>
      <c r="B17" s="214"/>
      <c r="C17" s="215"/>
      <c r="D17" s="216"/>
      <c r="E17" s="224"/>
      <c r="F17" s="227">
        <v>22</v>
      </c>
      <c r="G17" s="560" t="s">
        <v>12</v>
      </c>
      <c r="H17" s="232" t="s">
        <v>427</v>
      </c>
      <c r="I17" s="755"/>
      <c r="J17" s="213" t="s">
        <v>656</v>
      </c>
      <c r="K17" s="228">
        <f>+C25</f>
        <v>11734</v>
      </c>
      <c r="L17" s="228"/>
      <c r="M17" s="116">
        <f>+K17+'18'!M17+L17</f>
        <v>11734</v>
      </c>
      <c r="N17" s="148" t="s">
        <v>643</v>
      </c>
      <c r="O17" s="148">
        <v>1200</v>
      </c>
      <c r="P17" s="148">
        <f>+O17-(O17*0.24)</f>
        <v>912</v>
      </c>
      <c r="Q17" s="148">
        <f>60*6+41</f>
        <v>401</v>
      </c>
      <c r="R17" s="148">
        <f t="shared" ref="R17:R18" si="6">+O17*Q17</f>
        <v>481200</v>
      </c>
      <c r="S17" s="148">
        <f t="shared" ref="S17:S18" si="7">+P17*Q17</f>
        <v>365712</v>
      </c>
    </row>
    <row r="18" spans="1:26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635</v>
      </c>
      <c r="I18" s="755"/>
      <c r="J18" s="213">
        <f>+'18'!J18</f>
        <v>0</v>
      </c>
      <c r="K18" s="238"/>
      <c r="L18" s="238"/>
      <c r="M18" s="116">
        <f>+K18+'18'!M18+L18</f>
        <v>0</v>
      </c>
      <c r="N18" s="148" t="s">
        <v>648</v>
      </c>
      <c r="O18" s="148">
        <v>1100</v>
      </c>
      <c r="P18" s="148">
        <f>+O18-(O18*0.22)</f>
        <v>858</v>
      </c>
      <c r="Q18" s="148">
        <f>60-41+60</f>
        <v>79</v>
      </c>
      <c r="R18" s="148">
        <f t="shared" si="6"/>
        <v>86900</v>
      </c>
      <c r="S18" s="148">
        <f t="shared" si="7"/>
        <v>67782</v>
      </c>
      <c r="U18" s="148" t="s">
        <v>648</v>
      </c>
      <c r="V18" s="148">
        <v>1100</v>
      </c>
      <c r="W18" s="148">
        <v>858</v>
      </c>
      <c r="X18" s="148">
        <v>79</v>
      </c>
      <c r="Y18" s="148">
        <f t="shared" ref="Y18:Y20" si="8">+V18*X18</f>
        <v>86900</v>
      </c>
      <c r="Z18" s="148">
        <f t="shared" ref="Z18:Z20" si="9">+W18*X18</f>
        <v>67782</v>
      </c>
    </row>
    <row r="19" spans="1:26" ht="26.25" thickBot="1">
      <c r="A19" s="757"/>
      <c r="B19" s="214"/>
      <c r="C19" s="215"/>
      <c r="D19" s="216"/>
      <c r="E19" s="224"/>
      <c r="F19" s="234"/>
      <c r="G19" s="231"/>
      <c r="H19" s="232" t="s">
        <v>636</v>
      </c>
      <c r="I19" s="755"/>
      <c r="J19" s="213">
        <f>+'18'!J19</f>
        <v>0</v>
      </c>
      <c r="K19" s="238"/>
      <c r="L19" s="238"/>
      <c r="M19" s="116">
        <f>+K19+'18'!M19+L19</f>
        <v>0</v>
      </c>
      <c r="U19" s="148" t="s">
        <v>648</v>
      </c>
      <c r="V19" s="148">
        <v>1100</v>
      </c>
      <c r="W19" s="148">
        <v>858</v>
      </c>
      <c r="X19" s="148">
        <v>480</v>
      </c>
      <c r="Y19" s="148">
        <f t="shared" si="8"/>
        <v>528000</v>
      </c>
      <c r="Z19" s="148">
        <f t="shared" si="9"/>
        <v>411840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+'18'!J20</f>
        <v>0</v>
      </c>
      <c r="K20" s="239"/>
      <c r="L20" s="239"/>
      <c r="M20" s="116">
        <f>+K20+'18'!M20+L20</f>
        <v>0</v>
      </c>
      <c r="Y20" s="148">
        <f t="shared" si="8"/>
        <v>0</v>
      </c>
      <c r="Z20" s="148">
        <f t="shared" si="9"/>
        <v>0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+'18'!J21</f>
        <v>0</v>
      </c>
      <c r="K21" s="238"/>
      <c r="L21" s="238"/>
      <c r="M21" s="116">
        <f>+K21+'18'!M21+L21</f>
        <v>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+'18'!J22</f>
        <v>0</v>
      </c>
      <c r="K22" s="238"/>
      <c r="L22" s="238"/>
      <c r="M22" s="116">
        <f>+K22+'18'!M22+L22</f>
        <v>0</v>
      </c>
    </row>
    <row r="23" spans="1:26" ht="13.5" thickBot="1">
      <c r="A23" s="758"/>
      <c r="B23" s="167" t="s">
        <v>2</v>
      </c>
      <c r="C23" s="99">
        <f>SUM(C16:C22)</f>
        <v>16315</v>
      </c>
      <c r="D23" s="110">
        <f>SUM(D16:D22)</f>
        <v>0</v>
      </c>
      <c r="E23" s="111">
        <f>SUM(E18:E22)</f>
        <v>0</v>
      </c>
      <c r="F23" s="115">
        <f>SUM(F15:F22)</f>
        <v>26</v>
      </c>
      <c r="G23" s="158"/>
      <c r="H23" s="165"/>
      <c r="I23" s="168"/>
      <c r="J23" s="213">
        <f>+'18'!J23</f>
        <v>0</v>
      </c>
      <c r="K23" s="238"/>
      <c r="L23" s="238"/>
      <c r="M23" s="116">
        <f>+K23+'18'!M23+L23</f>
        <v>0</v>
      </c>
    </row>
    <row r="24" spans="1:26" ht="13.5" customHeight="1" thickBot="1">
      <c r="A24" s="751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649</v>
      </c>
      <c r="J24" s="213">
        <f>+'18'!J24</f>
        <v>0</v>
      </c>
      <c r="K24" s="238"/>
      <c r="L24" s="238"/>
      <c r="M24" s="116">
        <f>+K24+'18'!M24+L24</f>
        <v>0</v>
      </c>
    </row>
    <row r="25" spans="1:26" ht="13.5" thickBot="1">
      <c r="A25" s="757"/>
      <c r="B25" s="214" t="s">
        <v>656</v>
      </c>
      <c r="C25" s="225">
        <v>11734</v>
      </c>
      <c r="D25" s="216"/>
      <c r="E25" s="224"/>
      <c r="F25" s="230">
        <v>2</v>
      </c>
      <c r="G25" s="560" t="s">
        <v>12</v>
      </c>
      <c r="H25" s="229" t="s">
        <v>414</v>
      </c>
      <c r="I25" s="755"/>
      <c r="J25" s="213">
        <f>+'18'!J25</f>
        <v>0</v>
      </c>
      <c r="K25" s="238"/>
      <c r="L25" s="238"/>
      <c r="M25" s="116">
        <f>+K25+'18'!M25+L25</f>
        <v>0</v>
      </c>
      <c r="Q25" s="175">
        <f>SUM(Q17:Q22)</f>
        <v>480</v>
      </c>
      <c r="R25" s="175">
        <f>SUM(R17:R22)</f>
        <v>568100</v>
      </c>
      <c r="S25" s="175">
        <f>SUM(S17:S22)</f>
        <v>433494</v>
      </c>
    </row>
    <row r="26" spans="1:26" ht="13.5" thickBot="1">
      <c r="A26" s="757"/>
      <c r="B26" s="214"/>
      <c r="C26" s="225"/>
      <c r="D26" s="216"/>
      <c r="E26" s="226"/>
      <c r="F26" s="227">
        <f>19-6</f>
        <v>13</v>
      </c>
      <c r="G26" s="560" t="s">
        <v>12</v>
      </c>
      <c r="H26" s="232" t="s">
        <v>413</v>
      </c>
      <c r="I26" s="755"/>
      <c r="J26" s="213">
        <f>+'18'!J26</f>
        <v>0</v>
      </c>
      <c r="K26" s="238"/>
      <c r="L26" s="238"/>
      <c r="M26" s="116">
        <f>+K26+'18'!M26+L26</f>
        <v>0</v>
      </c>
      <c r="Q26" s="148">
        <f>480-Q25</f>
        <v>0</v>
      </c>
      <c r="R26" s="175">
        <f>+R25/Q25</f>
        <v>1183.5416666666667</v>
      </c>
      <c r="S26" s="175">
        <f>+S25/Q25</f>
        <v>903.11249999999995</v>
      </c>
      <c r="X26" s="175">
        <f>SUM(X18:X23)</f>
        <v>559</v>
      </c>
      <c r="Y26" s="175">
        <f>SUM(Y18:Y23)</f>
        <v>614900</v>
      </c>
      <c r="Z26" s="175">
        <f>SUM(Z18:Z23)</f>
        <v>479622</v>
      </c>
    </row>
    <row r="27" spans="1:26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634</v>
      </c>
      <c r="I27" s="755"/>
      <c r="J27" s="213">
        <f>+'18'!J27</f>
        <v>0</v>
      </c>
      <c r="K27" s="238"/>
      <c r="L27" s="238"/>
      <c r="M27" s="116">
        <f>+K27+'18'!M27+L27</f>
        <v>0</v>
      </c>
      <c r="N27" s="148" t="s">
        <v>648</v>
      </c>
      <c r="O27" s="148">
        <v>1100</v>
      </c>
      <c r="P27" s="148">
        <f>+O27-(O27*0.22)</f>
        <v>858</v>
      </c>
      <c r="Q27" s="148">
        <v>480</v>
      </c>
      <c r="R27" s="148">
        <f t="shared" ref="R27" si="10">+O27*Q27</f>
        <v>528000</v>
      </c>
      <c r="S27" s="148">
        <f t="shared" ref="S27" si="11">+P27*Q27</f>
        <v>411840</v>
      </c>
      <c r="X27" s="148">
        <f>480-X26</f>
        <v>-79</v>
      </c>
      <c r="Y27" s="175">
        <f>+Y26/X26</f>
        <v>1100</v>
      </c>
      <c r="Z27" s="175">
        <f>+Z26/X26</f>
        <v>858</v>
      </c>
    </row>
    <row r="28" spans="1:26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+'18'!J28</f>
        <v>0</v>
      </c>
      <c r="K28" s="238"/>
      <c r="L28" s="238"/>
      <c r="M28" s="116">
        <f>+K28+'18'!M28+L28</f>
        <v>0</v>
      </c>
    </row>
    <row r="29" spans="1:2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+'18'!J29</f>
        <v>0</v>
      </c>
      <c r="K29" s="238"/>
      <c r="L29" s="238"/>
      <c r="M29" s="116">
        <f>+K29+'18'!M29+L29</f>
        <v>0</v>
      </c>
    </row>
    <row r="30" spans="1:2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+'18'!J30</f>
        <v>0</v>
      </c>
      <c r="K30" s="238"/>
      <c r="L30" s="238"/>
      <c r="M30" s="116">
        <f>+K30+'18'!M30+L30</f>
        <v>0</v>
      </c>
    </row>
    <row r="31" spans="1:26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+'18'!J31</f>
        <v>0</v>
      </c>
      <c r="K31" s="238"/>
      <c r="L31" s="238"/>
      <c r="M31" s="116">
        <f>+K31+'18'!M31+L31</f>
        <v>0</v>
      </c>
    </row>
    <row r="32" spans="1:26" ht="13.5" thickBot="1">
      <c r="A32" s="758"/>
      <c r="B32" s="164" t="s">
        <v>2</v>
      </c>
      <c r="C32" s="98">
        <f>SUM(C25:C31)</f>
        <v>11734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+'18'!J32</f>
        <v>0</v>
      </c>
      <c r="K32" s="240"/>
      <c r="L32" s="242"/>
      <c r="M32" s="116">
        <f>+K32+'18'!M32+L32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40730</v>
      </c>
      <c r="D34" s="106">
        <f>D14+D23+D32</f>
        <v>0</v>
      </c>
      <c r="E34" s="106">
        <f>E14+E23+E32</f>
        <v>0</v>
      </c>
      <c r="F34" s="107">
        <f>F14+F23+F32</f>
        <v>65</v>
      </c>
      <c r="H34" s="177"/>
      <c r="I34" s="177"/>
      <c r="J34" s="122" t="s">
        <v>28</v>
      </c>
      <c r="K34" s="123">
        <f>SUM(K7:K32)</f>
        <v>40730</v>
      </c>
      <c r="L34" s="211">
        <f>SUM(L7:L32)</f>
        <v>0</v>
      </c>
      <c r="M34" s="119">
        <f>SUM(M7:M32)</f>
        <v>704585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528000</v>
      </c>
      <c r="S35" s="175">
        <f>SUM(S27:S32)</f>
        <v>411840</v>
      </c>
    </row>
    <row r="36" spans="1:19" ht="13.5" thickBot="1">
      <c r="A36" s="177"/>
      <c r="B36" s="177"/>
      <c r="C36" s="154"/>
      <c r="D36" s="154"/>
      <c r="E36" s="154"/>
      <c r="G36" s="154"/>
      <c r="H36" s="180" t="s">
        <v>228</v>
      </c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1100</v>
      </c>
      <c r="S36" s="175">
        <f>+S35/Q35</f>
        <v>858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(12.5*881+13.5*559)/1440*G42*2.74*1440/1000000</f>
        <v>45.310735997249999</v>
      </c>
      <c r="J37" s="124">
        <f>+I37+'18'!J37</f>
        <v>809.45463555441574</v>
      </c>
      <c r="K37" s="125" t="s">
        <v>63</v>
      </c>
    </row>
    <row r="38" spans="1:19" ht="17.45" customHeight="1">
      <c r="A38" s="763" t="s">
        <v>12</v>
      </c>
      <c r="B38" s="764"/>
      <c r="C38" s="163">
        <f>SUMIF($G$7:$G$31,"Process",$F$7:$F$31)</f>
        <v>65</v>
      </c>
      <c r="D38" s="117">
        <f>+C38+'18'!D38</f>
        <v>1183</v>
      </c>
      <c r="E38" s="142">
        <f t="shared" ref="E38:E51" si="12">D38/60</f>
        <v>19.716666666666665</v>
      </c>
      <c r="F38" s="321">
        <v>1200</v>
      </c>
      <c r="G38" s="321">
        <v>912</v>
      </c>
      <c r="H38" s="186" t="s">
        <v>64</v>
      </c>
      <c r="I38" s="244">
        <f>14.376+12.111+1.662+14.509</f>
        <v>42.658000000000001</v>
      </c>
      <c r="J38" s="126">
        <f>+I38+'18'!J38</f>
        <v>729.37699999999995</v>
      </c>
      <c r="K38" s="127" t="s">
        <v>63</v>
      </c>
      <c r="N38" s="148" t="s">
        <v>643</v>
      </c>
      <c r="O38" s="148">
        <v>1200</v>
      </c>
      <c r="P38" s="148">
        <v>912</v>
      </c>
      <c r="Q38" s="148">
        <v>881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+C39+'18'!D39</f>
        <v>33</v>
      </c>
      <c r="E39" s="142">
        <f t="shared" si="12"/>
        <v>0.55000000000000004</v>
      </c>
      <c r="F39" s="321">
        <v>1183.5416666666667</v>
      </c>
      <c r="G39" s="321">
        <v>903.11249999999995</v>
      </c>
      <c r="H39" s="186" t="s">
        <v>65</v>
      </c>
      <c r="I39" s="141"/>
      <c r="J39" s="128">
        <f>J37/G4</f>
        <v>42.602875555495565</v>
      </c>
      <c r="K39" s="129" t="s">
        <v>63</v>
      </c>
      <c r="N39" s="148" t="s">
        <v>648</v>
      </c>
      <c r="O39" s="148">
        <v>1100</v>
      </c>
      <c r="P39" s="148">
        <v>858</v>
      </c>
      <c r="Q39" s="148">
        <v>559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+C40+'18'!D40</f>
        <v>206</v>
      </c>
      <c r="E40" s="142">
        <f t="shared" si="12"/>
        <v>3.4333333333333331</v>
      </c>
      <c r="F40" s="321">
        <v>1100</v>
      </c>
      <c r="G40" s="321">
        <v>858</v>
      </c>
      <c r="H40" s="186" t="s">
        <v>67</v>
      </c>
      <c r="I40" s="117">
        <f>(K34+L34)/1000</f>
        <v>40.729999999999997</v>
      </c>
      <c r="J40" s="130">
        <f>+I40+'18'!J40</f>
        <v>704.58499999999992</v>
      </c>
      <c r="K40" s="129" t="s">
        <v>63</v>
      </c>
      <c r="Q40" s="148">
        <f>SUM(Q38:Q39)</f>
        <v>1440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+C41+'18'!D41</f>
        <v>0</v>
      </c>
      <c r="E41" s="142">
        <f t="shared" si="12"/>
        <v>0</v>
      </c>
      <c r="F41" s="321"/>
      <c r="G41" s="321"/>
      <c r="H41" s="186" t="s">
        <v>69</v>
      </c>
      <c r="I41" s="141"/>
      <c r="J41" s="128">
        <f>J40/G4</f>
        <v>37.083421052631572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+C42+'18'!D42</f>
        <v>0</v>
      </c>
      <c r="E42" s="142">
        <f t="shared" si="12"/>
        <v>0</v>
      </c>
      <c r="F42" s="321">
        <f>+(480*F38+480*F39+480*F40)/1440</f>
        <v>1161.1805555555557</v>
      </c>
      <c r="G42" s="321">
        <f>+(480*G38+480*G39+480*G40)/1440</f>
        <v>891.03750000000002</v>
      </c>
      <c r="H42" s="186" t="s">
        <v>70</v>
      </c>
      <c r="I42" s="245" t="s">
        <v>651</v>
      </c>
      <c r="J42" s="131"/>
      <c r="K42" s="129" t="s">
        <v>71</v>
      </c>
    </row>
    <row r="43" spans="1:19" ht="17.45" customHeight="1">
      <c r="A43" s="765" t="s">
        <v>72</v>
      </c>
      <c r="B43" s="766"/>
      <c r="C43" s="163">
        <f>SUMIF($G$7:$G$31,"Water",$F$7:$F$31)</f>
        <v>0</v>
      </c>
      <c r="D43" s="117">
        <f>+C43+'18'!D43</f>
        <v>0</v>
      </c>
      <c r="E43" s="142">
        <f t="shared" si="12"/>
        <v>0</v>
      </c>
      <c r="F43" s="321"/>
      <c r="G43" s="322"/>
      <c r="H43" s="187" t="s">
        <v>73</v>
      </c>
      <c r="I43" s="117">
        <f>+Report1!Z27</f>
        <v>58.1</v>
      </c>
      <c r="J43" s="132">
        <f>+I43+'18'!J43</f>
        <v>1031.0999999999999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+C44+'18'!D44</f>
        <v>438</v>
      </c>
      <c r="E44" s="142">
        <f t="shared" si="12"/>
        <v>7.3</v>
      </c>
      <c r="F44" s="321"/>
      <c r="G44" s="322"/>
      <c r="H44" s="187" t="s">
        <v>74</v>
      </c>
      <c r="I44" s="117">
        <f>I43/I38</f>
        <v>1.3619954053167049</v>
      </c>
      <c r="J44" s="133">
        <f>J43/J38</f>
        <v>1.4136722161515924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+C45+'18'!D45</f>
        <v>0</v>
      </c>
      <c r="E45" s="142">
        <f t="shared" si="12"/>
        <v>0</v>
      </c>
      <c r="F45" s="321"/>
      <c r="G45" s="324"/>
      <c r="H45" s="187" t="s">
        <v>75</v>
      </c>
      <c r="I45" s="117">
        <f>I43/I40</f>
        <v>1.4264669776577463</v>
      </c>
      <c r="J45" s="133">
        <f>J43/J40</f>
        <v>1.4634146341463414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+C46+'18'!D46</f>
        <v>0</v>
      </c>
      <c r="E46" s="142">
        <f t="shared" si="12"/>
        <v>0</v>
      </c>
      <c r="F46" s="321"/>
      <c r="G46" s="322"/>
      <c r="H46" s="187" t="s">
        <v>77</v>
      </c>
      <c r="I46" s="139">
        <f>+SUMIF(Listrik!P26,"&gt;0")</f>
        <v>38584.459999998908</v>
      </c>
      <c r="J46" s="134">
        <f>+I46+'18'!J46</f>
        <v>670295.04000000039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+C47+'18'!D47</f>
        <v>0</v>
      </c>
      <c r="E47" s="142">
        <f t="shared" si="12"/>
        <v>0</v>
      </c>
      <c r="F47" s="321"/>
      <c r="G47" s="322"/>
      <c r="H47" s="187" t="s">
        <v>80</v>
      </c>
      <c r="I47" s="117">
        <f>I46/I38</f>
        <v>904.50700923622549</v>
      </c>
      <c r="J47" s="134">
        <f>J46/J38</f>
        <v>918.99667798683049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+C48+'18'!D48</f>
        <v>0</v>
      </c>
      <c r="E48" s="142">
        <f t="shared" si="12"/>
        <v>0</v>
      </c>
      <c r="F48" s="321"/>
      <c r="G48" s="322"/>
      <c r="H48" s="187" t="s">
        <v>81</v>
      </c>
      <c r="I48" s="117">
        <f>I46/I40</f>
        <v>947.32285784431406</v>
      </c>
      <c r="J48" s="134">
        <f>J46/J40</f>
        <v>951.33311098022307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+C49+'18'!D49</f>
        <v>0</v>
      </c>
      <c r="E49" s="142">
        <f t="shared" si="12"/>
        <v>0</v>
      </c>
      <c r="F49" s="184"/>
      <c r="H49" s="187" t="s">
        <v>270</v>
      </c>
      <c r="I49" s="117">
        <f>+Report1!T27</f>
        <v>5750.4909043098332</v>
      </c>
      <c r="J49" s="134">
        <f>+I49+'18'!J49</f>
        <v>95898.111916085632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+C50+'18'!D50</f>
        <v>0</v>
      </c>
      <c r="E50" s="142">
        <f t="shared" si="12"/>
        <v>0</v>
      </c>
      <c r="F50" s="184"/>
      <c r="H50" s="187" t="s">
        <v>83</v>
      </c>
      <c r="I50" s="139">
        <f>I49/I38</f>
        <v>134.80451273641128</v>
      </c>
      <c r="J50" s="132">
        <f>J49/J38</f>
        <v>131.47948443135118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+C51+'18'!D51</f>
        <v>738</v>
      </c>
      <c r="E51" s="142">
        <f t="shared" si="12"/>
        <v>12.3</v>
      </c>
      <c r="F51" s="184"/>
      <c r="H51" s="189" t="s">
        <v>85</v>
      </c>
      <c r="I51" s="140">
        <f>I49/I40</f>
        <v>141.18563477313612</v>
      </c>
      <c r="J51" s="135">
        <f>J49/J40</f>
        <v>136.10580968383607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65</v>
      </c>
      <c r="D52" s="143">
        <f>SUM(D38:D51)</f>
        <v>2598</v>
      </c>
      <c r="E52" s="144">
        <f>SUM(E38:E51)</f>
        <v>43.3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4.5138888888888888E-2</v>
      </c>
      <c r="D53" s="145">
        <f>D52/(24*60*G4)</f>
        <v>9.4956140350877197E-2</v>
      </c>
      <c r="E53" s="146">
        <f>E52/(G4*24)</f>
        <v>9.4956140350877183E-2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+D34+'18'!J56</f>
        <v>2489</v>
      </c>
      <c r="K56" s="200">
        <f>J56/(J40+J56/1000)/1000</f>
        <v>3.5201407490587974E-3</v>
      </c>
    </row>
    <row r="57" spans="1:11">
      <c r="A57" s="175"/>
      <c r="I57" s="198" t="s">
        <v>88</v>
      </c>
      <c r="J57" s="199">
        <f>+E34+'18'!J57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zoomScale="80" zoomScaleNormal="80" workbookViewId="0">
      <selection activeCell="D17" sqref="D1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2.2851562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18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526</v>
      </c>
      <c r="O6" s="148">
        <v>1200</v>
      </c>
      <c r="P6" s="148">
        <f>+O6-(O6*0.22)</f>
        <v>936</v>
      </c>
      <c r="Q6" s="148">
        <f>60*4+57</f>
        <v>297</v>
      </c>
      <c r="R6" s="148">
        <f t="shared" ref="R6:R8" si="0">+O6*Q6</f>
        <v>356400</v>
      </c>
      <c r="S6" s="148">
        <f t="shared" ref="S6:S8" si="1">+P6*Q6</f>
        <v>277992</v>
      </c>
    </row>
    <row r="7" spans="1:19" ht="13.5" customHeight="1" thickBot="1">
      <c r="A7" s="751" t="s">
        <v>432</v>
      </c>
      <c r="B7" s="214" t="s">
        <v>534</v>
      </c>
      <c r="C7" s="215">
        <v>10828</v>
      </c>
      <c r="D7" s="216"/>
      <c r="E7" s="217"/>
      <c r="F7" s="227"/>
      <c r="G7" s="228" t="s">
        <v>12</v>
      </c>
      <c r="H7" s="229" t="s">
        <v>385</v>
      </c>
      <c r="I7" s="754" t="s">
        <v>646</v>
      </c>
      <c r="J7" s="213" t="str">
        <f>+'17'!J7</f>
        <v>F 11,5 VP OW</v>
      </c>
      <c r="K7" s="237"/>
      <c r="L7" s="241"/>
      <c r="M7" s="116">
        <f>+K7+'17'!M7+L7</f>
        <v>168614</v>
      </c>
      <c r="N7" s="148" t="s">
        <v>578</v>
      </c>
      <c r="O7" s="148">
        <v>1220</v>
      </c>
      <c r="P7" s="148">
        <f>+O7-(O7*0.26)</f>
        <v>902.8</v>
      </c>
      <c r="Q7" s="148">
        <f>60-57+60+31</f>
        <v>94</v>
      </c>
      <c r="R7" s="148">
        <f t="shared" si="0"/>
        <v>114680</v>
      </c>
      <c r="S7" s="148">
        <f t="shared" si="1"/>
        <v>84863.2</v>
      </c>
    </row>
    <row r="8" spans="1:19" ht="13.5" thickBot="1">
      <c r="A8" s="752"/>
      <c r="B8" s="214" t="s">
        <v>586</v>
      </c>
      <c r="C8" s="215">
        <v>1627</v>
      </c>
      <c r="D8" s="216"/>
      <c r="E8" s="218"/>
      <c r="F8" s="230"/>
      <c r="G8" s="560" t="s">
        <v>12</v>
      </c>
      <c r="H8" s="229" t="s">
        <v>412</v>
      </c>
      <c r="I8" s="755"/>
      <c r="J8" s="213" t="str">
        <f>+'17'!J8</f>
        <v>F 14 VP OW</v>
      </c>
      <c r="K8" s="238"/>
      <c r="L8" s="238"/>
      <c r="M8" s="116">
        <f>+K8+'17'!M8+L8</f>
        <v>78398</v>
      </c>
      <c r="N8" s="148" t="s">
        <v>643</v>
      </c>
      <c r="O8" s="148">
        <v>1210</v>
      </c>
      <c r="P8" s="148">
        <f>+O8-(O8*0.235)</f>
        <v>925.65000000000009</v>
      </c>
      <c r="Q8" s="148">
        <f>60-31+60</f>
        <v>89</v>
      </c>
      <c r="R8" s="148">
        <f t="shared" si="0"/>
        <v>107690</v>
      </c>
      <c r="S8" s="148">
        <f t="shared" si="1"/>
        <v>82382.850000000006</v>
      </c>
    </row>
    <row r="9" spans="1:19" ht="13.5" thickBot="1">
      <c r="A9" s="752"/>
      <c r="B9" s="214"/>
      <c r="C9" s="215"/>
      <c r="D9" s="216"/>
      <c r="E9" s="219"/>
      <c r="F9" s="227">
        <v>18</v>
      </c>
      <c r="G9" s="560" t="s">
        <v>12</v>
      </c>
      <c r="H9" s="232" t="s">
        <v>413</v>
      </c>
      <c r="I9" s="755"/>
      <c r="J9" s="213" t="str">
        <f>+'17'!J9</f>
        <v>F 13 VP OW</v>
      </c>
      <c r="K9" s="238"/>
      <c r="L9" s="238"/>
      <c r="M9" s="116">
        <f>+K9+'17'!M9+L9</f>
        <v>22241</v>
      </c>
    </row>
    <row r="10" spans="1:19" ht="51.7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641</v>
      </c>
      <c r="I10" s="755"/>
      <c r="J10" s="213" t="str">
        <f>+'17'!J10</f>
        <v>F 12 VP OW</v>
      </c>
      <c r="K10" s="238"/>
      <c r="L10" s="238"/>
      <c r="M10" s="116">
        <f>+K10+'17'!M10+L10</f>
        <v>7645</v>
      </c>
    </row>
    <row r="11" spans="1:19" ht="39" thickBot="1">
      <c r="A11" s="752"/>
      <c r="B11" s="214"/>
      <c r="C11" s="215"/>
      <c r="D11" s="216"/>
      <c r="E11" s="218"/>
      <c r="F11" s="227"/>
      <c r="G11" s="231"/>
      <c r="H11" s="232" t="s">
        <v>642</v>
      </c>
      <c r="I11" s="755"/>
      <c r="J11" s="213" t="str">
        <f>+'17'!J11</f>
        <v>F 16 VP OW</v>
      </c>
      <c r="K11" s="238"/>
      <c r="L11" s="238"/>
      <c r="M11" s="116">
        <f>+K11+'17'!M11+L11</f>
        <v>37034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+'17'!J12</f>
        <v>F 15 VP OW</v>
      </c>
      <c r="K12" s="238"/>
      <c r="L12" s="238"/>
      <c r="M12" s="116">
        <f>+K12+'17'!M12+L12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+'17'!J13</f>
        <v>T 14 VP OW</v>
      </c>
      <c r="K13" s="238"/>
      <c r="L13" s="238"/>
      <c r="M13" s="116">
        <f>+K13+'17'!M13+L13</f>
        <v>5600</v>
      </c>
    </row>
    <row r="14" spans="1:19" ht="13.5" thickBot="1">
      <c r="A14" s="753"/>
      <c r="B14" s="164" t="s">
        <v>2</v>
      </c>
      <c r="C14" s="98">
        <f>SUM(C7:C13)</f>
        <v>12455</v>
      </c>
      <c r="D14" s="110">
        <f>SUM(D7:D13)</f>
        <v>0</v>
      </c>
      <c r="E14" s="111">
        <f>SUM(E5:E13)</f>
        <v>0</v>
      </c>
      <c r="F14" s="115">
        <f>SUM(F7:F13)</f>
        <v>18</v>
      </c>
      <c r="G14" s="158"/>
      <c r="H14" s="165"/>
      <c r="I14" s="166"/>
      <c r="J14" s="213" t="str">
        <f>+'17'!J14</f>
        <v>T 13 VP OW</v>
      </c>
      <c r="K14" s="238">
        <f>+C7</f>
        <v>10828</v>
      </c>
      <c r="L14" s="238"/>
      <c r="M14" s="116">
        <f>+K14+'17'!M14+L14</f>
        <v>305914</v>
      </c>
      <c r="Q14" s="175">
        <f>SUM(Q6:Q11)</f>
        <v>480</v>
      </c>
      <c r="R14" s="175">
        <f>SUM(R6:R11)</f>
        <v>578770</v>
      </c>
      <c r="S14" s="175">
        <f>SUM(S6:S11)</f>
        <v>445238.05000000005</v>
      </c>
    </row>
    <row r="15" spans="1:19" ht="13.5" customHeight="1" thickBot="1">
      <c r="A15" s="751" t="s">
        <v>390</v>
      </c>
      <c r="B15" s="164"/>
      <c r="C15" s="112">
        <f>C14/($C$23+$D$23+$E$23)</f>
        <v>0.96430783524310937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645</v>
      </c>
      <c r="J15" s="213" t="str">
        <f>+'17'!J15</f>
        <v>T 12 VP OW</v>
      </c>
      <c r="K15" s="238">
        <f>+C8+C17</f>
        <v>3065</v>
      </c>
      <c r="L15" s="238"/>
      <c r="M15" s="116">
        <f>+K15+'17'!M15+L15</f>
        <v>12729</v>
      </c>
      <c r="Q15" s="148">
        <f>480-Q14</f>
        <v>0</v>
      </c>
      <c r="R15" s="175">
        <f>+R14/Q14</f>
        <v>1205.7708333333333</v>
      </c>
      <c r="S15" s="175">
        <f>+S14/Q14</f>
        <v>927.57927083333345</v>
      </c>
    </row>
    <row r="16" spans="1:19" ht="13.5" thickBot="1">
      <c r="A16" s="757"/>
      <c r="B16" s="214" t="s">
        <v>655</v>
      </c>
      <c r="C16" s="221">
        <v>10978</v>
      </c>
      <c r="D16" s="222">
        <v>500</v>
      </c>
      <c r="E16" s="223"/>
      <c r="F16" s="230"/>
      <c r="G16" s="560" t="s">
        <v>12</v>
      </c>
      <c r="H16" s="229" t="s">
        <v>412</v>
      </c>
      <c r="I16" s="755"/>
      <c r="J16" s="213" t="s">
        <v>655</v>
      </c>
      <c r="K16" s="228">
        <f>+C16+C25</f>
        <v>22478</v>
      </c>
      <c r="L16" s="228"/>
      <c r="M16" s="116">
        <f>+K16+'17'!M16+L16</f>
        <v>22478</v>
      </c>
    </row>
    <row r="17" spans="1:26" ht="13.5" thickBot="1">
      <c r="A17" s="757"/>
      <c r="B17" s="214" t="s">
        <v>586</v>
      </c>
      <c r="C17" s="215">
        <v>1438</v>
      </c>
      <c r="D17" s="216"/>
      <c r="E17" s="224"/>
      <c r="F17" s="227">
        <v>16</v>
      </c>
      <c r="G17" s="560" t="s">
        <v>12</v>
      </c>
      <c r="H17" s="232" t="s">
        <v>413</v>
      </c>
      <c r="I17" s="755"/>
      <c r="J17" s="213">
        <f>+'17'!J17</f>
        <v>0</v>
      </c>
      <c r="K17" s="228"/>
      <c r="L17" s="228"/>
      <c r="M17" s="116">
        <f>+K17+'17'!M17+L17</f>
        <v>0</v>
      </c>
      <c r="N17" s="148" t="s">
        <v>643</v>
      </c>
      <c r="O17" s="148">
        <v>1200</v>
      </c>
      <c r="P17" s="148">
        <f>+O17-(O17*0.24)</f>
        <v>912</v>
      </c>
      <c r="Q17" s="148">
        <v>40</v>
      </c>
      <c r="R17" s="148">
        <f t="shared" ref="R17:R19" si="2">+O17*Q17</f>
        <v>48000</v>
      </c>
      <c r="S17" s="148">
        <f t="shared" ref="S17:S19" si="3">+P17*Q17</f>
        <v>36480</v>
      </c>
    </row>
    <row r="18" spans="1:26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635</v>
      </c>
      <c r="I18" s="755"/>
      <c r="J18" s="213">
        <f>+'17'!J18</f>
        <v>0</v>
      </c>
      <c r="K18" s="238"/>
      <c r="L18" s="238"/>
      <c r="M18" s="116">
        <f>+K18+'17'!M18+L18</f>
        <v>0</v>
      </c>
      <c r="O18" s="148">
        <v>1180</v>
      </c>
      <c r="P18" s="148">
        <f>+O18-(O18*0.24)</f>
        <v>896.8</v>
      </c>
      <c r="Q18" s="148">
        <f>60-40+300+35</f>
        <v>355</v>
      </c>
      <c r="R18" s="148">
        <f t="shared" si="2"/>
        <v>418900</v>
      </c>
      <c r="S18" s="148">
        <f t="shared" si="3"/>
        <v>318364</v>
      </c>
    </row>
    <row r="19" spans="1:26" ht="51.75" thickBot="1">
      <c r="A19" s="757"/>
      <c r="B19" s="214"/>
      <c r="C19" s="215"/>
      <c r="D19" s="216"/>
      <c r="E19" s="224"/>
      <c r="F19" s="234"/>
      <c r="G19" s="231"/>
      <c r="H19" s="232" t="s">
        <v>640</v>
      </c>
      <c r="I19" s="755"/>
      <c r="J19" s="213">
        <f>+'17'!J19</f>
        <v>0</v>
      </c>
      <c r="K19" s="238"/>
      <c r="L19" s="238"/>
      <c r="M19" s="116">
        <f>+K19+'17'!M19+L19</f>
        <v>0</v>
      </c>
      <c r="O19" s="148">
        <v>1200</v>
      </c>
      <c r="P19" s="148">
        <f>+O19-(O19*0.24)</f>
        <v>912</v>
      </c>
      <c r="Q19" s="148">
        <f>60-35+60</f>
        <v>85</v>
      </c>
      <c r="R19" s="148">
        <f t="shared" si="2"/>
        <v>102000</v>
      </c>
      <c r="S19" s="148">
        <f t="shared" si="3"/>
        <v>77520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+'17'!J20</f>
        <v>0</v>
      </c>
      <c r="K20" s="239"/>
      <c r="L20" s="239"/>
      <c r="M20" s="116">
        <f>+K20+'17'!M20+L20</f>
        <v>0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+'17'!J21</f>
        <v>0</v>
      </c>
      <c r="K21" s="238"/>
      <c r="L21" s="238"/>
      <c r="M21" s="116">
        <f>+K21+'17'!M21+L21</f>
        <v>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+'17'!J22</f>
        <v>0</v>
      </c>
      <c r="K22" s="238"/>
      <c r="L22" s="238"/>
      <c r="M22" s="116">
        <f>+K22+'17'!M22+L22</f>
        <v>0</v>
      </c>
    </row>
    <row r="23" spans="1:26" ht="13.5" thickBot="1">
      <c r="A23" s="758"/>
      <c r="B23" s="167" t="s">
        <v>2</v>
      </c>
      <c r="C23" s="99">
        <f>SUM(C16:C22)</f>
        <v>12416</v>
      </c>
      <c r="D23" s="110">
        <f>SUM(D16:D22)</f>
        <v>500</v>
      </c>
      <c r="E23" s="111">
        <f>SUM(E18:E22)</f>
        <v>0</v>
      </c>
      <c r="F23" s="115">
        <f>SUM(F15:F22)</f>
        <v>20</v>
      </c>
      <c r="G23" s="158"/>
      <c r="H23" s="165"/>
      <c r="I23" s="168"/>
      <c r="J23" s="213">
        <f>+'17'!J23</f>
        <v>0</v>
      </c>
      <c r="K23" s="238"/>
      <c r="L23" s="238"/>
      <c r="M23" s="116">
        <f>+K23+'17'!M23+L23</f>
        <v>0</v>
      </c>
    </row>
    <row r="24" spans="1:26" ht="13.5" customHeight="1" thickBot="1">
      <c r="A24" s="751" t="s">
        <v>391</v>
      </c>
      <c r="B24" s="169"/>
      <c r="C24" s="112">
        <f>C23/($C$23+$D$23+$E$23)</f>
        <v>0.96128832455868685</v>
      </c>
      <c r="D24" s="113">
        <f>D23/($C$23+$D$23+$E$23)</f>
        <v>3.8711675441313098E-2</v>
      </c>
      <c r="E24" s="114">
        <f>E23/($C$23+$D$23+$E$23)</f>
        <v>0</v>
      </c>
      <c r="F24" s="227"/>
      <c r="G24" s="228" t="s">
        <v>12</v>
      </c>
      <c r="H24" s="229" t="s">
        <v>385</v>
      </c>
      <c r="I24" s="754" t="s">
        <v>644</v>
      </c>
      <c r="J24" s="213">
        <f>+'17'!J24</f>
        <v>0</v>
      </c>
      <c r="K24" s="238"/>
      <c r="L24" s="238"/>
      <c r="M24" s="116">
        <f>+K24+'17'!M24+L24</f>
        <v>0</v>
      </c>
    </row>
    <row r="25" spans="1:26" ht="13.5" thickBot="1">
      <c r="A25" s="757"/>
      <c r="B25" s="214" t="s">
        <v>655</v>
      </c>
      <c r="C25" s="225">
        <v>11500</v>
      </c>
      <c r="D25" s="216"/>
      <c r="E25" s="224"/>
      <c r="F25" s="230">
        <v>6</v>
      </c>
      <c r="G25" s="560" t="s">
        <v>12</v>
      </c>
      <c r="H25" s="229" t="s">
        <v>465</v>
      </c>
      <c r="I25" s="755"/>
      <c r="J25" s="213">
        <f>+'17'!J25</f>
        <v>0</v>
      </c>
      <c r="K25" s="238"/>
      <c r="L25" s="238"/>
      <c r="M25" s="116">
        <f>+K25+'17'!M25+L25</f>
        <v>0</v>
      </c>
      <c r="Q25" s="175">
        <f>SUM(Q17:Q22)</f>
        <v>480</v>
      </c>
      <c r="R25" s="175">
        <f>SUM(R17:R22)</f>
        <v>568900</v>
      </c>
      <c r="S25" s="175">
        <f>SUM(S17:S22)</f>
        <v>432364</v>
      </c>
    </row>
    <row r="26" spans="1:26" ht="13.5" thickBot="1">
      <c r="A26" s="757"/>
      <c r="B26" s="214"/>
      <c r="C26" s="225"/>
      <c r="D26" s="216"/>
      <c r="E26" s="226"/>
      <c r="F26" s="227">
        <v>13</v>
      </c>
      <c r="G26" s="560" t="s">
        <v>12</v>
      </c>
      <c r="H26" s="232" t="s">
        <v>386</v>
      </c>
      <c r="I26" s="755"/>
      <c r="J26" s="213">
        <f>+'17'!J26</f>
        <v>0</v>
      </c>
      <c r="K26" s="238"/>
      <c r="L26" s="238"/>
      <c r="M26" s="116">
        <f>+K26+'17'!M26+L26</f>
        <v>0</v>
      </c>
      <c r="Q26" s="148">
        <f>480-Q25</f>
        <v>0</v>
      </c>
      <c r="R26" s="175">
        <f>+R25/Q25</f>
        <v>1185.2083333333333</v>
      </c>
      <c r="S26" s="175">
        <f>+S25/Q25</f>
        <v>900.75833333333333</v>
      </c>
    </row>
    <row r="27" spans="1:26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639</v>
      </c>
      <c r="I27" s="755"/>
      <c r="J27" s="213">
        <f>+'17'!J27</f>
        <v>0</v>
      </c>
      <c r="K27" s="238"/>
      <c r="L27" s="238"/>
      <c r="M27" s="116">
        <f>+K27+'17'!M27+L27</f>
        <v>0</v>
      </c>
      <c r="N27" s="148" t="s">
        <v>643</v>
      </c>
      <c r="O27" s="148">
        <v>1200</v>
      </c>
      <c r="P27" s="148">
        <f>+O27-(O27*0.24)</f>
        <v>912</v>
      </c>
      <c r="Q27" s="148">
        <v>480</v>
      </c>
      <c r="R27" s="148">
        <f t="shared" ref="R27" si="4">+O27*Q27</f>
        <v>576000</v>
      </c>
      <c r="S27" s="148">
        <f t="shared" ref="S27" si="5">+P27*Q27</f>
        <v>437760</v>
      </c>
      <c r="U27" s="148" t="s">
        <v>643</v>
      </c>
      <c r="V27" s="148">
        <v>1210</v>
      </c>
      <c r="W27" s="148">
        <v>925.65000000000009</v>
      </c>
      <c r="X27" s="148">
        <v>89</v>
      </c>
      <c r="Y27" s="148">
        <f t="shared" ref="Y27:Y29" si="6">+V27*X27</f>
        <v>107690</v>
      </c>
      <c r="Z27" s="148">
        <f t="shared" ref="Z27:Z29" si="7">+W27*X27</f>
        <v>82382.850000000006</v>
      </c>
    </row>
    <row r="28" spans="1:26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+'17'!J28</f>
        <v>0</v>
      </c>
      <c r="K28" s="238"/>
      <c r="L28" s="238"/>
      <c r="M28" s="116">
        <f>+K28+'17'!M28+L28</f>
        <v>0</v>
      </c>
      <c r="U28" s="148" t="s">
        <v>643</v>
      </c>
      <c r="V28" s="148">
        <v>1200</v>
      </c>
      <c r="W28" s="148">
        <v>912</v>
      </c>
      <c r="X28" s="148">
        <v>40</v>
      </c>
      <c r="Y28" s="148">
        <f t="shared" si="6"/>
        <v>48000</v>
      </c>
      <c r="Z28" s="148">
        <f t="shared" si="7"/>
        <v>36480</v>
      </c>
    </row>
    <row r="29" spans="1:2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+'17'!J29</f>
        <v>0</v>
      </c>
      <c r="K29" s="238"/>
      <c r="L29" s="238"/>
      <c r="M29" s="116">
        <f>+K29+'17'!M29+L29</f>
        <v>0</v>
      </c>
      <c r="V29" s="148">
        <v>1180</v>
      </c>
      <c r="W29" s="148">
        <v>896.8</v>
      </c>
      <c r="X29" s="148">
        <v>355</v>
      </c>
      <c r="Y29" s="148">
        <f t="shared" si="6"/>
        <v>418900</v>
      </c>
      <c r="Z29" s="148">
        <f t="shared" si="7"/>
        <v>318364</v>
      </c>
    </row>
    <row r="30" spans="1:2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+'17'!J30</f>
        <v>0</v>
      </c>
      <c r="K30" s="238"/>
      <c r="L30" s="238"/>
      <c r="M30" s="116">
        <f>+K30+'17'!M30+L30</f>
        <v>0</v>
      </c>
      <c r="V30" s="148">
        <v>1200</v>
      </c>
      <c r="W30" s="148">
        <v>912</v>
      </c>
      <c r="X30" s="148">
        <v>85</v>
      </c>
      <c r="Y30" s="148">
        <f t="shared" ref="Y30:Y31" si="8">+V30*X30</f>
        <v>102000</v>
      </c>
      <c r="Z30" s="148">
        <f t="shared" ref="Z30:Z31" si="9">+W30*X30</f>
        <v>77520</v>
      </c>
    </row>
    <row r="31" spans="1:26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+'17'!J31</f>
        <v>0</v>
      </c>
      <c r="K31" s="238"/>
      <c r="L31" s="238"/>
      <c r="M31" s="116">
        <f>+K31+'17'!M31+L31</f>
        <v>0</v>
      </c>
      <c r="U31" s="148" t="s">
        <v>643</v>
      </c>
      <c r="V31" s="148">
        <v>1200</v>
      </c>
      <c r="W31" s="148">
        <v>912</v>
      </c>
      <c r="X31" s="148">
        <v>480</v>
      </c>
      <c r="Y31" s="148">
        <f t="shared" si="8"/>
        <v>576000</v>
      </c>
      <c r="Z31" s="148">
        <f t="shared" si="9"/>
        <v>437760</v>
      </c>
    </row>
    <row r="32" spans="1:26" ht="13.5" thickBot="1">
      <c r="A32" s="758"/>
      <c r="B32" s="164" t="s">
        <v>2</v>
      </c>
      <c r="C32" s="98">
        <f>SUM(C25:C31)</f>
        <v>11500</v>
      </c>
      <c r="D32" s="99">
        <f>SUM(D25:D31)</f>
        <v>0</v>
      </c>
      <c r="E32" s="100">
        <f>SUM(E25:E31)</f>
        <v>0</v>
      </c>
      <c r="F32" s="101">
        <f>SUM(F24:F31)</f>
        <v>19</v>
      </c>
      <c r="G32" s="170"/>
      <c r="H32" s="171"/>
      <c r="I32" s="168"/>
      <c r="J32" s="213">
        <f>+'17'!J32</f>
        <v>0</v>
      </c>
      <c r="K32" s="240"/>
      <c r="L32" s="242"/>
      <c r="M32" s="116">
        <f>+K32+'17'!M32+L32</f>
        <v>0</v>
      </c>
    </row>
    <row r="33" spans="1:26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9" t="s">
        <v>57</v>
      </c>
      <c r="B34" s="760"/>
      <c r="C34" s="106">
        <f>C14+C23+C32</f>
        <v>36371</v>
      </c>
      <c r="D34" s="106">
        <f>D14+D23+D32</f>
        <v>500</v>
      </c>
      <c r="E34" s="106">
        <f>E14+E23+E32</f>
        <v>0</v>
      </c>
      <c r="F34" s="107">
        <f>F14+F23+F32</f>
        <v>57</v>
      </c>
      <c r="H34" s="177"/>
      <c r="I34" s="177"/>
      <c r="J34" s="122" t="s">
        <v>28</v>
      </c>
      <c r="K34" s="123">
        <f>SUM(K7:K32)</f>
        <v>36371</v>
      </c>
      <c r="L34" s="211">
        <f>SUM(L7:L32)</f>
        <v>0</v>
      </c>
      <c r="M34" s="119">
        <f>SUM(M7:M32)</f>
        <v>663855</v>
      </c>
    </row>
    <row r="35" spans="1:26" ht="13.5" thickBot="1">
      <c r="A35" s="178"/>
      <c r="B35" s="179"/>
      <c r="C35" s="103">
        <f>C34/($C$34+$D$34+$E$34)</f>
        <v>0.98643920696482335</v>
      </c>
      <c r="D35" s="103">
        <f>D34/($C$34+$D$34+$E$34)</f>
        <v>1.3560793035176696E-2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576000</v>
      </c>
      <c r="S35" s="175">
        <f>SUM(S27:S32)</f>
        <v>437760</v>
      </c>
      <c r="X35" s="175">
        <f>SUM(X27:X32)</f>
        <v>1049</v>
      </c>
      <c r="Y35" s="175">
        <f>SUM(Y27:Y32)</f>
        <v>1252590</v>
      </c>
      <c r="Z35" s="175">
        <f>SUM(Z27:Z32)</f>
        <v>952506.85</v>
      </c>
    </row>
    <row r="36" spans="1:26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1200</v>
      </c>
      <c r="S36" s="175">
        <f>+S35/Q35</f>
        <v>912</v>
      </c>
      <c r="X36" s="148">
        <f>480-X35</f>
        <v>-569</v>
      </c>
      <c r="Y36" s="175">
        <f>+Y35/X35</f>
        <v>1194.0800762631077</v>
      </c>
      <c r="Z36" s="175">
        <f>+Z35/X35</f>
        <v>908.01415633937086</v>
      </c>
    </row>
    <row r="37" spans="1:26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(13*297+12*94+12.5*1049)/1440*G42*2.74*1440/1000000</f>
        <v>45.305188642864934</v>
      </c>
      <c r="J37" s="124">
        <f>+I37+'17'!J37</f>
        <v>764.1438995571657</v>
      </c>
      <c r="K37" s="125" t="s">
        <v>63</v>
      </c>
      <c r="N37" s="148" t="s">
        <v>526</v>
      </c>
      <c r="O37" s="148">
        <v>1200</v>
      </c>
      <c r="P37" s="148">
        <v>936</v>
      </c>
      <c r="Q37" s="148">
        <v>297</v>
      </c>
    </row>
    <row r="38" spans="1:26" ht="17.45" customHeight="1">
      <c r="A38" s="763" t="s">
        <v>12</v>
      </c>
      <c r="B38" s="764"/>
      <c r="C38" s="163">
        <f>SUMIF($G$7:$G$31,"Process",$F$7:$F$31)</f>
        <v>57</v>
      </c>
      <c r="D38" s="117">
        <f>+C38+'17'!D38</f>
        <v>1118</v>
      </c>
      <c r="E38" s="142">
        <f t="shared" ref="E38:E51" si="10">D38/60</f>
        <v>18.633333333333333</v>
      </c>
      <c r="F38" s="321">
        <v>1205.7708333333333</v>
      </c>
      <c r="G38" s="321">
        <v>927.57927083333345</v>
      </c>
      <c r="H38" s="186" t="s">
        <v>64</v>
      </c>
      <c r="I38" s="244">
        <f>15.07+12.484+13.02</f>
        <v>40.573999999999998</v>
      </c>
      <c r="J38" s="126">
        <f>+I38+'17'!J38</f>
        <v>686.71899999999994</v>
      </c>
      <c r="K38" s="127" t="s">
        <v>63</v>
      </c>
      <c r="N38" s="148" t="s">
        <v>578</v>
      </c>
      <c r="O38" s="148">
        <v>1220</v>
      </c>
      <c r="P38" s="148">
        <v>902.8</v>
      </c>
      <c r="Q38" s="148">
        <v>94</v>
      </c>
    </row>
    <row r="39" spans="1:26" ht="17.45" customHeight="1">
      <c r="A39" s="765" t="s">
        <v>13</v>
      </c>
      <c r="B39" s="766"/>
      <c r="C39" s="163">
        <f>SUMIF($G$7:$G$31,"Cleaning",$F$7:$F$31)</f>
        <v>0</v>
      </c>
      <c r="D39" s="117">
        <f>+C39+'17'!D39</f>
        <v>33</v>
      </c>
      <c r="E39" s="142">
        <f t="shared" si="10"/>
        <v>0.55000000000000004</v>
      </c>
      <c r="F39" s="321">
        <v>1185.2083333333333</v>
      </c>
      <c r="G39" s="321">
        <v>900.75833333333333</v>
      </c>
      <c r="H39" s="186" t="s">
        <v>65</v>
      </c>
      <c r="I39" s="141"/>
      <c r="J39" s="128">
        <f>J37/G4</f>
        <v>42.452438864286982</v>
      </c>
      <c r="K39" s="129" t="s">
        <v>63</v>
      </c>
      <c r="N39" s="148" t="s">
        <v>643</v>
      </c>
      <c r="O39" s="148">
        <v>1194.0800762631077</v>
      </c>
      <c r="P39" s="148">
        <v>908.01415633937086</v>
      </c>
      <c r="Q39" s="148">
        <v>1049</v>
      </c>
    </row>
    <row r="40" spans="1:26" ht="17.45" customHeight="1">
      <c r="A40" s="765" t="s">
        <v>66</v>
      </c>
      <c r="B40" s="766"/>
      <c r="C40" s="163">
        <f>SUMIF($G$7:$G$31,"Mechanical",$F$7:$F$31)</f>
        <v>0</v>
      </c>
      <c r="D40" s="117">
        <f>+C40+'17'!D40</f>
        <v>206</v>
      </c>
      <c r="E40" s="142">
        <f t="shared" si="10"/>
        <v>3.4333333333333331</v>
      </c>
      <c r="F40" s="321">
        <v>1200</v>
      </c>
      <c r="G40" s="321">
        <v>912</v>
      </c>
      <c r="H40" s="186" t="s">
        <v>67</v>
      </c>
      <c r="I40" s="117">
        <f>(K34+L34)/1000</f>
        <v>36.371000000000002</v>
      </c>
      <c r="J40" s="130">
        <f>+I40+'17'!J40</f>
        <v>663.8549999999999</v>
      </c>
      <c r="K40" s="129" t="s">
        <v>63</v>
      </c>
      <c r="Q40" s="148">
        <f>+Q37+Q38+Q39</f>
        <v>1440</v>
      </c>
    </row>
    <row r="41" spans="1:26" ht="17.45" customHeight="1">
      <c r="A41" s="765" t="s">
        <v>68</v>
      </c>
      <c r="B41" s="766"/>
      <c r="C41" s="163">
        <f>SUMIF($G$7:$G$31,"Electrical",$F$7:$F$31)</f>
        <v>0</v>
      </c>
      <c r="D41" s="117">
        <f>+C41+'17'!D41</f>
        <v>0</v>
      </c>
      <c r="E41" s="142">
        <f t="shared" si="10"/>
        <v>0</v>
      </c>
      <c r="F41" s="321"/>
      <c r="G41" s="321"/>
      <c r="H41" s="186" t="s">
        <v>69</v>
      </c>
      <c r="I41" s="141"/>
      <c r="J41" s="128">
        <f>J40/G4</f>
        <v>36.880833333333328</v>
      </c>
      <c r="K41" s="129" t="s">
        <v>63</v>
      </c>
    </row>
    <row r="42" spans="1:26" ht="17.45" customHeight="1">
      <c r="A42" s="765" t="s">
        <v>16</v>
      </c>
      <c r="B42" s="766"/>
      <c r="C42" s="163">
        <f>SUMIF($G$7:$G$31,"Instrument",$F$7:$F$31)</f>
        <v>0</v>
      </c>
      <c r="D42" s="117">
        <f>+C42+'17'!D42</f>
        <v>0</v>
      </c>
      <c r="E42" s="142">
        <f t="shared" si="10"/>
        <v>0</v>
      </c>
      <c r="F42" s="321">
        <f>+(F38*480+F39*480+F40*480)/1440</f>
        <v>1196.9930555555557</v>
      </c>
      <c r="G42" s="321">
        <f>+(G38*480+G39*480+G40*480)/1440</f>
        <v>913.44586805555559</v>
      </c>
      <c r="H42" s="186" t="s">
        <v>70</v>
      </c>
      <c r="I42" s="245" t="s">
        <v>647</v>
      </c>
      <c r="J42" s="131"/>
      <c r="K42" s="129" t="s">
        <v>71</v>
      </c>
    </row>
    <row r="43" spans="1:26" ht="17.45" customHeight="1">
      <c r="A43" s="765" t="s">
        <v>221</v>
      </c>
      <c r="B43" s="766"/>
      <c r="C43" s="163">
        <f>SUMIF($G$7:$G$31,"Change Grade",$F$7:$F$31)</f>
        <v>0</v>
      </c>
      <c r="D43" s="117">
        <f>+C43+'17'!D43</f>
        <v>0</v>
      </c>
      <c r="E43" s="142">
        <f t="shared" si="10"/>
        <v>0</v>
      </c>
      <c r="F43" s="321"/>
      <c r="G43" s="322"/>
      <c r="H43" s="187" t="s">
        <v>73</v>
      </c>
      <c r="I43" s="117">
        <f>+Report1!Z26</f>
        <v>58.8</v>
      </c>
      <c r="J43" s="132">
        <f>+I43+'17'!J43</f>
        <v>973</v>
      </c>
      <c r="K43" s="129" t="s">
        <v>63</v>
      </c>
      <c r="L43" s="188"/>
    </row>
    <row r="44" spans="1:26" ht="17.45" customHeight="1">
      <c r="A44" s="765" t="s">
        <v>17</v>
      </c>
      <c r="B44" s="766"/>
      <c r="C44" s="163">
        <f>SUMIF($G$7:$G$31,"PLN",$F$7:$F$31)</f>
        <v>0</v>
      </c>
      <c r="D44" s="117">
        <f>+C44+'17'!D44</f>
        <v>438</v>
      </c>
      <c r="E44" s="142">
        <f t="shared" si="10"/>
        <v>7.3</v>
      </c>
      <c r="F44" s="321"/>
      <c r="G44" s="322"/>
      <c r="H44" s="187" t="s">
        <v>74</v>
      </c>
      <c r="I44" s="117">
        <f>I43/I38</f>
        <v>1.449203923694977</v>
      </c>
      <c r="J44" s="133">
        <f>J43/J38</f>
        <v>1.4168823055718571</v>
      </c>
      <c r="K44" s="129" t="s">
        <v>63</v>
      </c>
    </row>
    <row r="45" spans="1:26" ht="17.45" customHeight="1">
      <c r="A45" s="765" t="s">
        <v>18</v>
      </c>
      <c r="B45" s="766"/>
      <c r="C45" s="163">
        <f>SUMIF($G$7:$G$31,"Boiler",$F$7:$F$31)</f>
        <v>0</v>
      </c>
      <c r="D45" s="117">
        <f>+C45+'17'!D45</f>
        <v>0</v>
      </c>
      <c r="E45" s="142">
        <f t="shared" si="10"/>
        <v>0</v>
      </c>
      <c r="F45" s="321"/>
      <c r="G45" s="324"/>
      <c r="H45" s="187" t="s">
        <v>75</v>
      </c>
      <c r="I45" s="117">
        <f>I43/I40</f>
        <v>1.6166726237936817</v>
      </c>
      <c r="J45" s="133">
        <f>J43/J40</f>
        <v>1.4656815117759152</v>
      </c>
      <c r="K45" s="129" t="s">
        <v>63</v>
      </c>
    </row>
    <row r="46" spans="1:26" ht="17.45" customHeight="1">
      <c r="A46" s="765" t="s">
        <v>76</v>
      </c>
      <c r="B46" s="766"/>
      <c r="C46" s="163">
        <f>SUMIF($G$7:$G$31,"Gas",$F$7:$F$31)</f>
        <v>0</v>
      </c>
      <c r="D46" s="117">
        <f>+C46+'17'!D46</f>
        <v>0</v>
      </c>
      <c r="E46" s="142">
        <f t="shared" si="10"/>
        <v>0</v>
      </c>
      <c r="F46" s="321"/>
      <c r="G46" s="322"/>
      <c r="H46" s="187" t="s">
        <v>77</v>
      </c>
      <c r="I46" s="139">
        <f>+SUMIF(Listrik!P25,"&gt;0")</f>
        <v>34893.780000000726</v>
      </c>
      <c r="J46" s="134">
        <f>+I46+'17'!J46</f>
        <v>631710.58000000147</v>
      </c>
      <c r="K46" s="129" t="s">
        <v>78</v>
      </c>
    </row>
    <row r="47" spans="1:26" ht="17.45" customHeight="1">
      <c r="A47" s="765" t="s">
        <v>79</v>
      </c>
      <c r="B47" s="766"/>
      <c r="C47" s="163">
        <f>SUMIF($G$7:$G$31,"Gas",$F$7:$F$31)</f>
        <v>0</v>
      </c>
      <c r="D47" s="117">
        <f>+C47+'17'!D47</f>
        <v>0</v>
      </c>
      <c r="E47" s="142">
        <f t="shared" si="10"/>
        <v>0</v>
      </c>
      <c r="F47" s="321"/>
      <c r="G47" s="322"/>
      <c r="H47" s="187" t="s">
        <v>80</v>
      </c>
      <c r="I47" s="117">
        <f>I46/I38</f>
        <v>860.0034504855505</v>
      </c>
      <c r="J47" s="134">
        <f>J46/J38</f>
        <v>919.89675544145643</v>
      </c>
      <c r="K47" s="129" t="s">
        <v>24</v>
      </c>
    </row>
    <row r="48" spans="1:26" ht="17.45" customHeight="1">
      <c r="A48" s="765" t="s">
        <v>14</v>
      </c>
      <c r="B48" s="766"/>
      <c r="C48" s="163">
        <f>SUMIF($G$7:$G$31,"Start Up",$F$7:$F$31)</f>
        <v>0</v>
      </c>
      <c r="D48" s="117">
        <f>+C48+'17'!D48</f>
        <v>0</v>
      </c>
      <c r="E48" s="142">
        <f t="shared" si="10"/>
        <v>0</v>
      </c>
      <c r="F48" s="321"/>
      <c r="G48" s="322"/>
      <c r="H48" s="187" t="s">
        <v>81</v>
      </c>
      <c r="I48" s="117">
        <f>I46/I40</f>
        <v>959.38467460341269</v>
      </c>
      <c r="J48" s="134">
        <f>J46/J40</f>
        <v>951.57915508658004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+C49+'17'!D49</f>
        <v>0</v>
      </c>
      <c r="E49" s="142">
        <f t="shared" si="10"/>
        <v>0</v>
      </c>
      <c r="F49" s="184"/>
      <c r="H49" s="187" t="s">
        <v>270</v>
      </c>
      <c r="I49" s="117">
        <f>+Report1!T26</f>
        <v>5628.2594412691624</v>
      </c>
      <c r="J49" s="134">
        <f>+I49+'17'!J49</f>
        <v>90147.621011775802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+C50+'17'!D50</f>
        <v>0</v>
      </c>
      <c r="E50" s="142">
        <f t="shared" si="10"/>
        <v>0</v>
      </c>
      <c r="F50" s="184"/>
      <c r="H50" s="187" t="s">
        <v>83</v>
      </c>
      <c r="I50" s="139">
        <f>I49/I38</f>
        <v>138.71591268470357</v>
      </c>
      <c r="J50" s="132">
        <f>J49/J38</f>
        <v>131.27293843883132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+C51+'17'!D51</f>
        <v>738</v>
      </c>
      <c r="E51" s="142">
        <f t="shared" si="10"/>
        <v>12.3</v>
      </c>
      <c r="F51" s="184"/>
      <c r="H51" s="189" t="s">
        <v>85</v>
      </c>
      <c r="I51" s="140">
        <f>I49/I40</f>
        <v>154.74579861068329</v>
      </c>
      <c r="J51" s="135">
        <f>J49/J40</f>
        <v>135.79414331710362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57</v>
      </c>
      <c r="D52" s="143">
        <f>SUM(D38:D51)</f>
        <v>2533</v>
      </c>
      <c r="E52" s="144">
        <f>SUM(E38:E51)</f>
        <v>42.216666666666669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3.9583333333333331E-2</v>
      </c>
      <c r="D53" s="145">
        <f>D52/(24*60*G4)</f>
        <v>9.7723765432098764E-2</v>
      </c>
      <c r="E53" s="146">
        <f>E52/(G4*24)</f>
        <v>9.7723765432098764E-2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+D34+'17'!J56</f>
        <v>2489</v>
      </c>
      <c r="K56" s="200">
        <f>J56/(J40+J56/1000)/1000</f>
        <v>3.7353078890182854E-3</v>
      </c>
    </row>
    <row r="57" spans="1:11">
      <c r="A57" s="175"/>
      <c r="I57" s="198" t="s">
        <v>88</v>
      </c>
      <c r="J57" s="199">
        <f>+E34+'17'!J57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F1" zoomScale="80" zoomScaleNormal="80" workbookViewId="0">
      <selection activeCell="N6" sqref="N6:S15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17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526</v>
      </c>
      <c r="O6" s="148">
        <v>1200</v>
      </c>
      <c r="P6" s="148">
        <f>+O6-(O6*0.22)</f>
        <v>936</v>
      </c>
      <c r="Q6" s="148">
        <v>480</v>
      </c>
      <c r="R6" s="148">
        <f t="shared" ref="R6:R8" si="0">+O6*Q6</f>
        <v>576000</v>
      </c>
      <c r="S6" s="148">
        <f t="shared" ref="S6:S8" si="1">+P6*Q6</f>
        <v>449280</v>
      </c>
    </row>
    <row r="7" spans="1:19" ht="13.5" customHeight="1" thickBot="1">
      <c r="A7" s="751" t="s">
        <v>389</v>
      </c>
      <c r="B7" s="214" t="s">
        <v>534</v>
      </c>
      <c r="C7" s="215">
        <v>14164</v>
      </c>
      <c r="D7" s="216"/>
      <c r="E7" s="217"/>
      <c r="F7" s="227">
        <v>6</v>
      </c>
      <c r="G7" s="228" t="s">
        <v>12</v>
      </c>
      <c r="H7" s="229" t="s">
        <v>400</v>
      </c>
      <c r="I7" s="754" t="s">
        <v>579</v>
      </c>
      <c r="J7" s="213" t="str">
        <f>+'16'!J7</f>
        <v>F 11,5 VP OW</v>
      </c>
      <c r="K7" s="237"/>
      <c r="L7" s="241"/>
      <c r="M7" s="116">
        <f>+K7+'16'!M7+L7</f>
        <v>168614</v>
      </c>
      <c r="N7" s="148" t="s">
        <v>526</v>
      </c>
      <c r="O7" s="148">
        <v>1200</v>
      </c>
      <c r="P7" s="148">
        <f t="shared" ref="P7:P8" si="2">+O7-(O7*0.22)</f>
        <v>936</v>
      </c>
      <c r="Q7" s="148">
        <v>480</v>
      </c>
      <c r="R7" s="148">
        <f t="shared" si="0"/>
        <v>576000</v>
      </c>
      <c r="S7" s="148">
        <f t="shared" si="1"/>
        <v>449280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+'16'!J8</f>
        <v>F 14 VP OW</v>
      </c>
      <c r="K8" s="238"/>
      <c r="L8" s="238"/>
      <c r="M8" s="116">
        <f>+K8+'16'!M8+L8</f>
        <v>78398</v>
      </c>
      <c r="N8" s="148" t="s">
        <v>526</v>
      </c>
      <c r="O8" s="148">
        <v>1200</v>
      </c>
      <c r="P8" s="148">
        <f t="shared" si="2"/>
        <v>936</v>
      </c>
      <c r="Q8" s="148">
        <v>480</v>
      </c>
      <c r="R8" s="148">
        <f t="shared" si="0"/>
        <v>576000</v>
      </c>
      <c r="S8" s="148">
        <f t="shared" si="1"/>
        <v>449280</v>
      </c>
    </row>
    <row r="9" spans="1:19" ht="13.5" thickBot="1">
      <c r="A9" s="752"/>
      <c r="B9" s="214"/>
      <c r="C9" s="215"/>
      <c r="D9" s="216"/>
      <c r="E9" s="219"/>
      <c r="F9" s="227">
        <v>20</v>
      </c>
      <c r="G9" s="560" t="s">
        <v>12</v>
      </c>
      <c r="H9" s="232" t="s">
        <v>386</v>
      </c>
      <c r="I9" s="755"/>
      <c r="J9" s="213" t="str">
        <f>+'16'!J9</f>
        <v>F 13 VP OW</v>
      </c>
      <c r="K9" s="238"/>
      <c r="L9" s="238"/>
      <c r="M9" s="116">
        <f>+K9+'16'!M9+L9</f>
        <v>22241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629</v>
      </c>
      <c r="I10" s="755"/>
      <c r="J10" s="213" t="str">
        <f>+'16'!J10</f>
        <v>F 12 VP OW</v>
      </c>
      <c r="K10" s="238"/>
      <c r="L10" s="238"/>
      <c r="M10" s="116">
        <f>+K10+'16'!M10+L10</f>
        <v>7645</v>
      </c>
    </row>
    <row r="11" spans="1:19" ht="26.25" thickBot="1">
      <c r="A11" s="752"/>
      <c r="B11" s="214"/>
      <c r="C11" s="215"/>
      <c r="D11" s="216"/>
      <c r="E11" s="218"/>
      <c r="F11" s="227"/>
      <c r="G11" s="231"/>
      <c r="H11" s="232" t="s">
        <v>632</v>
      </c>
      <c r="I11" s="755"/>
      <c r="J11" s="213" t="str">
        <f>+'16'!J11</f>
        <v>F 16 VP OW</v>
      </c>
      <c r="K11" s="238"/>
      <c r="L11" s="238"/>
      <c r="M11" s="116">
        <f>+K11+'16'!M11+L11</f>
        <v>37034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+'16'!J12</f>
        <v>F 15 VP OW</v>
      </c>
      <c r="K12" s="238"/>
      <c r="L12" s="238"/>
      <c r="M12" s="116">
        <f>+K12+'16'!M12+L12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+'16'!J13</f>
        <v>T 14 VP OW</v>
      </c>
      <c r="K13" s="238"/>
      <c r="L13" s="238"/>
      <c r="M13" s="116">
        <f>+K13+'16'!M13+L13</f>
        <v>5600</v>
      </c>
    </row>
    <row r="14" spans="1:19" ht="13.5" thickBot="1">
      <c r="A14" s="753"/>
      <c r="B14" s="164" t="s">
        <v>2</v>
      </c>
      <c r="C14" s="98">
        <f>SUM(C7:C13)</f>
        <v>14164</v>
      </c>
      <c r="D14" s="110">
        <f>SUM(D7:D13)</f>
        <v>0</v>
      </c>
      <c r="E14" s="111">
        <f>SUM(E5:E13)</f>
        <v>0</v>
      </c>
      <c r="F14" s="115">
        <f>SUM(F7:F13)</f>
        <v>26</v>
      </c>
      <c r="G14" s="158"/>
      <c r="H14" s="165"/>
      <c r="I14" s="166"/>
      <c r="J14" s="213" t="str">
        <f>+'16'!J14</f>
        <v>T 13 VP OW</v>
      </c>
      <c r="K14" s="238">
        <f>+C34</f>
        <v>42759</v>
      </c>
      <c r="L14" s="238"/>
      <c r="M14" s="116">
        <f>+K14+'16'!M14+L14</f>
        <v>295086</v>
      </c>
      <c r="Q14" s="175">
        <f>SUM(Q6:Q11)</f>
        <v>1440</v>
      </c>
      <c r="R14" s="175">
        <f>SUM(R6:R11)</f>
        <v>1728000</v>
      </c>
      <c r="S14" s="175">
        <f>SUM(S6:S11)</f>
        <v>1347840</v>
      </c>
    </row>
    <row r="15" spans="1:19" ht="13.5" customHeight="1" thickBot="1">
      <c r="A15" s="751" t="s">
        <v>390</v>
      </c>
      <c r="B15" s="164"/>
      <c r="C15" s="112">
        <f>C14/($C$23+$D$23+$E$23)</f>
        <v>1.0007065140596298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579</v>
      </c>
      <c r="J15" s="213" t="str">
        <f>+'16'!J15</f>
        <v>T 12 VP OW</v>
      </c>
      <c r="K15" s="238"/>
      <c r="L15" s="238"/>
      <c r="M15" s="116">
        <f>+K15+'16'!M15+L15</f>
        <v>9664</v>
      </c>
      <c r="Q15" s="148">
        <f>480-Q14</f>
        <v>-960</v>
      </c>
      <c r="R15" s="175">
        <f>+R14/Q14</f>
        <v>1200</v>
      </c>
      <c r="S15" s="175">
        <f>+S14/Q14</f>
        <v>936</v>
      </c>
    </row>
    <row r="16" spans="1:19" ht="13.5" thickBot="1">
      <c r="A16" s="757"/>
      <c r="B16" s="214" t="s">
        <v>534</v>
      </c>
      <c r="C16" s="221">
        <v>14154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+'16'!J16</f>
        <v>0</v>
      </c>
      <c r="K16" s="228"/>
      <c r="L16" s="228"/>
      <c r="M16" s="116">
        <f>+K16+'16'!M16+L16</f>
        <v>0</v>
      </c>
    </row>
    <row r="17" spans="1:13" ht="13.5" thickBot="1">
      <c r="A17" s="757"/>
      <c r="B17" s="214"/>
      <c r="C17" s="215"/>
      <c r="D17" s="216"/>
      <c r="E17" s="224"/>
      <c r="F17" s="227">
        <v>12</v>
      </c>
      <c r="G17" s="560" t="s">
        <v>12</v>
      </c>
      <c r="H17" s="232" t="s">
        <v>413</v>
      </c>
      <c r="I17" s="755"/>
      <c r="J17" s="213">
        <f>+'16'!J17</f>
        <v>0</v>
      </c>
      <c r="K17" s="228"/>
      <c r="L17" s="228"/>
      <c r="M17" s="116">
        <f>+K17+'16'!M17+L17</f>
        <v>0</v>
      </c>
    </row>
    <row r="18" spans="1:13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631</v>
      </c>
      <c r="I18" s="755"/>
      <c r="J18" s="213">
        <f>+'16'!J18</f>
        <v>0</v>
      </c>
      <c r="K18" s="238"/>
      <c r="L18" s="238"/>
      <c r="M18" s="116">
        <f>+K18+'16'!M18+L18</f>
        <v>0</v>
      </c>
    </row>
    <row r="19" spans="1:13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+'16'!J19</f>
        <v>0</v>
      </c>
      <c r="K19" s="238"/>
      <c r="L19" s="238"/>
      <c r="M19" s="116">
        <f>+K19+'16'!M19+L19</f>
        <v>0</v>
      </c>
    </row>
    <row r="20" spans="1:13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+'16'!J20</f>
        <v>0</v>
      </c>
      <c r="K20" s="239"/>
      <c r="L20" s="239"/>
      <c r="M20" s="116">
        <f>+K20+'16'!M20+L20</f>
        <v>0</v>
      </c>
    </row>
    <row r="21" spans="1:13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+'16'!J21</f>
        <v>0</v>
      </c>
      <c r="K21" s="238"/>
      <c r="L21" s="238"/>
      <c r="M21" s="116">
        <f>+K21+'16'!M21+L21</f>
        <v>0</v>
      </c>
    </row>
    <row r="22" spans="1:13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+'16'!J22</f>
        <v>0</v>
      </c>
      <c r="K22" s="238"/>
      <c r="L22" s="238"/>
      <c r="M22" s="116">
        <f>+K22+'16'!M22+L22</f>
        <v>0</v>
      </c>
    </row>
    <row r="23" spans="1:13" ht="13.5" thickBot="1">
      <c r="A23" s="758"/>
      <c r="B23" s="167" t="s">
        <v>2</v>
      </c>
      <c r="C23" s="99">
        <f>SUM(C16:C22)</f>
        <v>14154</v>
      </c>
      <c r="D23" s="110">
        <f>SUM(D16:D22)</f>
        <v>0</v>
      </c>
      <c r="E23" s="111">
        <f>SUM(E18:E22)</f>
        <v>0</v>
      </c>
      <c r="F23" s="115">
        <f>SUM(F15:F22)</f>
        <v>16</v>
      </c>
      <c r="G23" s="158"/>
      <c r="H23" s="165"/>
      <c r="I23" s="168"/>
      <c r="J23" s="213">
        <f>+'16'!J23</f>
        <v>0</v>
      </c>
      <c r="K23" s="238"/>
      <c r="L23" s="238"/>
      <c r="M23" s="116">
        <f>+K23+'16'!M23+L23</f>
        <v>0</v>
      </c>
    </row>
    <row r="24" spans="1:13" ht="13.5" customHeight="1" thickBot="1">
      <c r="A24" s="751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400</v>
      </c>
      <c r="I24" s="754" t="s">
        <v>579</v>
      </c>
      <c r="J24" s="213">
        <f>+'16'!J24</f>
        <v>0</v>
      </c>
      <c r="K24" s="238"/>
      <c r="L24" s="238"/>
      <c r="M24" s="116">
        <f>+K24+'16'!M24+L24</f>
        <v>0</v>
      </c>
    </row>
    <row r="25" spans="1:13" ht="13.5" thickBot="1">
      <c r="A25" s="757"/>
      <c r="B25" s="214" t="s">
        <v>534</v>
      </c>
      <c r="C25" s="225">
        <v>14441</v>
      </c>
      <c r="D25" s="216"/>
      <c r="E25" s="224"/>
      <c r="F25" s="230">
        <v>6</v>
      </c>
      <c r="G25" s="560" t="s">
        <v>12</v>
      </c>
      <c r="H25" s="229" t="s">
        <v>480</v>
      </c>
      <c r="I25" s="755"/>
      <c r="J25" s="213">
        <f>+'16'!J25</f>
        <v>0</v>
      </c>
      <c r="K25" s="238"/>
      <c r="L25" s="238"/>
      <c r="M25" s="116">
        <f>+K25+'16'!M25+L25</f>
        <v>0</v>
      </c>
    </row>
    <row r="26" spans="1:13" ht="13.5" thickBot="1">
      <c r="A26" s="757"/>
      <c r="B26" s="214"/>
      <c r="C26" s="225"/>
      <c r="D26" s="216"/>
      <c r="E26" s="226"/>
      <c r="F26" s="227">
        <f>32-12</f>
        <v>20</v>
      </c>
      <c r="G26" s="560" t="s">
        <v>12</v>
      </c>
      <c r="H26" s="232" t="s">
        <v>514</v>
      </c>
      <c r="I26" s="755"/>
      <c r="J26" s="213">
        <f>+'16'!J26</f>
        <v>0</v>
      </c>
      <c r="K26" s="238"/>
      <c r="L26" s="238"/>
      <c r="M26" s="116">
        <f>+K26+'16'!M26+L26</f>
        <v>0</v>
      </c>
    </row>
    <row r="27" spans="1:13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576</v>
      </c>
      <c r="I27" s="755"/>
      <c r="J27" s="213">
        <f>+'16'!J27</f>
        <v>0</v>
      </c>
      <c r="K27" s="238"/>
      <c r="L27" s="238"/>
      <c r="M27" s="116">
        <f>+K27+'16'!M27+L27</f>
        <v>0</v>
      </c>
    </row>
    <row r="28" spans="1:13" ht="90" thickBot="1">
      <c r="A28" s="757"/>
      <c r="B28" s="214"/>
      <c r="C28" s="215"/>
      <c r="D28" s="216"/>
      <c r="E28" s="224"/>
      <c r="F28" s="230"/>
      <c r="G28" s="231"/>
      <c r="H28" s="232" t="s">
        <v>633</v>
      </c>
      <c r="I28" s="755"/>
      <c r="J28" s="213">
        <f>+'16'!J28</f>
        <v>0</v>
      </c>
      <c r="K28" s="238"/>
      <c r="L28" s="238"/>
      <c r="M28" s="116">
        <f>+K28+'16'!M28+L28</f>
        <v>0</v>
      </c>
    </row>
    <row r="29" spans="1:13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+'16'!J29</f>
        <v>0</v>
      </c>
      <c r="K29" s="238"/>
      <c r="L29" s="238"/>
      <c r="M29" s="116">
        <f>+K29+'16'!M29+L29</f>
        <v>0</v>
      </c>
    </row>
    <row r="30" spans="1:13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+'16'!J30</f>
        <v>0</v>
      </c>
      <c r="K30" s="238"/>
      <c r="L30" s="238"/>
      <c r="M30" s="116">
        <f>+K30+'16'!M30+L30</f>
        <v>0</v>
      </c>
    </row>
    <row r="31" spans="1:13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+'16'!J31</f>
        <v>0</v>
      </c>
      <c r="K31" s="238"/>
      <c r="L31" s="238"/>
      <c r="M31" s="116">
        <f>+K31+'16'!M31+L31</f>
        <v>0</v>
      </c>
    </row>
    <row r="32" spans="1:13" ht="13.5" thickBot="1">
      <c r="A32" s="758"/>
      <c r="B32" s="164" t="s">
        <v>2</v>
      </c>
      <c r="C32" s="98">
        <f>SUM(C25:C31)</f>
        <v>14441</v>
      </c>
      <c r="D32" s="99">
        <f>SUM(D25:D31)</f>
        <v>0</v>
      </c>
      <c r="E32" s="100">
        <f>SUM(E25:E31)</f>
        <v>0</v>
      </c>
      <c r="F32" s="101">
        <f>SUM(F24:F31)</f>
        <v>32</v>
      </c>
      <c r="G32" s="170"/>
      <c r="H32" s="171"/>
      <c r="I32" s="168"/>
      <c r="J32" s="213">
        <f>+'16'!J32</f>
        <v>0</v>
      </c>
      <c r="K32" s="240"/>
      <c r="L32" s="242"/>
      <c r="M32" s="116">
        <f>+K32+'16'!M32+L32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9" t="s">
        <v>57</v>
      </c>
      <c r="B34" s="760"/>
      <c r="C34" s="106">
        <f>C14+C23+C32</f>
        <v>42759</v>
      </c>
      <c r="D34" s="106">
        <f>D14+D23+D32</f>
        <v>0</v>
      </c>
      <c r="E34" s="106">
        <f>E14+E23+E32</f>
        <v>0</v>
      </c>
      <c r="F34" s="107">
        <f>F14+F23+F32</f>
        <v>74</v>
      </c>
      <c r="H34" s="177"/>
      <c r="I34" s="177"/>
      <c r="J34" s="122" t="s">
        <v>28</v>
      </c>
      <c r="K34" s="123">
        <f>SUM(K7:K32)</f>
        <v>42759</v>
      </c>
      <c r="L34" s="211">
        <f>SUM(L7:L32)</f>
        <v>0</v>
      </c>
      <c r="M34" s="119">
        <f>SUM(M7:M32)</f>
        <v>627484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48.010060799999998</v>
      </c>
      <c r="J37" s="124">
        <f>+I37+'16'!J37</f>
        <v>718.8387109143008</v>
      </c>
      <c r="K37" s="125" t="s">
        <v>63</v>
      </c>
    </row>
    <row r="38" spans="1:13" ht="17.45" customHeight="1">
      <c r="A38" s="763" t="s">
        <v>12</v>
      </c>
      <c r="B38" s="764"/>
      <c r="C38" s="163">
        <f>SUMIF($G$7:$G$31,"Process",$F$7:$F$31)</f>
        <v>74</v>
      </c>
      <c r="D38" s="117">
        <f>+C38+'16'!D38</f>
        <v>1061</v>
      </c>
      <c r="E38" s="142">
        <f t="shared" ref="E38:E51" si="3">D38/60</f>
        <v>17.683333333333334</v>
      </c>
      <c r="F38" s="321">
        <v>1200</v>
      </c>
      <c r="G38" s="321">
        <v>936</v>
      </c>
      <c r="H38" s="186" t="s">
        <v>64</v>
      </c>
      <c r="I38" s="244">
        <f>14.422+15.872+12.858</f>
        <v>43.152000000000001</v>
      </c>
      <c r="J38" s="126">
        <f>+I38+'16'!J38</f>
        <v>646.14499999999998</v>
      </c>
      <c r="K38" s="127" t="s">
        <v>63</v>
      </c>
    </row>
    <row r="39" spans="1:13" ht="17.45" customHeight="1">
      <c r="A39" s="765" t="s">
        <v>13</v>
      </c>
      <c r="B39" s="766"/>
      <c r="C39" s="163">
        <f>SUMIF($G$7:$G$31,"Cleaning",$F$7:$F$31)</f>
        <v>0</v>
      </c>
      <c r="D39" s="117">
        <f>+C39+'16'!D39</f>
        <v>33</v>
      </c>
      <c r="E39" s="142">
        <f t="shared" si="3"/>
        <v>0.55000000000000004</v>
      </c>
      <c r="F39" s="321">
        <v>1200</v>
      </c>
      <c r="G39" s="321">
        <v>936</v>
      </c>
      <c r="H39" s="186" t="s">
        <v>65</v>
      </c>
      <c r="I39" s="141"/>
      <c r="J39" s="128">
        <f>J37/G4</f>
        <v>42.284630053782401</v>
      </c>
      <c r="K39" s="129" t="s">
        <v>63</v>
      </c>
    </row>
    <row r="40" spans="1:13" ht="17.45" customHeight="1">
      <c r="A40" s="765" t="s">
        <v>66</v>
      </c>
      <c r="B40" s="766"/>
      <c r="C40" s="163">
        <f>SUMIF($G$7:$G$31,"Mechanical",$F$7:$F$31)</f>
        <v>0</v>
      </c>
      <c r="D40" s="117">
        <f>+C40+'16'!D40</f>
        <v>206</v>
      </c>
      <c r="E40" s="142">
        <f t="shared" si="3"/>
        <v>3.4333333333333331</v>
      </c>
      <c r="F40" s="321">
        <v>1200</v>
      </c>
      <c r="G40" s="321">
        <v>936</v>
      </c>
      <c r="H40" s="186" t="s">
        <v>67</v>
      </c>
      <c r="I40" s="117">
        <f>(K34+L34)/1000</f>
        <v>42.759</v>
      </c>
      <c r="J40" s="130">
        <f>+I40+'16'!J40</f>
        <v>627.48399999999992</v>
      </c>
      <c r="K40" s="129" t="s">
        <v>63</v>
      </c>
    </row>
    <row r="41" spans="1:13" ht="17.45" customHeight="1">
      <c r="A41" s="765" t="s">
        <v>68</v>
      </c>
      <c r="B41" s="766"/>
      <c r="C41" s="163">
        <f>SUMIF($G$7:$G$31,"Electrical",$F$7:$F$31)</f>
        <v>0</v>
      </c>
      <c r="D41" s="117">
        <f>+C41+'16'!D41</f>
        <v>0</v>
      </c>
      <c r="E41" s="142">
        <f t="shared" si="3"/>
        <v>0</v>
      </c>
      <c r="F41" s="321"/>
      <c r="G41" s="321"/>
      <c r="H41" s="186" t="s">
        <v>69</v>
      </c>
      <c r="I41" s="141"/>
      <c r="J41" s="128">
        <f>J40/G4</f>
        <v>36.910823529411758</v>
      </c>
      <c r="K41" s="129" t="s">
        <v>63</v>
      </c>
    </row>
    <row r="42" spans="1:13" ht="17.45" customHeight="1">
      <c r="A42" s="765" t="s">
        <v>16</v>
      </c>
      <c r="B42" s="766"/>
      <c r="C42" s="163">
        <f>SUMIF($G$7:$G$31,"Instrument",$F$7:$F$31)</f>
        <v>0</v>
      </c>
      <c r="D42" s="117">
        <f>+C42+'16'!D42</f>
        <v>0</v>
      </c>
      <c r="E42" s="142">
        <f t="shared" si="3"/>
        <v>0</v>
      </c>
      <c r="F42" s="321">
        <f>+(F38*480+F40*480+F39*480)/1440</f>
        <v>1200</v>
      </c>
      <c r="G42" s="321">
        <f>+(G38*480+G40*480+G39*480)/1440</f>
        <v>936</v>
      </c>
      <c r="H42" s="186" t="s">
        <v>70</v>
      </c>
      <c r="I42" s="245" t="s">
        <v>579</v>
      </c>
      <c r="J42" s="131"/>
      <c r="K42" s="129" t="s">
        <v>71</v>
      </c>
    </row>
    <row r="43" spans="1:13" ht="17.45" customHeight="1">
      <c r="A43" s="765" t="s">
        <v>72</v>
      </c>
      <c r="B43" s="766"/>
      <c r="C43" s="163">
        <f>SUMIF($G$7:$G$31,"Water",$F$7:$F$31)</f>
        <v>0</v>
      </c>
      <c r="D43" s="117">
        <f>+C43+'16'!D43</f>
        <v>0</v>
      </c>
      <c r="E43" s="142">
        <f t="shared" si="3"/>
        <v>0</v>
      </c>
      <c r="F43" s="321"/>
      <c r="G43" s="322"/>
      <c r="H43" s="187" t="s">
        <v>73</v>
      </c>
      <c r="I43" s="117">
        <f>+Report1!Z25</f>
        <v>60.1</v>
      </c>
      <c r="J43" s="132">
        <f>+I43+'16'!J43</f>
        <v>914.2</v>
      </c>
      <c r="K43" s="129" t="s">
        <v>63</v>
      </c>
      <c r="L43" s="188"/>
    </row>
    <row r="44" spans="1:13" ht="17.45" customHeight="1">
      <c r="A44" s="765" t="s">
        <v>17</v>
      </c>
      <c r="B44" s="766"/>
      <c r="C44" s="163">
        <f>SUMIF($G$7:$G$31,"PLN",$F$7:$F$31)</f>
        <v>0</v>
      </c>
      <c r="D44" s="117">
        <f>+C44+'16'!D44</f>
        <v>438</v>
      </c>
      <c r="E44" s="142">
        <f t="shared" si="3"/>
        <v>7.3</v>
      </c>
      <c r="F44" s="321"/>
      <c r="G44" s="322"/>
      <c r="H44" s="187" t="s">
        <v>74</v>
      </c>
      <c r="I44" s="117">
        <f>I43/I38</f>
        <v>1.3927512050426401</v>
      </c>
      <c r="J44" s="133">
        <f>J43/J38</f>
        <v>1.4148527033405816</v>
      </c>
      <c r="K44" s="129" t="s">
        <v>63</v>
      </c>
    </row>
    <row r="45" spans="1:13" ht="17.45" customHeight="1">
      <c r="A45" s="765" t="s">
        <v>18</v>
      </c>
      <c r="B45" s="766"/>
      <c r="C45" s="163">
        <f>SUMIF($G$7:$G$31,"Boiler",$F$7:$F$31)</f>
        <v>0</v>
      </c>
      <c r="D45" s="117">
        <f>+C45+'16'!D45</f>
        <v>0</v>
      </c>
      <c r="E45" s="142">
        <f t="shared" si="3"/>
        <v>0</v>
      </c>
      <c r="F45" s="321"/>
      <c r="G45" s="324"/>
      <c r="H45" s="187" t="s">
        <v>75</v>
      </c>
      <c r="I45" s="117">
        <f>I43/I40</f>
        <v>1.405552047522159</v>
      </c>
      <c r="J45" s="133">
        <f>J43/J40</f>
        <v>1.4569295790809011</v>
      </c>
      <c r="K45" s="129" t="s">
        <v>63</v>
      </c>
    </row>
    <row r="46" spans="1:13" ht="17.45" customHeight="1">
      <c r="A46" s="765" t="s">
        <v>76</v>
      </c>
      <c r="B46" s="766"/>
      <c r="C46" s="163">
        <f>SUMIF($G$7:$G$31,"Gas",$F$7:$F$31)</f>
        <v>0</v>
      </c>
      <c r="D46" s="117">
        <f>+C46+'16'!D46</f>
        <v>0</v>
      </c>
      <c r="E46" s="142">
        <f t="shared" si="3"/>
        <v>0</v>
      </c>
      <c r="F46" s="321"/>
      <c r="G46" s="322"/>
      <c r="H46" s="187" t="s">
        <v>77</v>
      </c>
      <c r="I46" s="139">
        <f>+SUMIF(Listrik!P24,"&gt;0")</f>
        <v>35349.840000000724</v>
      </c>
      <c r="J46" s="134">
        <f>+I46+'16'!J46</f>
        <v>596816.80000000075</v>
      </c>
      <c r="K46" s="129" t="s">
        <v>78</v>
      </c>
    </row>
    <row r="47" spans="1:13" ht="17.45" customHeight="1">
      <c r="A47" s="765" t="s">
        <v>79</v>
      </c>
      <c r="B47" s="766"/>
      <c r="C47" s="163">
        <f>SUMIF($G$7:$G$31,"Gas",$F$7:$F$31)</f>
        <v>0</v>
      </c>
      <c r="D47" s="117">
        <f>+C47+'16'!D47</f>
        <v>0</v>
      </c>
      <c r="E47" s="142">
        <f t="shared" si="3"/>
        <v>0</v>
      </c>
      <c r="F47" s="321"/>
      <c r="G47" s="322"/>
      <c r="H47" s="187" t="s">
        <v>80</v>
      </c>
      <c r="I47" s="117">
        <f>I46/I38</f>
        <v>819.19354838711354</v>
      </c>
      <c r="J47" s="134">
        <f>J46/J38</f>
        <v>923.65769293270205</v>
      </c>
      <c r="K47" s="129" t="s">
        <v>24</v>
      </c>
    </row>
    <row r="48" spans="1:13" ht="17.45" customHeight="1">
      <c r="A48" s="765" t="s">
        <v>14</v>
      </c>
      <c r="B48" s="766"/>
      <c r="C48" s="163">
        <f>SUMIF($G$7:$G$31,"Start Up",$F$7:$F$31)</f>
        <v>0</v>
      </c>
      <c r="D48" s="117">
        <f>+C48+'16'!D48</f>
        <v>0</v>
      </c>
      <c r="E48" s="142">
        <f t="shared" si="3"/>
        <v>0</v>
      </c>
      <c r="F48" s="321"/>
      <c r="G48" s="322"/>
      <c r="H48" s="187" t="s">
        <v>81</v>
      </c>
      <c r="I48" s="117">
        <f>I46/I40</f>
        <v>826.72279520102722</v>
      </c>
      <c r="J48" s="134">
        <f>J46/J40</f>
        <v>951.12672195625839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+C49+'16'!D49</f>
        <v>0</v>
      </c>
      <c r="E49" s="142">
        <f t="shared" si="3"/>
        <v>0</v>
      </c>
      <c r="F49" s="184"/>
      <c r="H49" s="187" t="s">
        <v>270</v>
      </c>
      <c r="I49" s="117">
        <f>+Report1!T25</f>
        <v>5611.4258626735418</v>
      </c>
      <c r="J49" s="134">
        <f>+I49+'16'!J49</f>
        <v>84519.361570506633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+C50+'16'!D50</f>
        <v>0</v>
      </c>
      <c r="E50" s="142">
        <f t="shared" si="3"/>
        <v>0</v>
      </c>
      <c r="F50" s="184"/>
      <c r="H50" s="187" t="s">
        <v>83</v>
      </c>
      <c r="I50" s="139">
        <f>I49/I38</f>
        <v>130.03860452988371</v>
      </c>
      <c r="J50" s="132">
        <f>J49/J38</f>
        <v>130.80556464958582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+C51+'16'!D51</f>
        <v>738</v>
      </c>
      <c r="E51" s="142">
        <f t="shared" si="3"/>
        <v>12.3</v>
      </c>
      <c r="F51" s="184"/>
      <c r="H51" s="189" t="s">
        <v>85</v>
      </c>
      <c r="I51" s="140">
        <f>I49/I40</f>
        <v>131.23379552079192</v>
      </c>
      <c r="J51" s="135">
        <f>J49/J40</f>
        <v>134.69564414472185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74</v>
      </c>
      <c r="D52" s="143">
        <f>SUM(D38:D51)</f>
        <v>2476</v>
      </c>
      <c r="E52" s="144">
        <f>SUM(E38:E51)</f>
        <v>41.266666666666666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5.1388888888888887E-2</v>
      </c>
      <c r="D53" s="145">
        <f>D52/(24*60*G4)</f>
        <v>0.1011437908496732</v>
      </c>
      <c r="E53" s="146">
        <f>E52/(G4*24)</f>
        <v>0.1011437908496732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+D34+'16'!J56</f>
        <v>1989</v>
      </c>
      <c r="K56" s="200">
        <f>J56/(J40+J56/1000)/1000</f>
        <v>3.1597860432456995E-3</v>
      </c>
    </row>
    <row r="57" spans="1:11">
      <c r="A57" s="175"/>
      <c r="I57" s="198" t="s">
        <v>88</v>
      </c>
      <c r="J57" s="199">
        <f>+E34+'16'!J57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5:B45"/>
    <mergeCell ref="A46:B46"/>
    <mergeCell ref="A51:B51"/>
    <mergeCell ref="A52:B52"/>
    <mergeCell ref="A53:B53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37:B37"/>
    <mergeCell ref="A38:B38"/>
    <mergeCell ref="I24:I31"/>
    <mergeCell ref="A24:A32"/>
    <mergeCell ref="A39:B39"/>
    <mergeCell ref="A7:A14"/>
    <mergeCell ref="I7:I13"/>
    <mergeCell ref="A15:A23"/>
    <mergeCell ref="I15:I22"/>
    <mergeCell ref="A34:B3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7"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16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526</v>
      </c>
      <c r="O6" s="148">
        <v>1200</v>
      </c>
      <c r="P6" s="148">
        <f>+O6-(O6*0.22)</f>
        <v>936</v>
      </c>
      <c r="Q6" s="148">
        <v>480</v>
      </c>
      <c r="R6" s="148">
        <f t="shared" ref="R6:R8" si="0">+O6*Q6</f>
        <v>576000</v>
      </c>
      <c r="S6" s="148">
        <f t="shared" ref="S6:S8" si="1">+P6*Q6</f>
        <v>449280</v>
      </c>
    </row>
    <row r="7" spans="1:19" ht="13.5" customHeight="1" thickBot="1">
      <c r="A7" s="751" t="s">
        <v>389</v>
      </c>
      <c r="B7" s="214" t="s">
        <v>534</v>
      </c>
      <c r="C7" s="215">
        <v>16241</v>
      </c>
      <c r="D7" s="216"/>
      <c r="E7" s="217"/>
      <c r="F7" s="227">
        <v>4</v>
      </c>
      <c r="G7" s="228" t="s">
        <v>12</v>
      </c>
      <c r="H7" s="229" t="s">
        <v>400</v>
      </c>
      <c r="I7" s="754" t="s">
        <v>579</v>
      </c>
      <c r="J7" s="213" t="str">
        <f>+'15'!J7</f>
        <v>F 11,5 VP OW</v>
      </c>
      <c r="K7" s="237"/>
      <c r="L7" s="241"/>
      <c r="M7" s="116">
        <f>+K7+'15'!M7+L7</f>
        <v>168614</v>
      </c>
      <c r="N7" s="148" t="s">
        <v>526</v>
      </c>
      <c r="O7" s="148">
        <v>1200</v>
      </c>
      <c r="P7" s="148">
        <f t="shared" ref="P7:P8" si="2">+O7-(O7*0.22)</f>
        <v>936</v>
      </c>
      <c r="Q7" s="148">
        <v>480</v>
      </c>
      <c r="R7" s="148">
        <f t="shared" si="0"/>
        <v>576000</v>
      </c>
      <c r="S7" s="148">
        <f t="shared" si="1"/>
        <v>449280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+'15'!J8</f>
        <v>F 14 VP OW</v>
      </c>
      <c r="K8" s="238"/>
      <c r="L8" s="238"/>
      <c r="M8" s="116">
        <f>+K8+'15'!M8+L8</f>
        <v>78398</v>
      </c>
      <c r="N8" s="148" t="s">
        <v>526</v>
      </c>
      <c r="O8" s="148">
        <v>1200</v>
      </c>
      <c r="P8" s="148">
        <f t="shared" si="2"/>
        <v>936</v>
      </c>
      <c r="Q8" s="148">
        <v>480</v>
      </c>
      <c r="R8" s="148">
        <f t="shared" si="0"/>
        <v>576000</v>
      </c>
      <c r="S8" s="148">
        <f t="shared" si="1"/>
        <v>449280</v>
      </c>
    </row>
    <row r="9" spans="1:19" ht="13.5" thickBot="1">
      <c r="A9" s="752"/>
      <c r="B9" s="214"/>
      <c r="C9" s="215"/>
      <c r="D9" s="216"/>
      <c r="E9" s="219"/>
      <c r="F9" s="227">
        <v>17</v>
      </c>
      <c r="G9" s="560" t="s">
        <v>12</v>
      </c>
      <c r="H9" s="232" t="s">
        <v>386</v>
      </c>
      <c r="I9" s="755"/>
      <c r="J9" s="213" t="str">
        <f>+'15'!J9</f>
        <v>F 13 VP OW</v>
      </c>
      <c r="K9" s="238"/>
      <c r="L9" s="238"/>
      <c r="M9" s="116">
        <f>+K9+'15'!M9+L9</f>
        <v>22241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629</v>
      </c>
      <c r="I10" s="755"/>
      <c r="J10" s="213" t="str">
        <f>+'15'!J10</f>
        <v>F 12 VP OW</v>
      </c>
      <c r="K10" s="238"/>
      <c r="L10" s="238"/>
      <c r="M10" s="116">
        <f>+K10+'15'!M10+L10</f>
        <v>7645</v>
      </c>
    </row>
    <row r="11" spans="1:19" ht="13.5" thickBot="1">
      <c r="A11" s="752"/>
      <c r="B11" s="214"/>
      <c r="C11" s="215"/>
      <c r="D11" s="216"/>
      <c r="E11" s="218"/>
      <c r="F11" s="227"/>
      <c r="G11" s="231"/>
      <c r="H11" s="232"/>
      <c r="I11" s="755"/>
      <c r="J11" s="213" t="str">
        <f>+'15'!J11</f>
        <v>F 16 VP OW</v>
      </c>
      <c r="K11" s="238"/>
      <c r="L11" s="238"/>
      <c r="M11" s="116">
        <f>+K11+'15'!M11+L11</f>
        <v>37034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+'15'!J12</f>
        <v>F 15 VP OW</v>
      </c>
      <c r="K12" s="238"/>
      <c r="L12" s="238"/>
      <c r="M12" s="116">
        <f>+K12+'15'!M12+L12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+'15'!J13</f>
        <v>T 14 VP OW</v>
      </c>
      <c r="K13" s="238"/>
      <c r="L13" s="238"/>
      <c r="M13" s="116">
        <f>+K13+'15'!M13+L13</f>
        <v>5600</v>
      </c>
    </row>
    <row r="14" spans="1:19" ht="13.5" thickBot="1">
      <c r="A14" s="753"/>
      <c r="B14" s="164" t="s">
        <v>2</v>
      </c>
      <c r="C14" s="98">
        <f>SUM(C7:C13)</f>
        <v>16241</v>
      </c>
      <c r="D14" s="110">
        <f>SUM(D7:D13)</f>
        <v>0</v>
      </c>
      <c r="E14" s="111">
        <f>SUM(E5:E13)</f>
        <v>0</v>
      </c>
      <c r="F14" s="115">
        <f>SUM(F7:F13)</f>
        <v>21</v>
      </c>
      <c r="G14" s="158"/>
      <c r="H14" s="165"/>
      <c r="I14" s="166"/>
      <c r="J14" s="213" t="str">
        <f>+'15'!J14</f>
        <v>T 13 VP OW</v>
      </c>
      <c r="K14" s="238">
        <f>+C34</f>
        <v>46641</v>
      </c>
      <c r="L14" s="238"/>
      <c r="M14" s="116">
        <f>+K14+'15'!M14+L14</f>
        <v>252327</v>
      </c>
      <c r="Q14" s="175">
        <f>SUM(Q6:Q11)</f>
        <v>1440</v>
      </c>
      <c r="R14" s="175">
        <f>SUM(R6:R11)</f>
        <v>1728000</v>
      </c>
      <c r="S14" s="175">
        <f>SUM(S6:S11)</f>
        <v>1347840</v>
      </c>
    </row>
    <row r="15" spans="1:19" ht="13.5" customHeight="1" thickBot="1">
      <c r="A15" s="751" t="s">
        <v>390</v>
      </c>
      <c r="B15" s="164"/>
      <c r="C15" s="112">
        <f>C14/($C$23+$D$23+$E$23)</f>
        <v>1.1132359997258208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579</v>
      </c>
      <c r="J15" s="213" t="str">
        <f>+'15'!J15</f>
        <v>T 12 VP OW</v>
      </c>
      <c r="K15" s="238"/>
      <c r="L15" s="238"/>
      <c r="M15" s="116">
        <f>+K15+'15'!M15+L15</f>
        <v>9664</v>
      </c>
      <c r="Q15" s="148">
        <f>480-Q14</f>
        <v>-960</v>
      </c>
      <c r="R15" s="175">
        <f>+R14/Q14</f>
        <v>1200</v>
      </c>
      <c r="S15" s="175">
        <f>+S14/Q14</f>
        <v>936</v>
      </c>
    </row>
    <row r="16" spans="1:19" ht="13.5" thickBot="1">
      <c r="A16" s="757"/>
      <c r="B16" s="214" t="s">
        <v>534</v>
      </c>
      <c r="C16" s="221">
        <v>14589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+'15'!J16</f>
        <v>0</v>
      </c>
      <c r="K16" s="228"/>
      <c r="L16" s="228"/>
      <c r="M16" s="116">
        <f>+K16+'15'!M16+L16</f>
        <v>0</v>
      </c>
    </row>
    <row r="17" spans="1:13" ht="13.5" thickBot="1">
      <c r="A17" s="757"/>
      <c r="B17" s="214"/>
      <c r="C17" s="215"/>
      <c r="D17" s="216"/>
      <c r="E17" s="224"/>
      <c r="F17" s="227">
        <v>14</v>
      </c>
      <c r="G17" s="560" t="s">
        <v>12</v>
      </c>
      <c r="H17" s="232" t="s">
        <v>386</v>
      </c>
      <c r="I17" s="755"/>
      <c r="J17" s="213">
        <f>+'15'!J17</f>
        <v>0</v>
      </c>
      <c r="K17" s="228"/>
      <c r="L17" s="228"/>
      <c r="M17" s="116">
        <f>+K17+'15'!M17+L17</f>
        <v>0</v>
      </c>
    </row>
    <row r="18" spans="1:13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631</v>
      </c>
      <c r="I18" s="755"/>
      <c r="J18" s="213">
        <f>+'15'!J18</f>
        <v>0</v>
      </c>
      <c r="K18" s="238"/>
      <c r="L18" s="238"/>
      <c r="M18" s="116">
        <f>+K18+'15'!M18+L18</f>
        <v>0</v>
      </c>
    </row>
    <row r="19" spans="1:13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+'15'!J19</f>
        <v>0</v>
      </c>
      <c r="K19" s="238"/>
      <c r="L19" s="238"/>
      <c r="M19" s="116">
        <f>+K19+'15'!M19+L19</f>
        <v>0</v>
      </c>
    </row>
    <row r="20" spans="1:13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+'15'!J20</f>
        <v>0</v>
      </c>
      <c r="K20" s="239"/>
      <c r="L20" s="239"/>
      <c r="M20" s="116">
        <f>+K20+'15'!M20+L20</f>
        <v>0</v>
      </c>
    </row>
    <row r="21" spans="1:13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+'15'!J21</f>
        <v>0</v>
      </c>
      <c r="K21" s="238"/>
      <c r="L21" s="238"/>
      <c r="M21" s="116">
        <f>+K21+'15'!M21+L21</f>
        <v>0</v>
      </c>
    </row>
    <row r="22" spans="1:13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+'15'!J22</f>
        <v>0</v>
      </c>
      <c r="K22" s="238"/>
      <c r="L22" s="238"/>
      <c r="M22" s="116">
        <f>+K22+'15'!M22+L22</f>
        <v>0</v>
      </c>
    </row>
    <row r="23" spans="1:13" ht="13.5" thickBot="1">
      <c r="A23" s="758"/>
      <c r="B23" s="167" t="s">
        <v>2</v>
      </c>
      <c r="C23" s="99">
        <f>SUM(C16:C22)</f>
        <v>14589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+'15'!J23</f>
        <v>0</v>
      </c>
      <c r="K23" s="238"/>
      <c r="L23" s="238"/>
      <c r="M23" s="116">
        <f>+K23+'15'!M23+L23</f>
        <v>0</v>
      </c>
    </row>
    <row r="24" spans="1:13" ht="13.5" customHeight="1" thickBot="1">
      <c r="A24" s="751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579</v>
      </c>
      <c r="J24" s="213">
        <f>+'15'!J24</f>
        <v>0</v>
      </c>
      <c r="K24" s="238"/>
      <c r="L24" s="238"/>
      <c r="M24" s="116">
        <f>+K24+'15'!M24+L24</f>
        <v>0</v>
      </c>
    </row>
    <row r="25" spans="1:13" ht="13.5" thickBot="1">
      <c r="A25" s="757"/>
      <c r="B25" s="214" t="s">
        <v>534</v>
      </c>
      <c r="C25" s="225">
        <v>15811</v>
      </c>
      <c r="D25" s="216"/>
      <c r="E25" s="224"/>
      <c r="F25" s="230">
        <v>2</v>
      </c>
      <c r="G25" s="560" t="s">
        <v>12</v>
      </c>
      <c r="H25" s="229" t="s">
        <v>414</v>
      </c>
      <c r="I25" s="755"/>
      <c r="J25" s="213">
        <f>+'15'!J25</f>
        <v>0</v>
      </c>
      <c r="K25" s="238"/>
      <c r="L25" s="238"/>
      <c r="M25" s="116">
        <f>+K25+'15'!M25+L25</f>
        <v>0</v>
      </c>
    </row>
    <row r="26" spans="1:13" ht="13.5" thickBot="1">
      <c r="A26" s="757"/>
      <c r="B26" s="214"/>
      <c r="C26" s="225"/>
      <c r="D26" s="216"/>
      <c r="E26" s="226"/>
      <c r="F26" s="227">
        <v>11</v>
      </c>
      <c r="G26" s="560" t="s">
        <v>12</v>
      </c>
      <c r="H26" s="232" t="s">
        <v>413</v>
      </c>
      <c r="I26" s="755"/>
      <c r="J26" s="213">
        <f>+'15'!J26</f>
        <v>0</v>
      </c>
      <c r="K26" s="238"/>
      <c r="L26" s="238"/>
      <c r="M26" s="116">
        <f>+K26+'15'!M26+L26</f>
        <v>0</v>
      </c>
    </row>
    <row r="27" spans="1:13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630</v>
      </c>
      <c r="I27" s="755"/>
      <c r="J27" s="213">
        <f>+'15'!J27</f>
        <v>0</v>
      </c>
      <c r="K27" s="238"/>
      <c r="L27" s="238"/>
      <c r="M27" s="116">
        <f>+K27+'15'!M27+L27</f>
        <v>0</v>
      </c>
    </row>
    <row r="28" spans="1:13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+'15'!J28</f>
        <v>0</v>
      </c>
      <c r="K28" s="238"/>
      <c r="L28" s="238"/>
      <c r="M28" s="116">
        <f>+K28+'15'!M28+L28</f>
        <v>0</v>
      </c>
    </row>
    <row r="29" spans="1:13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+'15'!J29</f>
        <v>0</v>
      </c>
      <c r="K29" s="238"/>
      <c r="L29" s="238"/>
      <c r="M29" s="116">
        <f>+K29+'15'!M29+L29</f>
        <v>0</v>
      </c>
    </row>
    <row r="30" spans="1:13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+'15'!J30</f>
        <v>0</v>
      </c>
      <c r="K30" s="238"/>
      <c r="L30" s="238"/>
      <c r="M30" s="116">
        <f>+K30+'15'!M30+L30</f>
        <v>0</v>
      </c>
    </row>
    <row r="31" spans="1:13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+'15'!J31</f>
        <v>0</v>
      </c>
      <c r="K31" s="238"/>
      <c r="L31" s="238"/>
      <c r="M31" s="116">
        <f>+K31+'15'!M31+L31</f>
        <v>0</v>
      </c>
    </row>
    <row r="32" spans="1:13" ht="13.5" thickBot="1">
      <c r="A32" s="758"/>
      <c r="B32" s="164" t="s">
        <v>2</v>
      </c>
      <c r="C32" s="98">
        <f>SUM(C25:C31)</f>
        <v>15811</v>
      </c>
      <c r="D32" s="99">
        <f>SUM(D25:D31)</f>
        <v>0</v>
      </c>
      <c r="E32" s="100">
        <f>SUM(E25:E31)</f>
        <v>0</v>
      </c>
      <c r="F32" s="101">
        <f>SUM(F24:F31)</f>
        <v>17</v>
      </c>
      <c r="G32" s="170"/>
      <c r="H32" s="171"/>
      <c r="I32" s="168"/>
      <c r="J32" s="213">
        <f>+'15'!J32</f>
        <v>0</v>
      </c>
      <c r="K32" s="240"/>
      <c r="L32" s="242"/>
      <c r="M32" s="116">
        <f>+K32+'15'!M32+L32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9" t="s">
        <v>57</v>
      </c>
      <c r="B34" s="760"/>
      <c r="C34" s="106">
        <f>C14+C23+C32</f>
        <v>46641</v>
      </c>
      <c r="D34" s="106">
        <f>D14+D23+D32</f>
        <v>0</v>
      </c>
      <c r="E34" s="106">
        <f>E14+E23+E32</f>
        <v>0</v>
      </c>
      <c r="F34" s="107">
        <f>F14+F23+F32</f>
        <v>56</v>
      </c>
      <c r="H34" s="177"/>
      <c r="I34" s="177"/>
      <c r="J34" s="122" t="s">
        <v>28</v>
      </c>
      <c r="K34" s="123">
        <f>SUM(K7:K32)</f>
        <v>46641</v>
      </c>
      <c r="L34" s="211">
        <f>SUM(L7:L32)</f>
        <v>0</v>
      </c>
      <c r="M34" s="119">
        <f>SUM(M7:M32)</f>
        <v>584725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48.010060799999998</v>
      </c>
      <c r="J37" s="124">
        <f>+I37+'15'!J37</f>
        <v>670.82865011430079</v>
      </c>
      <c r="K37" s="125" t="s">
        <v>63</v>
      </c>
    </row>
    <row r="38" spans="1:13" ht="17.45" customHeight="1">
      <c r="A38" s="763" t="s">
        <v>12</v>
      </c>
      <c r="B38" s="764"/>
      <c r="C38" s="163">
        <f>SUMIF($G$7:$G$31,"Process",$F$7:$F$31)</f>
        <v>56</v>
      </c>
      <c r="D38" s="117">
        <f>+C38+'15'!D38</f>
        <v>987</v>
      </c>
      <c r="E38" s="142">
        <f t="shared" ref="E38:E51" si="3">D38/60</f>
        <v>16.45</v>
      </c>
      <c r="F38" s="321">
        <v>1200</v>
      </c>
      <c r="G38" s="321">
        <v>936</v>
      </c>
      <c r="H38" s="186" t="s">
        <v>64</v>
      </c>
      <c r="I38" s="244">
        <f>14.472+14.738+15.839</f>
        <v>45.048999999999999</v>
      </c>
      <c r="J38" s="126">
        <f>+I38+'15'!J38</f>
        <v>602.99299999999994</v>
      </c>
      <c r="K38" s="127" t="s">
        <v>63</v>
      </c>
    </row>
    <row r="39" spans="1:13" ht="17.45" customHeight="1">
      <c r="A39" s="765" t="s">
        <v>13</v>
      </c>
      <c r="B39" s="766"/>
      <c r="C39" s="163">
        <f>SUMIF($G$7:$G$31,"Cleaning",$F$7:$F$31)</f>
        <v>0</v>
      </c>
      <c r="D39" s="117">
        <f>+C39+'15'!D39</f>
        <v>33</v>
      </c>
      <c r="E39" s="142">
        <f t="shared" si="3"/>
        <v>0.55000000000000004</v>
      </c>
      <c r="F39" s="321">
        <v>1200</v>
      </c>
      <c r="G39" s="321">
        <v>936</v>
      </c>
      <c r="H39" s="186" t="s">
        <v>65</v>
      </c>
      <c r="I39" s="141"/>
      <c r="J39" s="128">
        <f>J37/G4</f>
        <v>41.926790632143799</v>
      </c>
      <c r="K39" s="129" t="s">
        <v>63</v>
      </c>
    </row>
    <row r="40" spans="1:13" ht="17.45" customHeight="1">
      <c r="A40" s="765" t="s">
        <v>66</v>
      </c>
      <c r="B40" s="766"/>
      <c r="C40" s="163">
        <f>SUMIF($G$7:$G$31,"Mechanical",$F$7:$F$31)</f>
        <v>0</v>
      </c>
      <c r="D40" s="117">
        <f>+C40+'15'!D40</f>
        <v>206</v>
      </c>
      <c r="E40" s="142">
        <f t="shared" si="3"/>
        <v>3.4333333333333331</v>
      </c>
      <c r="F40" s="321">
        <v>1200</v>
      </c>
      <c r="G40" s="321">
        <v>936</v>
      </c>
      <c r="H40" s="186" t="s">
        <v>67</v>
      </c>
      <c r="I40" s="117">
        <f>(K34+L34)/1000</f>
        <v>46.640999999999998</v>
      </c>
      <c r="J40" s="130">
        <f>+I40+'15'!J40</f>
        <v>584.72499999999991</v>
      </c>
      <c r="K40" s="129" t="s">
        <v>63</v>
      </c>
    </row>
    <row r="41" spans="1:13" ht="17.45" customHeight="1">
      <c r="A41" s="765" t="s">
        <v>68</v>
      </c>
      <c r="B41" s="766"/>
      <c r="C41" s="163">
        <f>SUMIF($G$7:$G$31,"Electrical",$F$7:$F$31)</f>
        <v>0</v>
      </c>
      <c r="D41" s="117">
        <f>+C41+'15'!D41</f>
        <v>0</v>
      </c>
      <c r="E41" s="142">
        <f t="shared" si="3"/>
        <v>0</v>
      </c>
      <c r="F41" s="321"/>
      <c r="G41" s="321"/>
      <c r="H41" s="186" t="s">
        <v>69</v>
      </c>
      <c r="I41" s="141"/>
      <c r="J41" s="128">
        <f>J40/G4</f>
        <v>36.545312499999994</v>
      </c>
      <c r="K41" s="129" t="s">
        <v>63</v>
      </c>
    </row>
    <row r="42" spans="1:13" ht="17.45" customHeight="1">
      <c r="A42" s="765" t="s">
        <v>16</v>
      </c>
      <c r="B42" s="766"/>
      <c r="C42" s="163">
        <f>SUMIF($G$7:$G$31,"Instrument",$F$7:$F$31)</f>
        <v>0</v>
      </c>
      <c r="D42" s="117">
        <f>+C42+'15'!D42</f>
        <v>0</v>
      </c>
      <c r="E42" s="142">
        <f t="shared" si="3"/>
        <v>0</v>
      </c>
      <c r="F42" s="321">
        <f>+(F38*480+F40*480+F39*480)/1440</f>
        <v>1200</v>
      </c>
      <c r="G42" s="321">
        <f>+(G38*480+G40*480+G39*480)/1440</f>
        <v>936</v>
      </c>
      <c r="H42" s="186" t="s">
        <v>70</v>
      </c>
      <c r="I42" s="245" t="s">
        <v>579</v>
      </c>
      <c r="J42" s="131"/>
      <c r="K42" s="129" t="s">
        <v>71</v>
      </c>
    </row>
    <row r="43" spans="1:13" ht="17.45" customHeight="1">
      <c r="A43" s="765" t="s">
        <v>221</v>
      </c>
      <c r="B43" s="766"/>
      <c r="C43" s="163">
        <f>SUMIF($G$7:$G$31,"Change Grade",$F$7:$F$31)</f>
        <v>0</v>
      </c>
      <c r="D43" s="117">
        <f>+C43+'15'!D43</f>
        <v>0</v>
      </c>
      <c r="E43" s="142">
        <f t="shared" si="3"/>
        <v>0</v>
      </c>
      <c r="F43" s="321"/>
      <c r="G43" s="322"/>
      <c r="H43" s="187" t="s">
        <v>73</v>
      </c>
      <c r="I43" s="117">
        <f>+Report1!Z24</f>
        <v>59.6</v>
      </c>
      <c r="J43" s="132">
        <f>+I43+'15'!J43</f>
        <v>854.1</v>
      </c>
      <c r="K43" s="129" t="s">
        <v>63</v>
      </c>
      <c r="L43" s="188"/>
    </row>
    <row r="44" spans="1:13" ht="17.45" customHeight="1">
      <c r="A44" s="765" t="s">
        <v>17</v>
      </c>
      <c r="B44" s="766"/>
      <c r="C44" s="163">
        <f>SUMIF($G$7:$G$31,"PLN",$F$7:$F$31)</f>
        <v>0</v>
      </c>
      <c r="D44" s="117">
        <f>+C44+'15'!D44</f>
        <v>438</v>
      </c>
      <c r="E44" s="142">
        <f t="shared" si="3"/>
        <v>7.3</v>
      </c>
      <c r="F44" s="321"/>
      <c r="G44" s="322"/>
      <c r="H44" s="187" t="s">
        <v>74</v>
      </c>
      <c r="I44" s="117">
        <f>I43/I38</f>
        <v>1.323003840262825</v>
      </c>
      <c r="J44" s="133">
        <f>J43/J38</f>
        <v>1.4164343533009507</v>
      </c>
      <c r="K44" s="129" t="s">
        <v>63</v>
      </c>
    </row>
    <row r="45" spans="1:13" ht="17.45" customHeight="1">
      <c r="A45" s="765" t="s">
        <v>18</v>
      </c>
      <c r="B45" s="766"/>
      <c r="C45" s="163">
        <f>SUMIF($G$7:$G$31,"Boiler",$F$7:$F$31)</f>
        <v>0</v>
      </c>
      <c r="D45" s="117">
        <f>+C45+'15'!D45</f>
        <v>0</v>
      </c>
      <c r="E45" s="142">
        <f t="shared" si="3"/>
        <v>0</v>
      </c>
      <c r="F45" s="321"/>
      <c r="G45" s="324"/>
      <c r="H45" s="187" t="s">
        <v>75</v>
      </c>
      <c r="I45" s="117">
        <f>I43/I40</f>
        <v>1.2778456722626017</v>
      </c>
      <c r="J45" s="133">
        <f>J43/J40</f>
        <v>1.4606866475693705</v>
      </c>
      <c r="K45" s="129" t="s">
        <v>63</v>
      </c>
    </row>
    <row r="46" spans="1:13" ht="17.45" customHeight="1">
      <c r="A46" s="765" t="s">
        <v>76</v>
      </c>
      <c r="B46" s="766"/>
      <c r="C46" s="163">
        <f>SUMIF($G$7:$G$31,"Gas",$F$7:$F$31)</f>
        <v>0</v>
      </c>
      <c r="D46" s="117">
        <f>+C46+'15'!D46</f>
        <v>0</v>
      </c>
      <c r="E46" s="142">
        <f t="shared" si="3"/>
        <v>0</v>
      </c>
      <c r="F46" s="321"/>
      <c r="G46" s="322"/>
      <c r="H46" s="187" t="s">
        <v>77</v>
      </c>
      <c r="I46" s="139">
        <f>+SUMIF(Listrik!P23,"&gt;0")</f>
        <v>38166.339999998905</v>
      </c>
      <c r="J46" s="134">
        <f>+I46+'15'!J46</f>
        <v>561466.96000000008</v>
      </c>
      <c r="K46" s="129" t="s">
        <v>78</v>
      </c>
    </row>
    <row r="47" spans="1:13" ht="17.45" customHeight="1">
      <c r="A47" s="765" t="s">
        <v>79</v>
      </c>
      <c r="B47" s="766"/>
      <c r="C47" s="163">
        <f>SUMIF($G$7:$G$31,"Gas",$F$7:$F$31)</f>
        <v>0</v>
      </c>
      <c r="D47" s="117">
        <f>+C47+'15'!D47</f>
        <v>0</v>
      </c>
      <c r="E47" s="142">
        <f t="shared" si="3"/>
        <v>0</v>
      </c>
      <c r="F47" s="321"/>
      <c r="G47" s="322"/>
      <c r="H47" s="187" t="s">
        <v>80</v>
      </c>
      <c r="I47" s="117">
        <f>I46/I38</f>
        <v>847.2183622277721</v>
      </c>
      <c r="J47" s="134">
        <f>J46/J38</f>
        <v>931.13346257750936</v>
      </c>
      <c r="K47" s="129" t="s">
        <v>24</v>
      </c>
    </row>
    <row r="48" spans="1:13" ht="17.45" customHeight="1">
      <c r="A48" s="765" t="s">
        <v>14</v>
      </c>
      <c r="B48" s="766"/>
      <c r="C48" s="163">
        <f>SUMIF($G$7:$G$31,"Start Up",$F$7:$F$31)</f>
        <v>0</v>
      </c>
      <c r="D48" s="117">
        <f>+C48+'15'!D48</f>
        <v>0</v>
      </c>
      <c r="E48" s="142">
        <f t="shared" si="3"/>
        <v>0</v>
      </c>
      <c r="F48" s="321"/>
      <c r="G48" s="322"/>
      <c r="H48" s="187" t="s">
        <v>81</v>
      </c>
      <c r="I48" s="117">
        <f>I46/I40</f>
        <v>818.30020797150371</v>
      </c>
      <c r="J48" s="134">
        <f>J46/J40</f>
        <v>960.2239685322163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+C49+'15'!D49</f>
        <v>0</v>
      </c>
      <c r="E49" s="142">
        <f t="shared" si="3"/>
        <v>0</v>
      </c>
      <c r="F49" s="184"/>
      <c r="H49" s="187" t="s">
        <v>270</v>
      </c>
      <c r="I49" s="117">
        <f>+Report1!T24</f>
        <v>5525.4347586965487</v>
      </c>
      <c r="J49" s="134">
        <f>+I49+'15'!J49</f>
        <v>78907.935707833094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+C50+'15'!D50</f>
        <v>0</v>
      </c>
      <c r="E50" s="142">
        <f t="shared" si="3"/>
        <v>0</v>
      </c>
      <c r="F50" s="184"/>
      <c r="H50" s="187" t="s">
        <v>83</v>
      </c>
      <c r="I50" s="139">
        <f>I49/I38</f>
        <v>122.65388263216828</v>
      </c>
      <c r="J50" s="132">
        <f>J49/J38</f>
        <v>130.8604506318201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+C51+'15'!D51</f>
        <v>738</v>
      </c>
      <c r="E51" s="142">
        <f t="shared" si="3"/>
        <v>12.3</v>
      </c>
      <c r="F51" s="184"/>
      <c r="H51" s="189" t="s">
        <v>85</v>
      </c>
      <c r="I51" s="140">
        <f>I49/I40</f>
        <v>118.46733043237815</v>
      </c>
      <c r="J51" s="135">
        <f>J49/J40</f>
        <v>134.94879765331243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56</v>
      </c>
      <c r="D52" s="143">
        <f>SUM(D38:D51)</f>
        <v>2402</v>
      </c>
      <c r="E52" s="144">
        <f>SUM(E38:E51)</f>
        <v>40.033333333333331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3.888888888888889E-2</v>
      </c>
      <c r="D53" s="145">
        <f>D52/(24*60*G4)</f>
        <v>0.10425347222222223</v>
      </c>
      <c r="E53" s="146">
        <f>E52/(G4*24)</f>
        <v>0.10425347222222221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+D34+'15'!J56</f>
        <v>1989</v>
      </c>
      <c r="K56" s="200">
        <f>J56/(J40+J56/1000)/1000</f>
        <v>3.3900673922899406E-3</v>
      </c>
    </row>
    <row r="57" spans="1:11">
      <c r="A57" s="175"/>
      <c r="I57" s="198" t="s">
        <v>88</v>
      </c>
      <c r="J57" s="199">
        <f>+E34+'15'!J57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2:B42"/>
    <mergeCell ref="A39:B39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</mergeCells>
  <phoneticPr fontId="32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28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15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526</v>
      </c>
      <c r="O6" s="148">
        <v>1200</v>
      </c>
      <c r="P6" s="148">
        <f>+O6-(O6*0.22)</f>
        <v>936</v>
      </c>
      <c r="Q6" s="148">
        <v>480</v>
      </c>
      <c r="R6" s="148">
        <f t="shared" ref="R6" si="0">+O6*Q6</f>
        <v>576000</v>
      </c>
      <c r="S6" s="148">
        <f t="shared" ref="S6" si="1">+P6*Q6</f>
        <v>449280</v>
      </c>
    </row>
    <row r="7" spans="1:19" ht="13.5" customHeight="1" thickBot="1">
      <c r="A7" s="751" t="s">
        <v>389</v>
      </c>
      <c r="B7" s="214" t="s">
        <v>534</v>
      </c>
      <c r="C7" s="215">
        <v>13722</v>
      </c>
      <c r="D7" s="216"/>
      <c r="E7" s="217"/>
      <c r="F7" s="227">
        <v>6</v>
      </c>
      <c r="G7" s="228" t="s">
        <v>12</v>
      </c>
      <c r="H7" s="229" t="s">
        <v>400</v>
      </c>
      <c r="I7" s="754" t="s">
        <v>579</v>
      </c>
      <c r="J7" s="213" t="str">
        <f>+'14'!J7</f>
        <v>F 11,5 VP OW</v>
      </c>
      <c r="K7" s="237"/>
      <c r="L7" s="241"/>
      <c r="M7" s="116">
        <f>+K7+'14'!M7+L7</f>
        <v>168614</v>
      </c>
      <c r="N7" s="148" t="s">
        <v>526</v>
      </c>
      <c r="O7" s="148">
        <v>1200</v>
      </c>
      <c r="P7" s="148">
        <f t="shared" ref="P7:P8" si="2">+O7-(O7*0.22)</f>
        <v>936</v>
      </c>
      <c r="Q7" s="148">
        <v>480</v>
      </c>
      <c r="R7" s="148">
        <f t="shared" ref="R7:R8" si="3">+O7*Q7</f>
        <v>576000</v>
      </c>
      <c r="S7" s="148">
        <f t="shared" ref="S7:S8" si="4">+P7*Q7</f>
        <v>449280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+'14'!J8</f>
        <v>F 14 VP OW</v>
      </c>
      <c r="K8" s="238"/>
      <c r="L8" s="238"/>
      <c r="M8" s="116">
        <f>+K8+'14'!M8+L8</f>
        <v>78398</v>
      </c>
      <c r="N8" s="148" t="s">
        <v>526</v>
      </c>
      <c r="O8" s="148">
        <v>1200</v>
      </c>
      <c r="P8" s="148">
        <f t="shared" si="2"/>
        <v>936</v>
      </c>
      <c r="Q8" s="148">
        <v>480</v>
      </c>
      <c r="R8" s="148">
        <f t="shared" si="3"/>
        <v>576000</v>
      </c>
      <c r="S8" s="148">
        <f t="shared" si="4"/>
        <v>449280</v>
      </c>
    </row>
    <row r="9" spans="1:19" ht="13.5" thickBot="1">
      <c r="A9" s="752"/>
      <c r="B9" s="214"/>
      <c r="C9" s="215"/>
      <c r="D9" s="216"/>
      <c r="E9" s="219"/>
      <c r="F9" s="227">
        <v>15</v>
      </c>
      <c r="G9" s="560" t="s">
        <v>12</v>
      </c>
      <c r="H9" s="232" t="s">
        <v>386</v>
      </c>
      <c r="I9" s="755"/>
      <c r="J9" s="213" t="str">
        <f>+'14'!J9</f>
        <v>F 13 VP OW</v>
      </c>
      <c r="K9" s="238"/>
      <c r="L9" s="238"/>
      <c r="M9" s="116">
        <f>+K9+'14'!M9+L9</f>
        <v>22241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627</v>
      </c>
      <c r="I10" s="755"/>
      <c r="J10" s="213" t="str">
        <f>+'14'!J10</f>
        <v>F 12 VP OW</v>
      </c>
      <c r="K10" s="238"/>
      <c r="L10" s="238"/>
      <c r="M10" s="116">
        <f>+K10+'14'!M10+L10</f>
        <v>7645</v>
      </c>
    </row>
    <row r="11" spans="1:19" ht="26.25" thickBot="1">
      <c r="A11" s="752"/>
      <c r="B11" s="214"/>
      <c r="C11" s="215"/>
      <c r="D11" s="216"/>
      <c r="E11" s="218"/>
      <c r="F11" s="227"/>
      <c r="G11" s="231"/>
      <c r="H11" s="232" t="s">
        <v>628</v>
      </c>
      <c r="I11" s="755"/>
      <c r="J11" s="213" t="str">
        <f>+'14'!J11</f>
        <v>F 16 VP OW</v>
      </c>
      <c r="K11" s="238"/>
      <c r="L11" s="238"/>
      <c r="M11" s="116">
        <f>+K11+'14'!M11+L11</f>
        <v>37034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+'14'!J12</f>
        <v>F 15 VP OW</v>
      </c>
      <c r="K12" s="238"/>
      <c r="L12" s="238"/>
      <c r="M12" s="116">
        <f>+K12+'14'!M12+L12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+'14'!J13</f>
        <v>T 14 VP OW</v>
      </c>
      <c r="K13" s="238"/>
      <c r="L13" s="238"/>
      <c r="M13" s="116">
        <f>+K13+'14'!M13+L13</f>
        <v>5600</v>
      </c>
    </row>
    <row r="14" spans="1:19" ht="13.5" thickBot="1">
      <c r="A14" s="753"/>
      <c r="B14" s="164" t="s">
        <v>2</v>
      </c>
      <c r="C14" s="98">
        <f>SUM(C7:C13)</f>
        <v>13722</v>
      </c>
      <c r="D14" s="110">
        <f>SUM(D7:D13)</f>
        <v>0</v>
      </c>
      <c r="E14" s="111">
        <f>SUM(E5:E13)</f>
        <v>0</v>
      </c>
      <c r="F14" s="115">
        <f>SUM(F7:F13)</f>
        <v>21</v>
      </c>
      <c r="G14" s="158"/>
      <c r="H14" s="165"/>
      <c r="I14" s="166"/>
      <c r="J14" s="213" t="str">
        <f>+'14'!J14</f>
        <v>T 13 VP OW</v>
      </c>
      <c r="K14" s="238">
        <f>+C34</f>
        <v>44060</v>
      </c>
      <c r="L14" s="238"/>
      <c r="M14" s="116">
        <f>+K14+'14'!M14+L14</f>
        <v>205686</v>
      </c>
      <c r="Q14" s="175">
        <f>SUM(Q6:Q11)</f>
        <v>1440</v>
      </c>
      <c r="R14" s="175">
        <f>SUM(R6:R11)</f>
        <v>1728000</v>
      </c>
      <c r="S14" s="175">
        <f>SUM(S6:S11)</f>
        <v>1347840</v>
      </c>
    </row>
    <row r="15" spans="1:19" ht="13.5" customHeight="1" thickBot="1">
      <c r="A15" s="751" t="s">
        <v>432</v>
      </c>
      <c r="B15" s="164"/>
      <c r="C15" s="112">
        <f>C14/($C$23+$D$23+$E$23)</f>
        <v>0.87356760886172646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579</v>
      </c>
      <c r="J15" s="213" t="str">
        <f>+'14'!J15</f>
        <v>T 12 VP OW</v>
      </c>
      <c r="K15" s="238"/>
      <c r="L15" s="238"/>
      <c r="M15" s="116">
        <f>+K15+'14'!M15+L15</f>
        <v>9664</v>
      </c>
      <c r="Q15" s="148">
        <f>480-Q14</f>
        <v>-960</v>
      </c>
      <c r="R15" s="175">
        <f>+R14/Q14</f>
        <v>1200</v>
      </c>
      <c r="S15" s="175">
        <f>+S14/Q14</f>
        <v>936</v>
      </c>
    </row>
    <row r="16" spans="1:19" ht="13.5" thickBot="1">
      <c r="A16" s="757"/>
      <c r="B16" s="214" t="s">
        <v>534</v>
      </c>
      <c r="C16" s="221">
        <v>15708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+'14'!J16</f>
        <v>0</v>
      </c>
      <c r="K16" s="228"/>
      <c r="L16" s="228"/>
      <c r="M16" s="116">
        <f>+K16+'14'!M16+L16</f>
        <v>0</v>
      </c>
    </row>
    <row r="17" spans="1:13" ht="13.5" thickBot="1">
      <c r="A17" s="757"/>
      <c r="B17" s="214"/>
      <c r="C17" s="215"/>
      <c r="D17" s="216"/>
      <c r="E17" s="224"/>
      <c r="F17" s="227">
        <v>12</v>
      </c>
      <c r="G17" s="560" t="s">
        <v>12</v>
      </c>
      <c r="H17" s="232" t="s">
        <v>413</v>
      </c>
      <c r="I17" s="755"/>
      <c r="J17" s="213">
        <f>+'14'!J17</f>
        <v>0</v>
      </c>
      <c r="K17" s="228"/>
      <c r="L17" s="228"/>
      <c r="M17" s="116">
        <f>+K17+'14'!M17+L17</f>
        <v>0</v>
      </c>
    </row>
    <row r="18" spans="1:13" ht="51.7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577</v>
      </c>
      <c r="I18" s="755"/>
      <c r="J18" s="213">
        <f>+'14'!J18</f>
        <v>0</v>
      </c>
      <c r="K18" s="238"/>
      <c r="L18" s="238"/>
      <c r="M18" s="116">
        <f>+K18+'14'!M18+L18</f>
        <v>0</v>
      </c>
    </row>
    <row r="19" spans="1:13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+'14'!J19</f>
        <v>0</v>
      </c>
      <c r="K19" s="238"/>
      <c r="L19" s="238"/>
      <c r="M19" s="116">
        <f>+K19+'14'!M19+L19</f>
        <v>0</v>
      </c>
    </row>
    <row r="20" spans="1:13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+'14'!J20</f>
        <v>0</v>
      </c>
      <c r="K20" s="239"/>
      <c r="L20" s="239"/>
      <c r="M20" s="116">
        <f>+K20+'14'!M20+L20</f>
        <v>0</v>
      </c>
    </row>
    <row r="21" spans="1:13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+'14'!J21</f>
        <v>0</v>
      </c>
      <c r="K21" s="238"/>
      <c r="L21" s="238"/>
      <c r="M21" s="116">
        <f>+K21+'14'!M21+L21</f>
        <v>0</v>
      </c>
    </row>
    <row r="22" spans="1:13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+'14'!J22</f>
        <v>0</v>
      </c>
      <c r="K22" s="238"/>
      <c r="L22" s="238"/>
      <c r="M22" s="116">
        <f>+K22+'14'!M22+L22</f>
        <v>0</v>
      </c>
    </row>
    <row r="23" spans="1:13" ht="13.5" thickBot="1">
      <c r="A23" s="758"/>
      <c r="B23" s="167" t="s">
        <v>2</v>
      </c>
      <c r="C23" s="99">
        <f>SUM(C16:C22)</f>
        <v>15708</v>
      </c>
      <c r="D23" s="110">
        <f>SUM(D16:D22)</f>
        <v>0</v>
      </c>
      <c r="E23" s="111">
        <f>SUM(E18:E22)</f>
        <v>0</v>
      </c>
      <c r="F23" s="115">
        <f>SUM(F15:F22)</f>
        <v>16</v>
      </c>
      <c r="G23" s="158"/>
      <c r="H23" s="165"/>
      <c r="I23" s="168"/>
      <c r="J23" s="213">
        <f>+'14'!J23</f>
        <v>0</v>
      </c>
      <c r="K23" s="238"/>
      <c r="L23" s="238"/>
      <c r="M23" s="116">
        <f>+K23+'14'!M23+L23</f>
        <v>0</v>
      </c>
    </row>
    <row r="24" spans="1:13" ht="13.5" customHeight="1" thickBot="1">
      <c r="A24" s="751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579</v>
      </c>
      <c r="J24" s="213">
        <f>+'14'!J24</f>
        <v>0</v>
      </c>
      <c r="K24" s="238"/>
      <c r="L24" s="238"/>
      <c r="M24" s="116">
        <f>+K24+'14'!M24+L24</f>
        <v>0</v>
      </c>
    </row>
    <row r="25" spans="1:13" ht="13.5" thickBot="1">
      <c r="A25" s="757"/>
      <c r="B25" s="214" t="s">
        <v>534</v>
      </c>
      <c r="C25" s="225">
        <v>14630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+'14'!J25</f>
        <v>0</v>
      </c>
      <c r="K25" s="238"/>
      <c r="L25" s="238"/>
      <c r="M25" s="116">
        <f>+K25+'14'!M25+L25</f>
        <v>0</v>
      </c>
    </row>
    <row r="26" spans="1:13" ht="13.5" thickBot="1">
      <c r="A26" s="757"/>
      <c r="B26" s="214"/>
      <c r="C26" s="225"/>
      <c r="D26" s="216"/>
      <c r="E26" s="226"/>
      <c r="F26" s="227">
        <v>13</v>
      </c>
      <c r="G26" s="560" t="s">
        <v>12</v>
      </c>
      <c r="H26" s="232" t="s">
        <v>413</v>
      </c>
      <c r="I26" s="755"/>
      <c r="J26" s="213">
        <f>+'14'!J26</f>
        <v>0</v>
      </c>
      <c r="K26" s="238"/>
      <c r="L26" s="238"/>
      <c r="M26" s="116">
        <f>+K26+'14'!M26+L26</f>
        <v>0</v>
      </c>
    </row>
    <row r="27" spans="1:13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576</v>
      </c>
      <c r="I27" s="755"/>
      <c r="J27" s="213">
        <f>+'14'!J27</f>
        <v>0</v>
      </c>
      <c r="K27" s="238"/>
      <c r="L27" s="238"/>
      <c r="M27" s="116">
        <f>+K27+'14'!M27+L27</f>
        <v>0</v>
      </c>
    </row>
    <row r="28" spans="1:13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+'14'!J28</f>
        <v>0</v>
      </c>
      <c r="K28" s="238"/>
      <c r="L28" s="238"/>
      <c r="M28" s="116">
        <f>+K28+'14'!M28+L28</f>
        <v>0</v>
      </c>
    </row>
    <row r="29" spans="1:13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+'14'!J29</f>
        <v>0</v>
      </c>
      <c r="K29" s="238"/>
      <c r="L29" s="238"/>
      <c r="M29" s="116">
        <f>+K29+'14'!M29+L29</f>
        <v>0</v>
      </c>
    </row>
    <row r="30" spans="1:13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+'14'!J30</f>
        <v>0</v>
      </c>
      <c r="K30" s="238"/>
      <c r="L30" s="238"/>
      <c r="M30" s="116">
        <f>+K30+'14'!M30+L30</f>
        <v>0</v>
      </c>
    </row>
    <row r="31" spans="1:13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+'14'!J31</f>
        <v>0</v>
      </c>
      <c r="K31" s="238"/>
      <c r="L31" s="238"/>
      <c r="M31" s="116">
        <f>+K31+'14'!M31+L31</f>
        <v>0</v>
      </c>
    </row>
    <row r="32" spans="1:13" ht="13.5" thickBot="1">
      <c r="A32" s="758"/>
      <c r="B32" s="164" t="s">
        <v>2</v>
      </c>
      <c r="C32" s="98">
        <f>SUM(C25:C31)</f>
        <v>14630</v>
      </c>
      <c r="D32" s="99">
        <f>SUM(D25:D31)</f>
        <v>0</v>
      </c>
      <c r="E32" s="100">
        <f>SUM(E25:E31)</f>
        <v>0</v>
      </c>
      <c r="F32" s="101">
        <f>SUM(F24:F31)</f>
        <v>17</v>
      </c>
      <c r="G32" s="170"/>
      <c r="H32" s="171"/>
      <c r="I32" s="168"/>
      <c r="J32" s="213">
        <f>+'14'!J32</f>
        <v>0</v>
      </c>
      <c r="K32" s="240"/>
      <c r="L32" s="242"/>
      <c r="M32" s="116">
        <f>+K32+'14'!M32+L32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9" t="s">
        <v>57</v>
      </c>
      <c r="B34" s="760"/>
      <c r="C34" s="106">
        <f>C14+C23+C32</f>
        <v>44060</v>
      </c>
      <c r="D34" s="106">
        <f>D14+D23+D32</f>
        <v>0</v>
      </c>
      <c r="E34" s="106">
        <f>E14+E23+E32</f>
        <v>0</v>
      </c>
      <c r="F34" s="107">
        <f>F14+F23+F32</f>
        <v>54</v>
      </c>
      <c r="H34" s="177"/>
      <c r="I34" s="177"/>
      <c r="J34" s="122" t="s">
        <v>28</v>
      </c>
      <c r="K34" s="123">
        <f>SUM(K7:K32)</f>
        <v>44060</v>
      </c>
      <c r="L34" s="211">
        <f>SUM(L7:L32)</f>
        <v>0</v>
      </c>
      <c r="M34" s="119">
        <f>SUM(M7:M32)</f>
        <v>538084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48.010060799999998</v>
      </c>
      <c r="J37" s="124">
        <f>+I37+'14'!J37</f>
        <v>622.81858931430077</v>
      </c>
      <c r="K37" s="125" t="s">
        <v>63</v>
      </c>
    </row>
    <row r="38" spans="1:13" ht="17.45" customHeight="1">
      <c r="A38" s="763" t="s">
        <v>12</v>
      </c>
      <c r="B38" s="764"/>
      <c r="C38" s="163">
        <f>SUMIF($G$7:$G$31,"Process",$F$7:$F$31)</f>
        <v>54</v>
      </c>
      <c r="D38" s="117">
        <f>+C38+'14'!D38</f>
        <v>931</v>
      </c>
      <c r="E38" s="142">
        <f t="shared" ref="E38:E51" si="5">D38/60</f>
        <v>15.516666666666667</v>
      </c>
      <c r="F38" s="321">
        <v>1200</v>
      </c>
      <c r="G38" s="321">
        <v>936</v>
      </c>
      <c r="H38" s="186" t="s">
        <v>64</v>
      </c>
      <c r="I38" s="244">
        <f>13.921+15.705+16.404</f>
        <v>46.03</v>
      </c>
      <c r="J38" s="126">
        <f>+I38+'14'!J38</f>
        <v>557.94399999999996</v>
      </c>
      <c r="K38" s="127" t="s">
        <v>63</v>
      </c>
    </row>
    <row r="39" spans="1:13" ht="17.45" customHeight="1">
      <c r="A39" s="765" t="s">
        <v>13</v>
      </c>
      <c r="B39" s="766"/>
      <c r="C39" s="163">
        <f>SUMIF($G$7:$G$31,"Cleaning",$F$7:$F$31)</f>
        <v>0</v>
      </c>
      <c r="D39" s="117">
        <f>+C39+'14'!D39</f>
        <v>33</v>
      </c>
      <c r="E39" s="142">
        <f t="shared" si="5"/>
        <v>0.55000000000000004</v>
      </c>
      <c r="F39" s="321">
        <v>1200</v>
      </c>
      <c r="G39" s="321">
        <v>936</v>
      </c>
      <c r="H39" s="186" t="s">
        <v>65</v>
      </c>
      <c r="I39" s="141"/>
      <c r="J39" s="128">
        <f>J37/G4</f>
        <v>41.521239287620048</v>
      </c>
      <c r="K39" s="129" t="s">
        <v>63</v>
      </c>
    </row>
    <row r="40" spans="1:13" ht="17.45" customHeight="1">
      <c r="A40" s="765" t="s">
        <v>66</v>
      </c>
      <c r="B40" s="766"/>
      <c r="C40" s="163">
        <f>SUMIF($G$7:$G$31,"Mechanical",$F$7:$F$31)</f>
        <v>0</v>
      </c>
      <c r="D40" s="117">
        <f>+C40+'14'!D40</f>
        <v>206</v>
      </c>
      <c r="E40" s="142">
        <f t="shared" si="5"/>
        <v>3.4333333333333331</v>
      </c>
      <c r="F40" s="321">
        <v>1200</v>
      </c>
      <c r="G40" s="321">
        <v>936</v>
      </c>
      <c r="H40" s="186" t="s">
        <v>67</v>
      </c>
      <c r="I40" s="117">
        <f>(K34+L34)/1000</f>
        <v>44.06</v>
      </c>
      <c r="J40" s="130">
        <f>+I40+'14'!J40</f>
        <v>538.08399999999995</v>
      </c>
      <c r="K40" s="129" t="s">
        <v>63</v>
      </c>
    </row>
    <row r="41" spans="1:13" ht="17.45" customHeight="1">
      <c r="A41" s="765" t="s">
        <v>68</v>
      </c>
      <c r="B41" s="766"/>
      <c r="C41" s="163">
        <f>SUMIF($G$7:$G$31,"Electrical",$F$7:$F$31)</f>
        <v>0</v>
      </c>
      <c r="D41" s="117">
        <f>+C41+'14'!D41</f>
        <v>0</v>
      </c>
      <c r="E41" s="142">
        <f t="shared" si="5"/>
        <v>0</v>
      </c>
      <c r="F41" s="321"/>
      <c r="G41" s="321"/>
      <c r="H41" s="186" t="s">
        <v>69</v>
      </c>
      <c r="I41" s="141"/>
      <c r="J41" s="128">
        <f>J40/G4</f>
        <v>35.872266666666661</v>
      </c>
      <c r="K41" s="129" t="s">
        <v>63</v>
      </c>
    </row>
    <row r="42" spans="1:13" ht="17.45" customHeight="1">
      <c r="A42" s="765" t="s">
        <v>16</v>
      </c>
      <c r="B42" s="766"/>
      <c r="C42" s="163">
        <f>SUMIF($G$7:$G$31,"Instrument",$F$7:$F$31)</f>
        <v>0</v>
      </c>
      <c r="D42" s="117">
        <f>+C42+'14'!D42</f>
        <v>0</v>
      </c>
      <c r="E42" s="142">
        <f t="shared" si="5"/>
        <v>0</v>
      </c>
      <c r="F42" s="321">
        <f>+(F38*480+F39*480+F40*480)/1440</f>
        <v>1200</v>
      </c>
      <c r="G42" s="321">
        <f>+(G38*480+G39*480+G40*480)/1440</f>
        <v>936</v>
      </c>
      <c r="H42" s="186" t="s">
        <v>70</v>
      </c>
      <c r="I42" s="245" t="s">
        <v>579</v>
      </c>
      <c r="J42" s="131"/>
      <c r="K42" s="129" t="s">
        <v>71</v>
      </c>
    </row>
    <row r="43" spans="1:13" ht="17.45" customHeight="1">
      <c r="A43" s="765" t="s">
        <v>221</v>
      </c>
      <c r="B43" s="766"/>
      <c r="C43" s="163">
        <f>SUMIF($G$7:$G$31,"Change Grade",$F$7:$F$31)</f>
        <v>0</v>
      </c>
      <c r="D43" s="117">
        <f>+C43+'14'!D43</f>
        <v>0</v>
      </c>
      <c r="E43" s="142">
        <f t="shared" si="5"/>
        <v>0</v>
      </c>
      <c r="F43" s="321"/>
      <c r="G43" s="322"/>
      <c r="H43" s="187" t="s">
        <v>73</v>
      </c>
      <c r="I43" s="117">
        <f>+Report1!Z23</f>
        <v>59.4</v>
      </c>
      <c r="J43" s="132">
        <f>+I43+'14'!J43</f>
        <v>794.5</v>
      </c>
      <c r="K43" s="129" t="s">
        <v>63</v>
      </c>
      <c r="L43" s="188"/>
    </row>
    <row r="44" spans="1:13" ht="17.45" customHeight="1">
      <c r="A44" s="765" t="s">
        <v>17</v>
      </c>
      <c r="B44" s="766"/>
      <c r="C44" s="163">
        <f>SUMIF($G$7:$G$31,"PLN",$F$7:$F$31)</f>
        <v>0</v>
      </c>
      <c r="D44" s="117">
        <f>+C44+'14'!D44</f>
        <v>438</v>
      </c>
      <c r="E44" s="142">
        <f t="shared" si="5"/>
        <v>7.3</v>
      </c>
      <c r="F44" s="321"/>
      <c r="G44" s="322"/>
      <c r="H44" s="187" t="s">
        <v>74</v>
      </c>
      <c r="I44" s="117">
        <f>I43/I38</f>
        <v>1.2904627416902019</v>
      </c>
      <c r="J44" s="133">
        <f>J43/J38</f>
        <v>1.4239780336377845</v>
      </c>
      <c r="K44" s="129" t="s">
        <v>63</v>
      </c>
    </row>
    <row r="45" spans="1:13" ht="17.45" customHeight="1">
      <c r="A45" s="765" t="s">
        <v>18</v>
      </c>
      <c r="B45" s="766"/>
      <c r="C45" s="163">
        <f>SUMIF($G$7:$G$31,"Boiler",$F$7:$F$31)</f>
        <v>0</v>
      </c>
      <c r="D45" s="117">
        <f>+C45+'14'!D45</f>
        <v>0</v>
      </c>
      <c r="E45" s="142">
        <f t="shared" si="5"/>
        <v>0</v>
      </c>
      <c r="F45" s="321"/>
      <c r="G45" s="324"/>
      <c r="H45" s="187" t="s">
        <v>75</v>
      </c>
      <c r="I45" s="117">
        <f>I43/I40</f>
        <v>1.348161597821153</v>
      </c>
      <c r="J45" s="133">
        <f>J43/J40</f>
        <v>1.4765352621523777</v>
      </c>
      <c r="K45" s="129" t="s">
        <v>63</v>
      </c>
    </row>
    <row r="46" spans="1:13" ht="17.45" customHeight="1">
      <c r="A46" s="765" t="s">
        <v>76</v>
      </c>
      <c r="B46" s="766"/>
      <c r="C46" s="163">
        <f>SUMIF($G$7:$G$31,"Gas",$F$7:$F$31)</f>
        <v>0</v>
      </c>
      <c r="D46" s="117">
        <f>+C46+'14'!D46</f>
        <v>0</v>
      </c>
      <c r="E46" s="142">
        <f t="shared" si="5"/>
        <v>0</v>
      </c>
      <c r="F46" s="321"/>
      <c r="G46" s="322"/>
      <c r="H46" s="187" t="s">
        <v>77</v>
      </c>
      <c r="I46" s="139">
        <f>+SUMIF(Listrik!P22,"&gt;0")</f>
        <v>35852.360000000364</v>
      </c>
      <c r="J46" s="134">
        <f>+I46+'14'!J46</f>
        <v>523300.62000000116</v>
      </c>
      <c r="K46" s="129" t="s">
        <v>78</v>
      </c>
    </row>
    <row r="47" spans="1:13" ht="17.45" customHeight="1">
      <c r="A47" s="765" t="s">
        <v>79</v>
      </c>
      <c r="B47" s="766"/>
      <c r="C47" s="163">
        <f>SUMIF($G$7:$G$31,"Gas",$F$7:$F$31)</f>
        <v>0</v>
      </c>
      <c r="D47" s="117">
        <f>+C47+'14'!D47</f>
        <v>0</v>
      </c>
      <c r="E47" s="142">
        <f t="shared" si="5"/>
        <v>0</v>
      </c>
      <c r="F47" s="321"/>
      <c r="G47" s="322"/>
      <c r="H47" s="187" t="s">
        <v>80</v>
      </c>
      <c r="I47" s="117">
        <f>I46/I38</f>
        <v>778.89115794048155</v>
      </c>
      <c r="J47" s="134">
        <f>J46/J38</f>
        <v>937.90885823667111</v>
      </c>
      <c r="K47" s="129" t="s">
        <v>24</v>
      </c>
    </row>
    <row r="48" spans="1:13" ht="17.45" customHeight="1">
      <c r="A48" s="765" t="s">
        <v>14</v>
      </c>
      <c r="B48" s="766"/>
      <c r="C48" s="163">
        <f>SUMIF($G$7:$G$31,"Start Up",$F$7:$F$31)</f>
        <v>0</v>
      </c>
      <c r="D48" s="117">
        <f>+C48+'14'!D48</f>
        <v>0</v>
      </c>
      <c r="E48" s="142">
        <f t="shared" si="5"/>
        <v>0</v>
      </c>
      <c r="F48" s="321"/>
      <c r="G48" s="322"/>
      <c r="H48" s="187" t="s">
        <v>81</v>
      </c>
      <c r="I48" s="117">
        <f>I46/I40</f>
        <v>813.7167498865266</v>
      </c>
      <c r="J48" s="134">
        <f>J46/J40</f>
        <v>972.52588815129457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+C49+'14'!D49</f>
        <v>0</v>
      </c>
      <c r="E49" s="142">
        <f t="shared" si="5"/>
        <v>0</v>
      </c>
      <c r="F49" s="184"/>
      <c r="H49" s="187" t="s">
        <v>270</v>
      </c>
      <c r="I49" s="117">
        <f>+Report1!T23</f>
        <v>5610.6426469276739</v>
      </c>
      <c r="J49" s="134">
        <f>+I49+'14'!J49</f>
        <v>73382.500949136549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+C50+'14'!D50</f>
        <v>0</v>
      </c>
      <c r="E50" s="142">
        <f t="shared" si="5"/>
        <v>0</v>
      </c>
      <c r="F50" s="184"/>
      <c r="H50" s="187" t="s">
        <v>83</v>
      </c>
      <c r="I50" s="139">
        <f>I49/I38</f>
        <v>121.89099819525687</v>
      </c>
      <c r="J50" s="132">
        <f>J49/J38</f>
        <v>131.5230577784447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+C51+'14'!D51</f>
        <v>738</v>
      </c>
      <c r="E51" s="142">
        <f t="shared" si="5"/>
        <v>12.3</v>
      </c>
      <c r="F51" s="184"/>
      <c r="H51" s="189" t="s">
        <v>85</v>
      </c>
      <c r="I51" s="140">
        <f>I49/I40</f>
        <v>127.3409588499245</v>
      </c>
      <c r="J51" s="135">
        <f>J49/J40</f>
        <v>136.3774075221277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54</v>
      </c>
      <c r="D52" s="143">
        <f>SUM(D38:D51)</f>
        <v>2346</v>
      </c>
      <c r="E52" s="144">
        <f>SUM(E38:E51)</f>
        <v>39.1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3.7499999999999999E-2</v>
      </c>
      <c r="D53" s="145">
        <f>D52/(24*60*G4)</f>
        <v>0.10861111111111112</v>
      </c>
      <c r="E53" s="146">
        <f>E52/(G4*24)</f>
        <v>0.10861111111111112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+D34+'14'!J56</f>
        <v>1989</v>
      </c>
      <c r="K56" s="200">
        <f>J56/(J40+J56/1000)/1000</f>
        <v>3.6828354685385129E-3</v>
      </c>
    </row>
    <row r="57" spans="1:11">
      <c r="A57" s="175"/>
      <c r="I57" s="198" t="s">
        <v>88</v>
      </c>
      <c r="J57" s="199">
        <f>+E34+'14'!J57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3:B53"/>
    <mergeCell ref="A48:B48"/>
    <mergeCell ref="A49:B49"/>
    <mergeCell ref="A50:B50"/>
    <mergeCell ref="A51:B51"/>
    <mergeCell ref="A52:B5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I7:I13"/>
    <mergeCell ref="A15:A23"/>
    <mergeCell ref="I15:I22"/>
    <mergeCell ref="A44:B44"/>
    <mergeCell ref="A45:B45"/>
    <mergeCell ref="A42:B42"/>
    <mergeCell ref="I24:I31"/>
    <mergeCell ref="A24:A3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"/>
  <sheetViews>
    <sheetView view="pageBreakPreview" topLeftCell="F7" zoomScale="80" zoomScaleNormal="75" zoomScaleSheetLayoutView="80" workbookViewId="0">
      <selection activeCell="G24" sqref="G24:H2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14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578</v>
      </c>
      <c r="O6" s="148">
        <v>1200</v>
      </c>
      <c r="P6" s="148">
        <f>+O6-(O6*0.25)</f>
        <v>900</v>
      </c>
      <c r="Q6" s="148">
        <f>60*4+15</f>
        <v>255</v>
      </c>
      <c r="R6" s="148">
        <f t="shared" ref="R6:R8" si="0">+O6*Q6</f>
        <v>306000</v>
      </c>
      <c r="S6" s="148">
        <f t="shared" ref="S6:S8" si="1">+P6*Q6</f>
        <v>229500</v>
      </c>
    </row>
    <row r="7" spans="1:19" ht="13.5" customHeight="1" thickBot="1">
      <c r="A7" s="751" t="s">
        <v>389</v>
      </c>
      <c r="B7" s="214" t="s">
        <v>586</v>
      </c>
      <c r="C7" s="215">
        <v>9664</v>
      </c>
      <c r="D7" s="216"/>
      <c r="E7" s="217"/>
      <c r="F7" s="227">
        <v>4</v>
      </c>
      <c r="G7" s="228" t="s">
        <v>12</v>
      </c>
      <c r="H7" s="229" t="s">
        <v>400</v>
      </c>
      <c r="I7" s="754" t="s">
        <v>580</v>
      </c>
      <c r="J7" s="213" t="str">
        <f>+'13'!J7</f>
        <v>F 11,5 VP OW</v>
      </c>
      <c r="K7" s="237"/>
      <c r="L7" s="241"/>
      <c r="M7" s="116">
        <f>+K7+'13'!M7+L7</f>
        <v>168614</v>
      </c>
      <c r="N7" s="148" t="s">
        <v>526</v>
      </c>
      <c r="O7" s="148">
        <v>1170</v>
      </c>
      <c r="P7" s="148">
        <f>+O7-(O7*0.22)</f>
        <v>912.6</v>
      </c>
      <c r="Q7" s="148">
        <v>112</v>
      </c>
      <c r="R7" s="148">
        <f t="shared" si="0"/>
        <v>131040</v>
      </c>
      <c r="S7" s="148">
        <f t="shared" si="1"/>
        <v>102211.2</v>
      </c>
    </row>
    <row r="8" spans="1:19" ht="13.5" thickBot="1">
      <c r="A8" s="752"/>
      <c r="B8" s="214" t="s">
        <v>534</v>
      </c>
      <c r="C8" s="215">
        <f>5207+617</f>
        <v>5824</v>
      </c>
      <c r="D8" s="216"/>
      <c r="E8" s="218"/>
      <c r="F8" s="230"/>
      <c r="G8" s="560" t="s">
        <v>12</v>
      </c>
      <c r="H8" s="229" t="s">
        <v>412</v>
      </c>
      <c r="I8" s="755"/>
      <c r="J8" s="213" t="str">
        <f>+'13'!J8</f>
        <v>F 14 VP OW</v>
      </c>
      <c r="K8" s="238"/>
      <c r="L8" s="238"/>
      <c r="M8" s="116">
        <f>+K8+'13'!M8+L8</f>
        <v>78398</v>
      </c>
      <c r="O8" s="148">
        <v>1200</v>
      </c>
      <c r="P8" s="148">
        <f>+O8-(O8*0.22)</f>
        <v>936</v>
      </c>
      <c r="Q8" s="148">
        <v>113</v>
      </c>
      <c r="R8" s="148">
        <f t="shared" si="0"/>
        <v>135600</v>
      </c>
      <c r="S8" s="148">
        <f t="shared" si="1"/>
        <v>105768</v>
      </c>
    </row>
    <row r="9" spans="1:19" ht="13.5" thickBot="1">
      <c r="A9" s="752"/>
      <c r="B9" s="214"/>
      <c r="C9" s="215"/>
      <c r="D9" s="216"/>
      <c r="E9" s="219"/>
      <c r="F9" s="227">
        <v>21</v>
      </c>
      <c r="G9" s="560" t="s">
        <v>12</v>
      </c>
      <c r="H9" s="232" t="s">
        <v>386</v>
      </c>
      <c r="I9" s="755"/>
      <c r="J9" s="213" t="str">
        <f>+'13'!J9</f>
        <v>F 13 VP OW</v>
      </c>
      <c r="K9" s="238"/>
      <c r="L9" s="238"/>
      <c r="M9" s="116">
        <f>+K9+'13'!M9+L9</f>
        <v>22241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574</v>
      </c>
      <c r="I10" s="755"/>
      <c r="J10" s="213" t="str">
        <f>+'13'!J10</f>
        <v>F 12 VP OW</v>
      </c>
      <c r="K10" s="238"/>
      <c r="L10" s="238"/>
      <c r="M10" s="116">
        <f>+K10+'13'!M10+L10</f>
        <v>7645</v>
      </c>
      <c r="P10" s="148">
        <f>+O10-(O10*0.23)</f>
        <v>0</v>
      </c>
      <c r="R10" s="148">
        <f t="shared" ref="R10:R11" si="2">+O10*Q10</f>
        <v>0</v>
      </c>
      <c r="S10" s="148">
        <f t="shared" ref="S10:S11" si="3">+P10*Q10</f>
        <v>0</v>
      </c>
    </row>
    <row r="11" spans="1:19" ht="26.25" thickBot="1">
      <c r="A11" s="752"/>
      <c r="B11" s="214"/>
      <c r="C11" s="215"/>
      <c r="D11" s="216"/>
      <c r="E11" s="218"/>
      <c r="F11" s="227"/>
      <c r="G11" s="231"/>
      <c r="H11" s="232" t="s">
        <v>575</v>
      </c>
      <c r="I11" s="755"/>
      <c r="J11" s="213" t="str">
        <f>+'13'!J11</f>
        <v>F 16 VP OW</v>
      </c>
      <c r="K11" s="238"/>
      <c r="L11" s="238"/>
      <c r="M11" s="116">
        <f>+K11+'13'!M11+L11</f>
        <v>37034</v>
      </c>
      <c r="P11" s="148">
        <f>+O11-(O11*0.23)</f>
        <v>0</v>
      </c>
      <c r="R11" s="148">
        <f t="shared" si="2"/>
        <v>0</v>
      </c>
      <c r="S11" s="148">
        <f t="shared" si="3"/>
        <v>0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+'13'!J12</f>
        <v>F 15 VP OW</v>
      </c>
      <c r="K12" s="238"/>
      <c r="L12" s="238"/>
      <c r="M12" s="116">
        <f>+K12+'13'!M12+L12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+'13'!J13</f>
        <v>T 14 VP OW</v>
      </c>
      <c r="K13" s="238"/>
      <c r="L13" s="238"/>
      <c r="M13" s="116">
        <f>+K13+'13'!M13+L13</f>
        <v>5600</v>
      </c>
    </row>
    <row r="14" spans="1:19" ht="13.5" thickBot="1">
      <c r="A14" s="753"/>
      <c r="B14" s="164" t="s">
        <v>2</v>
      </c>
      <c r="C14" s="98">
        <f>SUM(C7:C13)</f>
        <v>15488</v>
      </c>
      <c r="D14" s="110">
        <f>SUM(D7:D13)</f>
        <v>0</v>
      </c>
      <c r="E14" s="111">
        <f>SUM(E5:E13)</f>
        <v>0</v>
      </c>
      <c r="F14" s="115">
        <f>SUM(F7:F13)</f>
        <v>25</v>
      </c>
      <c r="G14" s="158"/>
      <c r="H14" s="165"/>
      <c r="I14" s="166"/>
      <c r="J14" s="213" t="str">
        <f>+'13'!J14</f>
        <v>T 13 VP OW</v>
      </c>
      <c r="K14" s="238">
        <f>+C8+C16+C25</f>
        <v>36171</v>
      </c>
      <c r="L14" s="238"/>
      <c r="M14" s="116">
        <f>+K14+'13'!M14+L14</f>
        <v>161626</v>
      </c>
      <c r="Q14" s="175">
        <f>SUM(Q6:Q11)</f>
        <v>480</v>
      </c>
      <c r="R14" s="175">
        <f>SUM(R6:R11)</f>
        <v>572640</v>
      </c>
      <c r="S14" s="175">
        <f>SUM(S6:S11)</f>
        <v>437479.2</v>
      </c>
    </row>
    <row r="15" spans="1:19" ht="13.5" customHeight="1" thickBot="1">
      <c r="A15" s="751" t="s">
        <v>432</v>
      </c>
      <c r="B15" s="164"/>
      <c r="C15" s="112">
        <f>C14/($C$23+$D$23+$E$23)</f>
        <v>1.0022649323755906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579</v>
      </c>
      <c r="J15" s="213" t="s">
        <v>586</v>
      </c>
      <c r="K15" s="238">
        <f>+C7</f>
        <v>9664</v>
      </c>
      <c r="L15" s="238"/>
      <c r="M15" s="116">
        <f>+K15+'13'!M15+L15</f>
        <v>9664</v>
      </c>
      <c r="Q15" s="148">
        <f>480-Q14</f>
        <v>0</v>
      </c>
      <c r="R15" s="175">
        <f>+R14/Q14</f>
        <v>1193</v>
      </c>
      <c r="S15" s="175">
        <f>+S14/Q14</f>
        <v>911.41500000000008</v>
      </c>
    </row>
    <row r="16" spans="1:19" ht="13.5" thickBot="1">
      <c r="A16" s="757"/>
      <c r="B16" s="214" t="s">
        <v>534</v>
      </c>
      <c r="C16" s="221">
        <v>15453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+'13'!J16</f>
        <v>0</v>
      </c>
      <c r="K16" s="228"/>
      <c r="L16" s="228"/>
      <c r="M16" s="116">
        <f>+K16+'13'!M16+L16</f>
        <v>0</v>
      </c>
    </row>
    <row r="17" spans="1:26" ht="13.5" thickBot="1">
      <c r="A17" s="757"/>
      <c r="B17" s="214"/>
      <c r="C17" s="215"/>
      <c r="D17" s="216"/>
      <c r="E17" s="224"/>
      <c r="F17" s="227"/>
      <c r="G17" s="560" t="s">
        <v>12</v>
      </c>
      <c r="H17" s="232" t="s">
        <v>413</v>
      </c>
      <c r="I17" s="755"/>
      <c r="J17" s="213">
        <f>+'13'!J17</f>
        <v>0</v>
      </c>
      <c r="K17" s="228"/>
      <c r="L17" s="228"/>
      <c r="M17" s="116">
        <f>+K17+'13'!M17+L17</f>
        <v>0</v>
      </c>
      <c r="N17" s="148" t="s">
        <v>526</v>
      </c>
      <c r="O17" s="148">
        <v>1200</v>
      </c>
      <c r="P17" s="148">
        <f>+O17-(O17*0.22)</f>
        <v>936</v>
      </c>
      <c r="Q17" s="148">
        <v>480</v>
      </c>
      <c r="R17" s="148">
        <f t="shared" ref="R17" si="4">+O17*Q17</f>
        <v>576000</v>
      </c>
      <c r="S17" s="148">
        <f t="shared" ref="S17" si="5">+P17*Q17</f>
        <v>449280</v>
      </c>
    </row>
    <row r="18" spans="1:26" ht="51.75" thickBot="1">
      <c r="A18" s="757"/>
      <c r="B18" s="214"/>
      <c r="C18" s="215"/>
      <c r="D18" s="216"/>
      <c r="E18" s="224"/>
      <c r="F18" s="227">
        <v>18</v>
      </c>
      <c r="G18" s="236" t="s">
        <v>13</v>
      </c>
      <c r="H18" s="232" t="s">
        <v>577</v>
      </c>
      <c r="I18" s="755"/>
      <c r="J18" s="213">
        <f>+'13'!J18</f>
        <v>0</v>
      </c>
      <c r="K18" s="238"/>
      <c r="L18" s="238"/>
      <c r="M18" s="116">
        <f>+K18+'13'!M18+L18</f>
        <v>0</v>
      </c>
    </row>
    <row r="19" spans="1:26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+'13'!J19</f>
        <v>0</v>
      </c>
      <c r="K19" s="238"/>
      <c r="L19" s="238"/>
      <c r="M19" s="116">
        <f>+K19+'13'!M19+L19</f>
        <v>0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+'13'!J20</f>
        <v>0</v>
      </c>
      <c r="K20" s="239"/>
      <c r="L20" s="239"/>
      <c r="M20" s="116">
        <f>+K20+'13'!M20+L20</f>
        <v>0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+'13'!J21</f>
        <v>0</v>
      </c>
      <c r="K21" s="238"/>
      <c r="L21" s="238"/>
      <c r="M21" s="116">
        <f>+K21+'13'!M21+L21</f>
        <v>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+'13'!J22</f>
        <v>0</v>
      </c>
      <c r="K22" s="238"/>
      <c r="L22" s="238"/>
      <c r="M22" s="116">
        <f>+K22+'13'!M22+L22</f>
        <v>0</v>
      </c>
    </row>
    <row r="23" spans="1:26" ht="13.5" thickBot="1">
      <c r="A23" s="758"/>
      <c r="B23" s="167" t="s">
        <v>2</v>
      </c>
      <c r="C23" s="99">
        <f>SUM(C16:C22)</f>
        <v>15453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+'13'!J23</f>
        <v>0</v>
      </c>
      <c r="K23" s="238"/>
      <c r="L23" s="238"/>
      <c r="M23" s="116">
        <f>+K23+'13'!M23+L23</f>
        <v>0</v>
      </c>
    </row>
    <row r="24" spans="1:26" ht="13.5" customHeight="1" thickBot="1">
      <c r="A24" s="751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579</v>
      </c>
      <c r="J24" s="213">
        <f>+'13'!J24</f>
        <v>0</v>
      </c>
      <c r="K24" s="238"/>
      <c r="L24" s="238"/>
      <c r="M24" s="116">
        <f>+K24+'13'!M24+L24</f>
        <v>0</v>
      </c>
    </row>
    <row r="25" spans="1:26" ht="13.5" thickBot="1">
      <c r="A25" s="757"/>
      <c r="B25" s="214" t="s">
        <v>534</v>
      </c>
      <c r="C25" s="225">
        <v>14894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+'13'!J25</f>
        <v>0</v>
      </c>
      <c r="K25" s="238"/>
      <c r="L25" s="238"/>
      <c r="M25" s="116">
        <f>+K25+'13'!M25+L25</f>
        <v>0</v>
      </c>
      <c r="Q25" s="175">
        <f>SUM(Q17:Q22)</f>
        <v>480</v>
      </c>
      <c r="R25" s="175">
        <f>SUM(R17:R22)</f>
        <v>576000</v>
      </c>
      <c r="S25" s="175">
        <f>SUM(S17:S22)</f>
        <v>449280</v>
      </c>
    </row>
    <row r="26" spans="1:26" ht="13.5" thickBot="1">
      <c r="A26" s="757"/>
      <c r="B26" s="214"/>
      <c r="C26" s="225"/>
      <c r="D26" s="216"/>
      <c r="E26" s="226"/>
      <c r="F26" s="227">
        <v>14</v>
      </c>
      <c r="G26" s="560" t="s">
        <v>12</v>
      </c>
      <c r="H26" s="232" t="s">
        <v>413</v>
      </c>
      <c r="I26" s="755"/>
      <c r="J26" s="213">
        <f>+'13'!J26</f>
        <v>0</v>
      </c>
      <c r="K26" s="238"/>
      <c r="L26" s="238"/>
      <c r="M26" s="116">
        <f>+K26+'13'!M26+L26</f>
        <v>0</v>
      </c>
      <c r="Q26" s="148">
        <f>480-Q25</f>
        <v>0</v>
      </c>
      <c r="R26" s="175">
        <f>+R25/Q25</f>
        <v>1200</v>
      </c>
      <c r="S26" s="175">
        <f>+S25/Q25</f>
        <v>936</v>
      </c>
    </row>
    <row r="27" spans="1:26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576</v>
      </c>
      <c r="I27" s="755"/>
      <c r="J27" s="213">
        <f>+'13'!J27</f>
        <v>0</v>
      </c>
      <c r="K27" s="238"/>
      <c r="L27" s="238"/>
      <c r="M27" s="116">
        <f>+K27+'13'!M27+L27</f>
        <v>0</v>
      </c>
      <c r="N27" s="148" t="s">
        <v>526</v>
      </c>
      <c r="O27" s="148">
        <v>1200</v>
      </c>
      <c r="P27" s="148">
        <f>+O27-(O27*0.22)</f>
        <v>936</v>
      </c>
      <c r="Q27" s="148">
        <v>480</v>
      </c>
      <c r="R27" s="148">
        <f t="shared" ref="R27" si="6">+O27*Q27</f>
        <v>576000</v>
      </c>
      <c r="S27" s="148">
        <f t="shared" ref="S27" si="7">+P27*Q27</f>
        <v>449280</v>
      </c>
      <c r="U27" s="148" t="s">
        <v>526</v>
      </c>
      <c r="V27" s="148">
        <v>1170</v>
      </c>
      <c r="W27" s="148">
        <v>912.6</v>
      </c>
      <c r="X27" s="148">
        <v>112</v>
      </c>
      <c r="Y27" s="148">
        <f t="shared" ref="Y27" si="8">+V27*X27</f>
        <v>131040</v>
      </c>
      <c r="Z27" s="148">
        <f t="shared" ref="Z27" si="9">+W27*X27</f>
        <v>102211.2</v>
      </c>
    </row>
    <row r="28" spans="1:26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+'13'!J28</f>
        <v>0</v>
      </c>
      <c r="K28" s="238"/>
      <c r="L28" s="238"/>
      <c r="M28" s="116">
        <f>+K28+'13'!M28+L28</f>
        <v>0</v>
      </c>
      <c r="V28" s="148">
        <v>1200</v>
      </c>
      <c r="W28" s="148">
        <v>936</v>
      </c>
      <c r="X28" s="148">
        <v>113</v>
      </c>
      <c r="Y28" s="148">
        <f t="shared" ref="Y28:Y30" si="10">+V28*X28</f>
        <v>135600</v>
      </c>
      <c r="Z28" s="148">
        <f t="shared" ref="Z28:Z30" si="11">+W28*X28</f>
        <v>105768</v>
      </c>
    </row>
    <row r="29" spans="1:2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+'13'!J29</f>
        <v>0</v>
      </c>
      <c r="K29" s="238"/>
      <c r="L29" s="238"/>
      <c r="M29" s="116">
        <f>+K29+'13'!M29+L29</f>
        <v>0</v>
      </c>
      <c r="U29" s="148" t="s">
        <v>526</v>
      </c>
      <c r="V29" s="148">
        <v>1200</v>
      </c>
      <c r="W29" s="148">
        <v>936</v>
      </c>
      <c r="X29" s="148">
        <v>480</v>
      </c>
      <c r="Y29" s="148">
        <f t="shared" si="10"/>
        <v>576000</v>
      </c>
      <c r="Z29" s="148">
        <f t="shared" si="11"/>
        <v>449280</v>
      </c>
    </row>
    <row r="30" spans="1:2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+'13'!J30</f>
        <v>0</v>
      </c>
      <c r="K30" s="238"/>
      <c r="L30" s="238"/>
      <c r="M30" s="116">
        <f>+K30+'13'!M30+L30</f>
        <v>0</v>
      </c>
      <c r="U30" s="148" t="s">
        <v>526</v>
      </c>
      <c r="V30" s="148">
        <v>1200</v>
      </c>
      <c r="W30" s="148">
        <v>936</v>
      </c>
      <c r="X30" s="148">
        <v>480</v>
      </c>
      <c r="Y30" s="148">
        <f t="shared" si="10"/>
        <v>576000</v>
      </c>
      <c r="Z30" s="148">
        <f t="shared" si="11"/>
        <v>449280</v>
      </c>
    </row>
    <row r="31" spans="1:26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+'13'!J31</f>
        <v>0</v>
      </c>
      <c r="K31" s="238"/>
      <c r="L31" s="238"/>
      <c r="M31" s="116">
        <f>+K31+'13'!M31+L31</f>
        <v>0</v>
      </c>
    </row>
    <row r="32" spans="1:26" ht="13.5" thickBot="1">
      <c r="A32" s="758"/>
      <c r="B32" s="164" t="s">
        <v>2</v>
      </c>
      <c r="C32" s="98">
        <f>SUM(C25:C31)</f>
        <v>14894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+'13'!J32</f>
        <v>0</v>
      </c>
      <c r="K32" s="240"/>
      <c r="L32" s="242"/>
      <c r="M32" s="116">
        <f>+K32+'13'!M32+L32</f>
        <v>0</v>
      </c>
    </row>
    <row r="33" spans="1:26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9" t="s">
        <v>57</v>
      </c>
      <c r="B34" s="760"/>
      <c r="C34" s="106">
        <f>C14+C23+C32</f>
        <v>45835</v>
      </c>
      <c r="D34" s="106">
        <f>D14+D23+D32</f>
        <v>0</v>
      </c>
      <c r="E34" s="106">
        <f>E14+E23+E32</f>
        <v>0</v>
      </c>
      <c r="F34" s="107">
        <f>F14+F23+F32</f>
        <v>61</v>
      </c>
      <c r="H34" s="177"/>
      <c r="I34" s="177"/>
      <c r="J34" s="122" t="s">
        <v>28</v>
      </c>
      <c r="K34" s="123">
        <f>SUM(K7:K32)</f>
        <v>45835</v>
      </c>
      <c r="L34" s="211">
        <f>SUM(L7:L32)</f>
        <v>0</v>
      </c>
      <c r="M34" s="119">
        <f>SUM(M7:M32)</f>
        <v>494024</v>
      </c>
    </row>
    <row r="35" spans="1:26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576000</v>
      </c>
      <c r="S35" s="175">
        <f>SUM(S27:S32)</f>
        <v>449280</v>
      </c>
      <c r="X35" s="175">
        <f>SUM(X27:X32)</f>
        <v>1185</v>
      </c>
      <c r="Y35" s="175">
        <f>SUM(Y27:Y32)</f>
        <v>1418640</v>
      </c>
      <c r="Z35" s="175">
        <f>SUM(Z27:Z32)</f>
        <v>1106539.2</v>
      </c>
    </row>
    <row r="36" spans="1:26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1200</v>
      </c>
      <c r="S36" s="175">
        <f>+S35/Q35</f>
        <v>936</v>
      </c>
      <c r="X36" s="148">
        <f>480-X35</f>
        <v>-705</v>
      </c>
      <c r="Y36" s="175">
        <f>+Y35/X35</f>
        <v>1197.1645569620252</v>
      </c>
      <c r="Z36" s="175">
        <f>+Z35/X35</f>
        <v>933.78835443037974</v>
      </c>
    </row>
    <row r="37" spans="1:26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(12*255+13*1185)/1440*G42*2.74*1440/1000000</f>
        <v>46.9414589505</v>
      </c>
      <c r="J37" s="124">
        <f>+I37+'13'!J37</f>
        <v>574.80852851430075</v>
      </c>
      <c r="K37" s="125" t="s">
        <v>63</v>
      </c>
      <c r="N37" s="148" t="s">
        <v>578</v>
      </c>
      <c r="O37" s="148">
        <v>1200</v>
      </c>
      <c r="P37" s="148">
        <v>900</v>
      </c>
      <c r="Q37" s="148">
        <v>255</v>
      </c>
    </row>
    <row r="38" spans="1:26" ht="17.45" customHeight="1">
      <c r="A38" s="763" t="s">
        <v>12</v>
      </c>
      <c r="B38" s="764"/>
      <c r="C38" s="163">
        <f>SUMIF($G$7:$G$31,"Process",$F$7:$F$31)</f>
        <v>43</v>
      </c>
      <c r="D38" s="117">
        <f>+C38+'13'!D38</f>
        <v>877</v>
      </c>
      <c r="E38" s="142">
        <f t="shared" ref="E38:E51" si="12">D38/60</f>
        <v>14.616666666666667</v>
      </c>
      <c r="F38" s="321">
        <v>1193</v>
      </c>
      <c r="G38" s="321">
        <v>911.41500000000008</v>
      </c>
      <c r="H38" s="186" t="s">
        <v>64</v>
      </c>
      <c r="I38" s="244">
        <f>12.593+15.539+14.993</f>
        <v>43.125</v>
      </c>
      <c r="J38" s="126">
        <f>+I38+'13'!J38</f>
        <v>511.91399999999993</v>
      </c>
      <c r="K38" s="127" t="s">
        <v>63</v>
      </c>
      <c r="N38" s="148" t="s">
        <v>526</v>
      </c>
      <c r="O38" s="148">
        <v>1197.1645569620252</v>
      </c>
      <c r="P38" s="148">
        <v>933.78835443037974</v>
      </c>
      <c r="Q38" s="148">
        <v>1185</v>
      </c>
    </row>
    <row r="39" spans="1:26" ht="17.45" customHeight="1">
      <c r="A39" s="765" t="s">
        <v>13</v>
      </c>
      <c r="B39" s="766"/>
      <c r="C39" s="163">
        <f>SUMIF($G$7:$G$31,"Cleaning",$F$7:$F$31)</f>
        <v>18</v>
      </c>
      <c r="D39" s="117">
        <f>+C39+'13'!D39</f>
        <v>33</v>
      </c>
      <c r="E39" s="142">
        <f t="shared" si="12"/>
        <v>0.55000000000000004</v>
      </c>
      <c r="F39" s="321">
        <v>1200</v>
      </c>
      <c r="G39" s="321">
        <v>936</v>
      </c>
      <c r="H39" s="186" t="s">
        <v>65</v>
      </c>
      <c r="I39" s="141"/>
      <c r="J39" s="128">
        <f>J37/G4</f>
        <v>41.057752036735771</v>
      </c>
      <c r="K39" s="129" t="s">
        <v>63</v>
      </c>
      <c r="Q39" s="148">
        <f>+Q37+Q38</f>
        <v>1440</v>
      </c>
    </row>
    <row r="40" spans="1:26" ht="17.45" customHeight="1">
      <c r="A40" s="765" t="s">
        <v>66</v>
      </c>
      <c r="B40" s="766"/>
      <c r="C40" s="163">
        <f>SUMIF($G$7:$G$31,"Mechanical",$F$7:$F$31)</f>
        <v>0</v>
      </c>
      <c r="D40" s="117">
        <f>+C40+'13'!D40</f>
        <v>206</v>
      </c>
      <c r="E40" s="142">
        <f t="shared" si="12"/>
        <v>3.4333333333333331</v>
      </c>
      <c r="F40" s="321">
        <v>1200</v>
      </c>
      <c r="G40" s="321">
        <v>936</v>
      </c>
      <c r="H40" s="186" t="s">
        <v>67</v>
      </c>
      <c r="I40" s="117">
        <f>(K34+L34)/1000</f>
        <v>45.835000000000001</v>
      </c>
      <c r="J40" s="130">
        <f>+I40+'13'!J40</f>
        <v>494.02399999999994</v>
      </c>
      <c r="K40" s="129" t="s">
        <v>63</v>
      </c>
    </row>
    <row r="41" spans="1:26" ht="17.45" customHeight="1">
      <c r="A41" s="765" t="s">
        <v>68</v>
      </c>
      <c r="B41" s="766"/>
      <c r="C41" s="163">
        <f>SUMIF($G$7:$G$31,"Electrical",$F$7:$F$31)</f>
        <v>0</v>
      </c>
      <c r="D41" s="117">
        <f>+C41+'13'!D41</f>
        <v>0</v>
      </c>
      <c r="E41" s="142">
        <f t="shared" si="12"/>
        <v>0</v>
      </c>
      <c r="F41" s="321"/>
      <c r="G41" s="321"/>
      <c r="H41" s="186" t="s">
        <v>69</v>
      </c>
      <c r="I41" s="141"/>
      <c r="J41" s="128">
        <f>J40/G4</f>
        <v>35.28742857142857</v>
      </c>
      <c r="K41" s="129" t="s">
        <v>63</v>
      </c>
    </row>
    <row r="42" spans="1:26" ht="17.45" customHeight="1">
      <c r="A42" s="765" t="s">
        <v>16</v>
      </c>
      <c r="B42" s="766"/>
      <c r="C42" s="163">
        <f>SUMIF($G$7:$G$31,"Instrument",$F$7:$F$31)</f>
        <v>0</v>
      </c>
      <c r="D42" s="117">
        <f>+C42+'13'!D42</f>
        <v>0</v>
      </c>
      <c r="E42" s="142">
        <f t="shared" si="12"/>
        <v>0</v>
      </c>
      <c r="F42" s="321">
        <f>+(480*F38+480*F39+480*F40)/1440</f>
        <v>1197.6666666666667</v>
      </c>
      <c r="G42" s="321">
        <f>+(480*G38+480*G39+480*G40)/1440</f>
        <v>927.80499999999995</v>
      </c>
      <c r="H42" s="186" t="s">
        <v>70</v>
      </c>
      <c r="I42" s="245" t="s">
        <v>583</v>
      </c>
      <c r="J42" s="131"/>
      <c r="K42" s="129" t="s">
        <v>71</v>
      </c>
    </row>
    <row r="43" spans="1:26" ht="17.45" customHeight="1">
      <c r="A43" s="765" t="s">
        <v>72</v>
      </c>
      <c r="B43" s="766"/>
      <c r="C43" s="163">
        <f>SUMIF($G$7:$G$31,"Water",$F$7:$F$31)</f>
        <v>0</v>
      </c>
      <c r="D43" s="117">
        <f>+C43+'13'!D43</f>
        <v>0</v>
      </c>
      <c r="E43" s="142">
        <f t="shared" si="12"/>
        <v>0</v>
      </c>
      <c r="F43" s="321"/>
      <c r="G43" s="322"/>
      <c r="H43" s="187" t="s">
        <v>73</v>
      </c>
      <c r="I43" s="117">
        <f>+Report1!Z22</f>
        <v>57.1</v>
      </c>
      <c r="J43" s="132">
        <f>+I43+'13'!J43</f>
        <v>735.1</v>
      </c>
      <c r="K43" s="129" t="s">
        <v>63</v>
      </c>
      <c r="L43" s="188"/>
    </row>
    <row r="44" spans="1:26" ht="17.45" customHeight="1">
      <c r="A44" s="765" t="s">
        <v>17</v>
      </c>
      <c r="B44" s="766"/>
      <c r="C44" s="163">
        <f>SUMIF($G$7:$G$31,"PLN",$F$7:$F$31)</f>
        <v>0</v>
      </c>
      <c r="D44" s="117">
        <f>+C44+'13'!D44</f>
        <v>438</v>
      </c>
      <c r="E44" s="142">
        <f t="shared" si="12"/>
        <v>7.3</v>
      </c>
      <c r="F44" s="321"/>
      <c r="G44" s="322"/>
      <c r="H44" s="187" t="s">
        <v>74</v>
      </c>
      <c r="I44" s="117">
        <f>I43/I38</f>
        <v>1.3240579710144929</v>
      </c>
      <c r="J44" s="133">
        <f>J43/J38</f>
        <v>1.4359833878346755</v>
      </c>
      <c r="K44" s="129" t="s">
        <v>63</v>
      </c>
    </row>
    <row r="45" spans="1:26" ht="17.45" customHeight="1">
      <c r="A45" s="765" t="s">
        <v>18</v>
      </c>
      <c r="B45" s="766"/>
      <c r="C45" s="163">
        <f>SUMIF($G$7:$G$31,"Boiler",$F$7:$F$31)</f>
        <v>0</v>
      </c>
      <c r="D45" s="117">
        <f>+C45+'13'!D45</f>
        <v>0</v>
      </c>
      <c r="E45" s="142">
        <f t="shared" si="12"/>
        <v>0</v>
      </c>
      <c r="F45" s="321"/>
      <c r="G45" s="324"/>
      <c r="H45" s="187" t="s">
        <v>75</v>
      </c>
      <c r="I45" s="117">
        <f>I43/I40</f>
        <v>1.2457728809861459</v>
      </c>
      <c r="J45" s="133">
        <f>J43/J40</f>
        <v>1.4879843894223765</v>
      </c>
      <c r="K45" s="129" t="s">
        <v>63</v>
      </c>
    </row>
    <row r="46" spans="1:26" ht="17.45" customHeight="1">
      <c r="A46" s="765" t="s">
        <v>76</v>
      </c>
      <c r="B46" s="766"/>
      <c r="C46" s="163">
        <f>SUMIF($G$7:$G$31,"Gas",$F$7:$F$31)</f>
        <v>0</v>
      </c>
      <c r="D46" s="117">
        <f>+C46+'13'!D46</f>
        <v>0</v>
      </c>
      <c r="E46" s="142">
        <f t="shared" si="12"/>
        <v>0</v>
      </c>
      <c r="F46" s="321"/>
      <c r="G46" s="322"/>
      <c r="H46" s="187" t="s">
        <v>77</v>
      </c>
      <c r="I46" s="139">
        <f>+SUMIF(Listrik!P21,"&gt;0")</f>
        <v>37382.34000000036</v>
      </c>
      <c r="J46" s="134">
        <f>+I46+'13'!J46</f>
        <v>487448.26000000077</v>
      </c>
      <c r="K46" s="129" t="s">
        <v>78</v>
      </c>
    </row>
    <row r="47" spans="1:26" ht="17.45" customHeight="1">
      <c r="A47" s="765" t="s">
        <v>79</v>
      </c>
      <c r="B47" s="766"/>
      <c r="C47" s="163">
        <f>SUMIF($G$7:$G$31,"Gas",$F$7:$F$31)</f>
        <v>0</v>
      </c>
      <c r="D47" s="117">
        <f>+C47+'13'!D47</f>
        <v>0</v>
      </c>
      <c r="E47" s="142">
        <f t="shared" si="12"/>
        <v>0</v>
      </c>
      <c r="F47" s="321"/>
      <c r="G47" s="322"/>
      <c r="H47" s="187" t="s">
        <v>80</v>
      </c>
      <c r="I47" s="117">
        <f>I46/I38</f>
        <v>866.8368695652257</v>
      </c>
      <c r="J47" s="134">
        <f>J46/J38</f>
        <v>952.20732388643569</v>
      </c>
      <c r="K47" s="129" t="s">
        <v>24</v>
      </c>
    </row>
    <row r="48" spans="1:26" ht="17.45" customHeight="1">
      <c r="A48" s="765" t="s">
        <v>14</v>
      </c>
      <c r="B48" s="766"/>
      <c r="C48" s="163">
        <f>SUMIF($G$7:$G$31,"Start Up",$F$7:$F$31)</f>
        <v>0</v>
      </c>
      <c r="D48" s="117">
        <f>+C48+'13'!D48</f>
        <v>0</v>
      </c>
      <c r="E48" s="142">
        <f t="shared" si="12"/>
        <v>0</v>
      </c>
      <c r="F48" s="321"/>
      <c r="G48" s="322"/>
      <c r="H48" s="187" t="s">
        <v>81</v>
      </c>
      <c r="I48" s="117">
        <f>I46/I40</f>
        <v>815.58503327152528</v>
      </c>
      <c r="J48" s="134">
        <f>J46/J40</f>
        <v>986.68943209236966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+C49+'13'!D49</f>
        <v>0</v>
      </c>
      <c r="E49" s="142">
        <f t="shared" si="12"/>
        <v>0</v>
      </c>
      <c r="F49" s="184"/>
      <c r="H49" s="187" t="s">
        <v>270</v>
      </c>
      <c r="I49" s="117">
        <f>+Report1!T22</f>
        <v>5600.2625241284159</v>
      </c>
      <c r="J49" s="134">
        <f>+I49+'13'!J49</f>
        <v>67771.858302208871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+C50+'13'!D50</f>
        <v>0</v>
      </c>
      <c r="E50" s="142">
        <f t="shared" si="12"/>
        <v>0</v>
      </c>
      <c r="F50" s="184"/>
      <c r="H50" s="187" t="s">
        <v>83</v>
      </c>
      <c r="I50" s="139">
        <f>I49/I38</f>
        <v>129.86115997978936</v>
      </c>
      <c r="J50" s="132">
        <f>J49/J38</f>
        <v>132.38914798620252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+C51+'13'!D51</f>
        <v>738</v>
      </c>
      <c r="E51" s="142">
        <f t="shared" si="12"/>
        <v>12.3</v>
      </c>
      <c r="F51" s="184"/>
      <c r="H51" s="189" t="s">
        <v>85</v>
      </c>
      <c r="I51" s="140">
        <f>I49/I40</f>
        <v>122.18310295905783</v>
      </c>
      <c r="J51" s="135">
        <f>J49/J40</f>
        <v>137.18333178592312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61</v>
      </c>
      <c r="D52" s="143">
        <f>SUM(D38:D51)</f>
        <v>2292</v>
      </c>
      <c r="E52" s="144">
        <f>SUM(E38:E51)</f>
        <v>38.200000000000003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4.2361111111111113E-2</v>
      </c>
      <c r="D53" s="145">
        <f>D52/(24*60*G4)</f>
        <v>0.11369047619047619</v>
      </c>
      <c r="E53" s="146">
        <f>E52/(G4*24)</f>
        <v>0.1136904761904762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+D34+'13'!J56</f>
        <v>1989</v>
      </c>
      <c r="K56" s="200">
        <f>J56/(J40+J56/1000)/1000</f>
        <v>4.0099755449957966E-3</v>
      </c>
    </row>
    <row r="57" spans="1:11">
      <c r="A57" s="175"/>
      <c r="I57" s="198" t="s">
        <v>88</v>
      </c>
      <c r="J57" s="199">
        <f>+E34+'13'!J57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  <row r="78" spans="23:23">
      <c r="W78" s="148">
        <f>+'14'!K8/1000</f>
        <v>0</v>
      </c>
    </row>
  </sheetData>
  <mergeCells count="24">
    <mergeCell ref="A45:B45"/>
    <mergeCell ref="A42:B42"/>
    <mergeCell ref="A43:B43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2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zoomScale="85" zoomScaleNormal="70" zoomScaleSheetLayoutView="85" workbookViewId="0">
      <selection activeCell="H18" sqref="H1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13</v>
      </c>
      <c r="H4" s="153" t="str">
        <f>+'1'!H4</f>
        <v>.04.26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526</v>
      </c>
      <c r="O6" s="148">
        <v>1160</v>
      </c>
      <c r="P6" s="148">
        <f>+O6-(O6*0.25)</f>
        <v>870</v>
      </c>
      <c r="Q6" s="148">
        <f>60*2+45</f>
        <v>165</v>
      </c>
      <c r="R6" s="148">
        <f t="shared" ref="R6:R7" si="0">+O6*Q6</f>
        <v>191400</v>
      </c>
      <c r="S6" s="148">
        <f t="shared" ref="S6:S7" si="1">+P6*Q6</f>
        <v>143550</v>
      </c>
      <c r="U6" s="148" t="s">
        <v>526</v>
      </c>
      <c r="V6" s="148">
        <v>1160</v>
      </c>
      <c r="W6" s="148">
        <f>+V6-(V6*0.25)</f>
        <v>870</v>
      </c>
      <c r="X6" s="148">
        <f>60*2+45</f>
        <v>165</v>
      </c>
      <c r="Y6" s="148">
        <f t="shared" ref="Y6:Y7" si="2">+V6*X6</f>
        <v>191400</v>
      </c>
      <c r="Z6" s="148">
        <f t="shared" ref="Z6:Z7" si="3">+W6*X6</f>
        <v>143550</v>
      </c>
    </row>
    <row r="7" spans="1:26" ht="13.5" customHeight="1" thickBot="1">
      <c r="A7" s="751" t="s">
        <v>389</v>
      </c>
      <c r="B7" s="214" t="s">
        <v>534</v>
      </c>
      <c r="C7" s="215">
        <v>5032</v>
      </c>
      <c r="D7" s="216"/>
      <c r="E7" s="217"/>
      <c r="F7" s="227"/>
      <c r="G7" s="228" t="s">
        <v>12</v>
      </c>
      <c r="H7" s="229" t="s">
        <v>385</v>
      </c>
      <c r="I7" s="754" t="s">
        <v>546</v>
      </c>
      <c r="J7" s="213" t="str">
        <f>+'12'!J7</f>
        <v>F 11,5 VP OW</v>
      </c>
      <c r="K7" s="237"/>
      <c r="L7" s="241"/>
      <c r="M7" s="116">
        <f>+K7+'12'!M7+L7</f>
        <v>168614</v>
      </c>
      <c r="R7" s="148">
        <f t="shared" si="0"/>
        <v>0</v>
      </c>
      <c r="S7" s="148">
        <f t="shared" si="1"/>
        <v>0</v>
      </c>
      <c r="U7" s="148" t="s">
        <v>526</v>
      </c>
      <c r="V7" s="148">
        <v>1050</v>
      </c>
      <c r="W7" s="148">
        <v>787.5</v>
      </c>
      <c r="X7" s="148">
        <v>21</v>
      </c>
      <c r="Y7" s="148">
        <f t="shared" si="2"/>
        <v>22050</v>
      </c>
      <c r="Z7" s="148">
        <f t="shared" si="3"/>
        <v>16537.5</v>
      </c>
    </row>
    <row r="8" spans="1:26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+'12'!J8</f>
        <v>F 14 VP OW</v>
      </c>
      <c r="K8" s="238"/>
      <c r="L8" s="238"/>
      <c r="M8" s="116">
        <f>+K8+'12'!M8+L8</f>
        <v>78398</v>
      </c>
      <c r="V8" s="148">
        <v>1120</v>
      </c>
      <c r="W8" s="148">
        <v>840</v>
      </c>
      <c r="X8" s="148">
        <v>27</v>
      </c>
      <c r="Y8" s="148">
        <f t="shared" ref="Y8:Y9" si="4">+V8*X8</f>
        <v>30240</v>
      </c>
      <c r="Z8" s="148">
        <f t="shared" ref="Z8:Z9" si="5">+W8*X8</f>
        <v>22680</v>
      </c>
    </row>
    <row r="9" spans="1:26" ht="13.5" thickBot="1">
      <c r="A9" s="752"/>
      <c r="B9" s="214"/>
      <c r="C9" s="215"/>
      <c r="D9" s="216"/>
      <c r="E9" s="219"/>
      <c r="F9" s="227">
        <v>9</v>
      </c>
      <c r="G9" s="560" t="s">
        <v>12</v>
      </c>
      <c r="H9" s="232" t="s">
        <v>564</v>
      </c>
      <c r="I9" s="755"/>
      <c r="J9" s="213" t="str">
        <f>+'12'!J9</f>
        <v>F 13 VP OW</v>
      </c>
      <c r="K9" s="238"/>
      <c r="L9" s="238"/>
      <c r="M9" s="116">
        <f>+K9+'12'!M9+L9</f>
        <v>22241</v>
      </c>
      <c r="V9" s="148">
        <v>1160</v>
      </c>
      <c r="W9" s="148">
        <v>870</v>
      </c>
      <c r="X9" s="148">
        <v>320</v>
      </c>
      <c r="Y9" s="148">
        <f t="shared" si="4"/>
        <v>371200</v>
      </c>
      <c r="Z9" s="148">
        <f t="shared" si="5"/>
        <v>278400</v>
      </c>
    </row>
    <row r="10" spans="1:26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559</v>
      </c>
      <c r="I10" s="755"/>
      <c r="J10" s="213" t="str">
        <f>+'12'!J10</f>
        <v>F 12 VP OW</v>
      </c>
      <c r="K10" s="238"/>
      <c r="L10" s="238"/>
      <c r="M10" s="116">
        <f>+K10+'12'!M10+L10</f>
        <v>7645</v>
      </c>
      <c r="P10" s="148">
        <f>+O10-(O10*0.23)</f>
        <v>0</v>
      </c>
      <c r="R10" s="148">
        <f t="shared" ref="R10:R11" si="6">+O10*Q10</f>
        <v>0</v>
      </c>
      <c r="S10" s="148">
        <f t="shared" ref="S10:S11" si="7">+P10*Q10</f>
        <v>0</v>
      </c>
      <c r="U10" s="148" t="s">
        <v>526</v>
      </c>
      <c r="V10" s="148">
        <v>1200</v>
      </c>
      <c r="W10" s="148">
        <v>900</v>
      </c>
      <c r="X10" s="148">
        <v>355</v>
      </c>
      <c r="Y10" s="148">
        <f t="shared" ref="Y10:Y11" si="8">+V10*X10</f>
        <v>426000</v>
      </c>
      <c r="Z10" s="148">
        <f t="shared" ref="Z10:Z11" si="9">+W10*X10</f>
        <v>319500</v>
      </c>
    </row>
    <row r="11" spans="1:26" ht="13.5" thickBot="1">
      <c r="A11" s="752"/>
      <c r="B11" s="214"/>
      <c r="C11" s="215"/>
      <c r="D11" s="216"/>
      <c r="E11" s="218"/>
      <c r="F11" s="227">
        <v>315</v>
      </c>
      <c r="G11" s="231" t="s">
        <v>17</v>
      </c>
      <c r="H11" s="232" t="s">
        <v>560</v>
      </c>
      <c r="I11" s="755"/>
      <c r="J11" s="213" t="str">
        <f>+'12'!J11</f>
        <v>F 16 VP OW</v>
      </c>
      <c r="K11" s="238"/>
      <c r="L11" s="238"/>
      <c r="M11" s="116">
        <f>+K11+'12'!M11+L11</f>
        <v>37034</v>
      </c>
      <c r="P11" s="148">
        <f>+O11-(O11*0.23)</f>
        <v>0</v>
      </c>
      <c r="R11" s="148">
        <f t="shared" si="6"/>
        <v>0</v>
      </c>
      <c r="S11" s="148">
        <f t="shared" si="7"/>
        <v>0</v>
      </c>
      <c r="W11" s="148">
        <f>+V11-(V11*0.23)</f>
        <v>0</v>
      </c>
      <c r="Y11" s="148">
        <f t="shared" si="8"/>
        <v>0</v>
      </c>
      <c r="Z11" s="148">
        <f t="shared" si="9"/>
        <v>0</v>
      </c>
    </row>
    <row r="12" spans="1:2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+'12'!J12</f>
        <v>F 15 VP OW</v>
      </c>
      <c r="K12" s="238"/>
      <c r="L12" s="238"/>
      <c r="M12" s="116">
        <f>+K12+'12'!M12+L12</f>
        <v>3202</v>
      </c>
    </row>
    <row r="13" spans="1:2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+'12'!J13</f>
        <v>T 14 VP OW</v>
      </c>
      <c r="K13" s="238"/>
      <c r="L13" s="238"/>
      <c r="M13" s="116">
        <f>+K13+'12'!M13+L13</f>
        <v>5600</v>
      </c>
    </row>
    <row r="14" spans="1:26" ht="13.5" thickBot="1">
      <c r="A14" s="753"/>
      <c r="B14" s="164" t="s">
        <v>2</v>
      </c>
      <c r="C14" s="98">
        <f>SUM(C7:C13)</f>
        <v>5032</v>
      </c>
      <c r="D14" s="110">
        <f>SUM(D7:D13)</f>
        <v>0</v>
      </c>
      <c r="E14" s="111">
        <f>SUM(E5:E13)</f>
        <v>0</v>
      </c>
      <c r="F14" s="115">
        <f>SUM(F7:F13)</f>
        <v>324</v>
      </c>
      <c r="G14" s="158"/>
      <c r="H14" s="165"/>
      <c r="I14" s="166"/>
      <c r="J14" s="213" t="str">
        <f>+'12'!J14</f>
        <v>T 13 VP OW</v>
      </c>
      <c r="K14" s="238">
        <f>+C34</f>
        <v>25204</v>
      </c>
      <c r="L14" s="238"/>
      <c r="M14" s="116">
        <f>+K14+'12'!M14+L14</f>
        <v>125455</v>
      </c>
      <c r="Q14" s="175">
        <f>SUM(Q6:Q11)</f>
        <v>165</v>
      </c>
      <c r="R14" s="175">
        <f>SUM(R6:R11)</f>
        <v>191400</v>
      </c>
      <c r="S14" s="175">
        <f>SUM(S6:S11)</f>
        <v>143550</v>
      </c>
      <c r="X14" s="175">
        <f>SUM(X6:X11)</f>
        <v>888</v>
      </c>
      <c r="Y14" s="175">
        <f>SUM(Y6:Y11)</f>
        <v>1040890</v>
      </c>
      <c r="Z14" s="175">
        <f>SUM(Z6:Z11)</f>
        <v>780667.5</v>
      </c>
    </row>
    <row r="15" spans="1:26" ht="13.5" customHeight="1" thickBot="1">
      <c r="A15" s="751" t="s">
        <v>432</v>
      </c>
      <c r="B15" s="164"/>
      <c r="C15" s="112">
        <f>C14/($C$23+$D$23+$E$23)</f>
        <v>0.8450041981528128</v>
      </c>
      <c r="D15" s="113">
        <f>D14/($C$23+$D$23+$E$23)</f>
        <v>0</v>
      </c>
      <c r="E15" s="114">
        <f>E14/($C$23+$D$23+$E$23)</f>
        <v>0</v>
      </c>
      <c r="F15" s="227">
        <v>6</v>
      </c>
      <c r="G15" s="228" t="s">
        <v>12</v>
      </c>
      <c r="H15" s="229" t="s">
        <v>400</v>
      </c>
      <c r="I15" s="754" t="s">
        <v>562</v>
      </c>
      <c r="J15" s="213">
        <f>+'12'!J15</f>
        <v>0</v>
      </c>
      <c r="K15" s="238"/>
      <c r="L15" s="238"/>
      <c r="M15" s="116">
        <f>+K15+'12'!M15+L15</f>
        <v>0</v>
      </c>
      <c r="Q15" s="148">
        <f>480-Q14</f>
        <v>315</v>
      </c>
      <c r="R15" s="175">
        <f>+R14/Q14</f>
        <v>1160</v>
      </c>
      <c r="S15" s="175">
        <f>+S14/Q14</f>
        <v>870</v>
      </c>
      <c r="X15" s="148">
        <f>480-X14</f>
        <v>-408</v>
      </c>
      <c r="Y15" s="175">
        <f>+Y14/X14</f>
        <v>1172.1734234234234</v>
      </c>
      <c r="Z15" s="175">
        <f>+Z14/X14</f>
        <v>879.13006756756761</v>
      </c>
    </row>
    <row r="16" spans="1:26" ht="13.5" thickBot="1">
      <c r="A16" s="757"/>
      <c r="B16" s="214" t="s">
        <v>534</v>
      </c>
      <c r="C16" s="221">
        <v>5665</v>
      </c>
      <c r="D16" s="222">
        <v>290</v>
      </c>
      <c r="E16" s="223"/>
      <c r="F16" s="230"/>
      <c r="G16" s="560" t="s">
        <v>12</v>
      </c>
      <c r="H16" s="229" t="s">
        <v>412</v>
      </c>
      <c r="I16" s="755"/>
      <c r="J16" s="213">
        <f>+'12'!J16</f>
        <v>0</v>
      </c>
      <c r="K16" s="228"/>
      <c r="L16" s="228"/>
      <c r="M16" s="116">
        <f>+K16+'12'!M16+L16</f>
        <v>0</v>
      </c>
    </row>
    <row r="17" spans="1:19" ht="13.5" thickBot="1">
      <c r="A17" s="757"/>
      <c r="B17" s="214"/>
      <c r="C17" s="215"/>
      <c r="D17" s="216"/>
      <c r="E17" s="224"/>
      <c r="F17" s="227">
        <f>21-6</f>
        <v>15</v>
      </c>
      <c r="G17" s="560" t="s">
        <v>12</v>
      </c>
      <c r="H17" s="232" t="s">
        <v>565</v>
      </c>
      <c r="I17" s="755"/>
      <c r="J17" s="213">
        <f>+'12'!J17</f>
        <v>0</v>
      </c>
      <c r="K17" s="228"/>
      <c r="L17" s="228"/>
      <c r="M17" s="116">
        <f>+K17+'12'!M17+L17</f>
        <v>0</v>
      </c>
      <c r="N17" s="148" t="s">
        <v>526</v>
      </c>
      <c r="O17" s="148">
        <v>1050</v>
      </c>
      <c r="P17" s="148">
        <f>+O17-(O17*0.25)</f>
        <v>787.5</v>
      </c>
      <c r="Q17" s="148">
        <f>60-52+13</f>
        <v>21</v>
      </c>
      <c r="R17" s="148">
        <f t="shared" ref="R17" si="10">+O17*Q17</f>
        <v>22050</v>
      </c>
      <c r="S17" s="148">
        <f t="shared" ref="S17" si="11">+P17*Q17</f>
        <v>16537.5</v>
      </c>
    </row>
    <row r="18" spans="1:19" ht="115.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557</v>
      </c>
      <c r="I18" s="755"/>
      <c r="J18" s="213">
        <f>+'12'!J18</f>
        <v>0</v>
      </c>
      <c r="K18" s="238"/>
      <c r="L18" s="238"/>
      <c r="M18" s="116">
        <f>+K18+'12'!M18+L18</f>
        <v>0</v>
      </c>
      <c r="O18" s="148">
        <v>1120</v>
      </c>
      <c r="P18" s="148">
        <f t="shared" ref="P18:P19" si="12">+O18-(O18*0.25)</f>
        <v>840</v>
      </c>
      <c r="Q18" s="148">
        <f>40-13</f>
        <v>27</v>
      </c>
      <c r="R18" s="148">
        <f t="shared" ref="R18:R22" si="13">+O18*Q18</f>
        <v>30240</v>
      </c>
      <c r="S18" s="148">
        <f t="shared" ref="S18:S22" si="14">+P18*Q18</f>
        <v>22680</v>
      </c>
    </row>
    <row r="19" spans="1:19" ht="26.25" thickBot="1">
      <c r="A19" s="757"/>
      <c r="B19" s="214"/>
      <c r="C19" s="215"/>
      <c r="D19" s="216"/>
      <c r="E19" s="224" t="s">
        <v>570</v>
      </c>
      <c r="F19" s="234">
        <f>60+52</f>
        <v>112</v>
      </c>
      <c r="G19" s="231" t="s">
        <v>17</v>
      </c>
      <c r="H19" s="232" t="s">
        <v>558</v>
      </c>
      <c r="I19" s="755"/>
      <c r="J19" s="213">
        <f>+'12'!J19</f>
        <v>0</v>
      </c>
      <c r="K19" s="238"/>
      <c r="L19" s="238"/>
      <c r="M19" s="116">
        <f>+K19+'12'!M19+L19</f>
        <v>0</v>
      </c>
      <c r="O19" s="148">
        <v>1160</v>
      </c>
      <c r="P19" s="148">
        <f t="shared" si="12"/>
        <v>870</v>
      </c>
      <c r="Q19" s="148">
        <f>60-40+300</f>
        <v>320</v>
      </c>
      <c r="R19" s="148">
        <f t="shared" si="13"/>
        <v>371200</v>
      </c>
      <c r="S19" s="148">
        <f t="shared" si="14"/>
        <v>278400</v>
      </c>
    </row>
    <row r="20" spans="1:19" ht="13.5" thickBot="1">
      <c r="A20" s="757"/>
      <c r="B20" s="214"/>
      <c r="C20" s="215"/>
      <c r="D20" s="216"/>
      <c r="E20" s="224" t="s">
        <v>569</v>
      </c>
      <c r="F20" s="227">
        <v>11</v>
      </c>
      <c r="G20" s="231" t="s">
        <v>17</v>
      </c>
      <c r="H20" s="232"/>
      <c r="I20" s="755"/>
      <c r="J20" s="213">
        <f>+'12'!J20</f>
        <v>0</v>
      </c>
      <c r="K20" s="239"/>
      <c r="L20" s="239"/>
      <c r="M20" s="116">
        <f>+K20+'12'!M20+L20</f>
        <v>0</v>
      </c>
      <c r="R20" s="148">
        <f t="shared" si="13"/>
        <v>0</v>
      </c>
      <c r="S20" s="148">
        <f t="shared" si="14"/>
        <v>0</v>
      </c>
    </row>
    <row r="21" spans="1:1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+'12'!J21</f>
        <v>0</v>
      </c>
      <c r="K21" s="238"/>
      <c r="L21" s="238"/>
      <c r="M21" s="116">
        <f>+K21+'12'!M21+L21</f>
        <v>0</v>
      </c>
      <c r="P21" s="148">
        <f>+O21-(O21*0.23)</f>
        <v>0</v>
      </c>
      <c r="R21" s="148">
        <f t="shared" si="13"/>
        <v>0</v>
      </c>
      <c r="S21" s="148">
        <f t="shared" si="14"/>
        <v>0</v>
      </c>
    </row>
    <row r="22" spans="1:1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+'12'!J22</f>
        <v>0</v>
      </c>
      <c r="K22" s="238"/>
      <c r="L22" s="238"/>
      <c r="M22" s="116">
        <f>+K22+'12'!M22+L22</f>
        <v>0</v>
      </c>
      <c r="P22" s="148">
        <f>+O22-(O22*0.23)</f>
        <v>0</v>
      </c>
      <c r="R22" s="148">
        <f t="shared" si="13"/>
        <v>0</v>
      </c>
      <c r="S22" s="148">
        <f t="shared" si="14"/>
        <v>0</v>
      </c>
    </row>
    <row r="23" spans="1:19" ht="13.5" thickBot="1">
      <c r="A23" s="758"/>
      <c r="B23" s="167" t="s">
        <v>2</v>
      </c>
      <c r="C23" s="99">
        <f>SUM(C16:C22)</f>
        <v>5665</v>
      </c>
      <c r="D23" s="110">
        <f>SUM(D16:D22)</f>
        <v>290</v>
      </c>
      <c r="E23" s="111">
        <f>SUM(E18:E22)</f>
        <v>0</v>
      </c>
      <c r="F23" s="115">
        <f>SUM(F15:F22)</f>
        <v>144</v>
      </c>
      <c r="G23" s="158"/>
      <c r="H23" s="165"/>
      <c r="I23" s="168"/>
      <c r="J23" s="213">
        <f>+'12'!J23</f>
        <v>0</v>
      </c>
      <c r="K23" s="238"/>
      <c r="L23" s="238"/>
      <c r="M23" s="116">
        <f>+K23+'12'!M23+L23</f>
        <v>0</v>
      </c>
    </row>
    <row r="24" spans="1:19" ht="13.5" customHeight="1" thickBot="1">
      <c r="A24" s="751" t="s">
        <v>390</v>
      </c>
      <c r="B24" s="169"/>
      <c r="C24" s="112">
        <f>C23/($C$23+$D$23+$E$23)</f>
        <v>0.95130142737195633</v>
      </c>
      <c r="D24" s="113">
        <f>D23/($C$23+$D$23+$E$23)</f>
        <v>4.8698572628043661E-2</v>
      </c>
      <c r="E24" s="114">
        <f>E23/($C$23+$D$23+$E$23)</f>
        <v>0</v>
      </c>
      <c r="F24" s="227">
        <v>6</v>
      </c>
      <c r="G24" s="228" t="s">
        <v>12</v>
      </c>
      <c r="H24" s="229" t="s">
        <v>400</v>
      </c>
      <c r="I24" s="754" t="s">
        <v>561</v>
      </c>
      <c r="J24" s="213">
        <f>+'12'!J24</f>
        <v>0</v>
      </c>
      <c r="K24" s="238"/>
      <c r="L24" s="238"/>
      <c r="M24" s="116">
        <f>+K24+'12'!M24+L24</f>
        <v>0</v>
      </c>
    </row>
    <row r="25" spans="1:19" ht="13.5" thickBot="1">
      <c r="A25" s="757"/>
      <c r="B25" s="214" t="s">
        <v>534</v>
      </c>
      <c r="C25" s="225">
        <v>14507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+'12'!J25</f>
        <v>0</v>
      </c>
      <c r="K25" s="238"/>
      <c r="L25" s="238"/>
      <c r="M25" s="116">
        <f>+K25+'12'!M25+L25</f>
        <v>0</v>
      </c>
      <c r="Q25" s="175">
        <f>SUM(Q17:Q22)</f>
        <v>368</v>
      </c>
      <c r="R25" s="175">
        <f>SUM(R17:R22)</f>
        <v>423490</v>
      </c>
      <c r="S25" s="175">
        <f>SUM(S17:S22)</f>
        <v>317617.5</v>
      </c>
    </row>
    <row r="26" spans="1:19" ht="13.5" thickBot="1">
      <c r="A26" s="757"/>
      <c r="B26" s="214"/>
      <c r="C26" s="225"/>
      <c r="D26" s="216"/>
      <c r="E26" s="226"/>
      <c r="F26" s="227">
        <v>14</v>
      </c>
      <c r="G26" s="560" t="s">
        <v>12</v>
      </c>
      <c r="H26" s="232" t="s">
        <v>413</v>
      </c>
      <c r="I26" s="755"/>
      <c r="J26" s="213">
        <f>+'12'!J26</f>
        <v>0</v>
      </c>
      <c r="K26" s="238"/>
      <c r="L26" s="238"/>
      <c r="M26" s="116">
        <f>+K26+'12'!M26+L26</f>
        <v>0</v>
      </c>
      <c r="Q26" s="148">
        <f>480-Q25</f>
        <v>112</v>
      </c>
      <c r="R26" s="175">
        <f>+R25/Q25</f>
        <v>1150.7880434782608</v>
      </c>
      <c r="S26" s="175">
        <f>+S25/Q25</f>
        <v>863.09103260869563</v>
      </c>
    </row>
    <row r="27" spans="1:19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555</v>
      </c>
      <c r="I27" s="755"/>
      <c r="J27" s="213">
        <f>+'12'!J27</f>
        <v>0</v>
      </c>
      <c r="K27" s="238"/>
      <c r="L27" s="238"/>
      <c r="M27" s="116">
        <f>+K27+'12'!M27+L27</f>
        <v>0</v>
      </c>
      <c r="N27" s="148" t="s">
        <v>526</v>
      </c>
      <c r="O27" s="148">
        <v>1200</v>
      </c>
      <c r="P27" s="148">
        <f>+O27-(O27*0.25)</f>
        <v>900</v>
      </c>
      <c r="Q27" s="148">
        <f>60*5+55</f>
        <v>355</v>
      </c>
      <c r="R27" s="148">
        <f t="shared" ref="R27:R28" si="15">+O27*Q27</f>
        <v>426000</v>
      </c>
      <c r="S27" s="148">
        <f t="shared" ref="S27:S28" si="16">+P27*Q27</f>
        <v>319500</v>
      </c>
    </row>
    <row r="28" spans="1:19" ht="26.25" thickBot="1">
      <c r="A28" s="757"/>
      <c r="B28" s="214"/>
      <c r="C28" s="215"/>
      <c r="D28" s="216"/>
      <c r="E28" s="224"/>
      <c r="F28" s="230"/>
      <c r="G28" s="231"/>
      <c r="H28" s="232" t="s">
        <v>556</v>
      </c>
      <c r="I28" s="755"/>
      <c r="J28" s="213">
        <f>+'12'!J28</f>
        <v>0</v>
      </c>
      <c r="K28" s="238"/>
      <c r="L28" s="238"/>
      <c r="M28" s="116">
        <f>+K28+'12'!M28+L28</f>
        <v>0</v>
      </c>
      <c r="N28" s="148" t="s">
        <v>578</v>
      </c>
      <c r="O28" s="148">
        <v>1200</v>
      </c>
      <c r="P28" s="148">
        <f>+O28-(O28*0.25)</f>
        <v>900</v>
      </c>
      <c r="Q28" s="148">
        <f>480-Q27</f>
        <v>125</v>
      </c>
      <c r="R28" s="148">
        <f t="shared" si="15"/>
        <v>150000</v>
      </c>
      <c r="S28" s="148">
        <f t="shared" si="16"/>
        <v>112500</v>
      </c>
    </row>
    <row r="29" spans="1:1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+'12'!J29</f>
        <v>0</v>
      </c>
      <c r="K29" s="238"/>
      <c r="L29" s="238"/>
      <c r="M29" s="116">
        <f>+K29+'12'!M29+L29</f>
        <v>0</v>
      </c>
    </row>
    <row r="30" spans="1:1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+'12'!J30</f>
        <v>0</v>
      </c>
      <c r="K30" s="238"/>
      <c r="L30" s="238"/>
      <c r="M30" s="116">
        <f>+K30+'12'!M30+L30</f>
        <v>0</v>
      </c>
    </row>
    <row r="31" spans="1:1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+'12'!J31</f>
        <v>0</v>
      </c>
      <c r="K31" s="238"/>
      <c r="L31" s="238"/>
      <c r="M31" s="116">
        <f>+K31+'12'!M31+L31</f>
        <v>0</v>
      </c>
      <c r="P31" s="148">
        <f>+O31-(O31*0.23)</f>
        <v>0</v>
      </c>
      <c r="R31" s="148">
        <f t="shared" ref="R31:R32" si="17">+O31*Q31</f>
        <v>0</v>
      </c>
      <c r="S31" s="148">
        <f t="shared" ref="S31:S32" si="18">+P31*Q31</f>
        <v>0</v>
      </c>
    </row>
    <row r="32" spans="1:19" ht="13.5" thickBot="1">
      <c r="A32" s="758"/>
      <c r="B32" s="164" t="s">
        <v>2</v>
      </c>
      <c r="C32" s="98">
        <f>SUM(C25:C31)</f>
        <v>14507</v>
      </c>
      <c r="D32" s="99">
        <f>SUM(D25:D31)</f>
        <v>0</v>
      </c>
      <c r="E32" s="100">
        <f>SUM(E25:E31)</f>
        <v>0</v>
      </c>
      <c r="F32" s="101">
        <f>SUM(F24:F31)</f>
        <v>20</v>
      </c>
      <c r="G32" s="170"/>
      <c r="H32" s="171"/>
      <c r="I32" s="168"/>
      <c r="J32" s="213">
        <f>+'12'!J32</f>
        <v>0</v>
      </c>
      <c r="K32" s="240"/>
      <c r="L32" s="242"/>
      <c r="M32" s="116">
        <f>+K32+'12'!M32+L32</f>
        <v>0</v>
      </c>
      <c r="P32" s="148">
        <f>+O32-(O32*0.23)</f>
        <v>0</v>
      </c>
      <c r="R32" s="148">
        <f t="shared" si="17"/>
        <v>0</v>
      </c>
      <c r="S32" s="148">
        <f t="shared" si="18"/>
        <v>0</v>
      </c>
    </row>
    <row r="33" spans="1:25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5" ht="13.5" thickBot="1">
      <c r="A34" s="759" t="s">
        <v>57</v>
      </c>
      <c r="B34" s="760"/>
      <c r="C34" s="106">
        <f>C14+C23+C32</f>
        <v>25204</v>
      </c>
      <c r="D34" s="106">
        <f>D14+D23+D32</f>
        <v>290</v>
      </c>
      <c r="E34" s="106">
        <f>E14+E23+E32</f>
        <v>0</v>
      </c>
      <c r="F34" s="107">
        <f>F14+F23+F32</f>
        <v>488</v>
      </c>
      <c r="H34" s="177"/>
      <c r="I34" s="177"/>
      <c r="J34" s="122" t="s">
        <v>28</v>
      </c>
      <c r="K34" s="123">
        <f>SUM(K7:K32)</f>
        <v>25204</v>
      </c>
      <c r="L34" s="211">
        <f>SUM(L7:L32)</f>
        <v>0</v>
      </c>
      <c r="M34" s="119">
        <f>SUM(M7:M32)</f>
        <v>448189</v>
      </c>
    </row>
    <row r="35" spans="1:25" ht="13.5" thickBot="1">
      <c r="A35" s="178"/>
      <c r="B35" s="179"/>
      <c r="C35" s="103">
        <f>C34/($C$34+$D$34+$E$34)</f>
        <v>0.98862477445673491</v>
      </c>
      <c r="D35" s="103">
        <f>D34/($C$34+$D$34+$E$34)</f>
        <v>1.1375225543265081E-2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576000</v>
      </c>
      <c r="S35" s="175">
        <f>SUM(S27:S32)</f>
        <v>432000</v>
      </c>
    </row>
    <row r="36" spans="1:25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1200</v>
      </c>
      <c r="S36" s="175">
        <f>+S35/Q35</f>
        <v>900</v>
      </c>
    </row>
    <row r="37" spans="1:25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(13*1013)/1013*G42*2.74*1013/1000000</f>
        <v>31.814626350000005</v>
      </c>
      <c r="J37" s="124">
        <f>+I37+'12'!J37</f>
        <v>527.86706956380078</v>
      </c>
      <c r="K37" s="125" t="s">
        <v>63</v>
      </c>
    </row>
    <row r="38" spans="1:25" ht="17.45" customHeight="1" thickBot="1">
      <c r="A38" s="763" t="s">
        <v>12</v>
      </c>
      <c r="B38" s="764"/>
      <c r="C38" s="163">
        <f>SUMIF($G$7:$G$31,"Process",$F$7:$F$31)</f>
        <v>50</v>
      </c>
      <c r="D38" s="117">
        <f>+C38+'12'!D38</f>
        <v>834</v>
      </c>
      <c r="E38" s="142">
        <f t="shared" ref="E38:E51" si="19">D38/60</f>
        <v>13.9</v>
      </c>
      <c r="F38" s="321">
        <v>1160</v>
      </c>
      <c r="G38" s="321">
        <v>870</v>
      </c>
      <c r="H38" s="186" t="s">
        <v>64</v>
      </c>
      <c r="I38" s="244">
        <f>8.855+10.901+2.765+5.333</f>
        <v>27.853999999999999</v>
      </c>
      <c r="J38" s="126">
        <f>+I38+'12'!J38</f>
        <v>468.78899999999993</v>
      </c>
      <c r="K38" s="127" t="s">
        <v>63</v>
      </c>
      <c r="N38" s="148">
        <v>165</v>
      </c>
      <c r="P38" s="180" t="s">
        <v>92</v>
      </c>
      <c r="Q38" s="422" t="s">
        <v>567</v>
      </c>
      <c r="R38" s="422" t="s">
        <v>568</v>
      </c>
      <c r="S38" s="422" t="s">
        <v>191</v>
      </c>
      <c r="T38" s="422" t="s">
        <v>192</v>
      </c>
      <c r="U38" s="569" t="s">
        <v>193</v>
      </c>
      <c r="V38" s="422" t="s">
        <v>188</v>
      </c>
      <c r="W38" s="423" t="s">
        <v>194</v>
      </c>
      <c r="X38" s="422" t="s">
        <v>195</v>
      </c>
      <c r="Y38" s="422" t="s">
        <v>189</v>
      </c>
    </row>
    <row r="39" spans="1:25" ht="17.45" customHeight="1" thickBot="1">
      <c r="A39" s="765" t="s">
        <v>13</v>
      </c>
      <c r="B39" s="766"/>
      <c r="C39" s="163">
        <f>SUMIF($G$7:$G$31,"Cleaning",$F$7:$F$31)</f>
        <v>0</v>
      </c>
      <c r="D39" s="117">
        <f>+C39+'12'!D39</f>
        <v>15</v>
      </c>
      <c r="E39" s="142">
        <f t="shared" si="19"/>
        <v>0.25</v>
      </c>
      <c r="F39" s="321">
        <v>1150.7880434782608</v>
      </c>
      <c r="G39" s="321">
        <v>863.09103260869563</v>
      </c>
      <c r="H39" s="186" t="s">
        <v>65</v>
      </c>
      <c r="I39" s="141"/>
      <c r="J39" s="128">
        <f>J37/G4</f>
        <v>40.605159197215443</v>
      </c>
      <c r="K39" s="129" t="s">
        <v>63</v>
      </c>
      <c r="N39" s="148">
        <v>368</v>
      </c>
      <c r="P39" s="424">
        <v>13</v>
      </c>
      <c r="Q39" s="198">
        <v>1150.7880434782608</v>
      </c>
      <c r="R39" s="198">
        <v>1230</v>
      </c>
      <c r="S39" s="148">
        <v>863.09103260869563</v>
      </c>
      <c r="T39" s="425">
        <f>1-(S39/Q39)</f>
        <v>0.25</v>
      </c>
      <c r="U39" s="570">
        <v>11</v>
      </c>
      <c r="V39" s="427">
        <v>258</v>
      </c>
      <c r="W39" s="428">
        <f>(Q39*(1-T39)*P39*V39*U39)/100000000</f>
        <v>0.31842880557065217</v>
      </c>
      <c r="X39" s="429">
        <f>+E46/1000</f>
        <v>0</v>
      </c>
      <c r="Y39" s="430">
        <f>SUM(X39:X41)/SUM(W39:W41)</f>
        <v>0</v>
      </c>
    </row>
    <row r="40" spans="1:25" ht="17.45" customHeight="1">
      <c r="A40" s="765" t="s">
        <v>66</v>
      </c>
      <c r="B40" s="766"/>
      <c r="C40" s="163">
        <f>SUMIF($G$7:$G$31,"Mechanical",$F$7:$F$31)</f>
        <v>0</v>
      </c>
      <c r="D40" s="117">
        <f>+C40+'12'!D40</f>
        <v>206</v>
      </c>
      <c r="E40" s="142">
        <f t="shared" si="19"/>
        <v>3.4333333333333331</v>
      </c>
      <c r="F40" s="321">
        <v>1200</v>
      </c>
      <c r="G40" s="321">
        <v>900</v>
      </c>
      <c r="H40" s="186" t="s">
        <v>67</v>
      </c>
      <c r="I40" s="117">
        <f>(K34+L34)/1000</f>
        <v>25.204000000000001</v>
      </c>
      <c r="J40" s="130">
        <f>+I40+'12'!J40</f>
        <v>448.18899999999996</v>
      </c>
      <c r="K40" s="129" t="s">
        <v>63</v>
      </c>
      <c r="N40" s="148">
        <v>480</v>
      </c>
      <c r="P40" s="424"/>
      <c r="Q40" s="198"/>
      <c r="R40" s="198"/>
      <c r="T40" s="425"/>
      <c r="U40" s="570"/>
      <c r="V40" s="427"/>
      <c r="W40" s="428"/>
      <c r="X40" s="429"/>
      <c r="Y40" s="430"/>
    </row>
    <row r="41" spans="1:25" ht="17.45" customHeight="1">
      <c r="A41" s="765" t="s">
        <v>68</v>
      </c>
      <c r="B41" s="766"/>
      <c r="C41" s="163">
        <f>SUMIF($G$7:$G$31,"Electrical",$F$7:$F$31)</f>
        <v>0</v>
      </c>
      <c r="D41" s="117">
        <f>+C41+'12'!D41</f>
        <v>0</v>
      </c>
      <c r="E41" s="142">
        <f t="shared" si="19"/>
        <v>0</v>
      </c>
      <c r="F41" s="321"/>
      <c r="G41" s="321"/>
      <c r="H41" s="186" t="s">
        <v>69</v>
      </c>
      <c r="I41" s="141"/>
      <c r="J41" s="128">
        <f>J40/G4</f>
        <v>34.476076923076917</v>
      </c>
      <c r="K41" s="129" t="s">
        <v>63</v>
      </c>
      <c r="N41" s="148">
        <f>SUM(N38:N40)</f>
        <v>1013</v>
      </c>
      <c r="W41" s="148">
        <v>0.3</v>
      </c>
    </row>
    <row r="42" spans="1:25" ht="17.45" customHeight="1">
      <c r="A42" s="765" t="s">
        <v>16</v>
      </c>
      <c r="B42" s="766"/>
      <c r="C42" s="163">
        <f>SUMIF($G$7:$G$31,"Instrument",$F$7:$F$31)</f>
        <v>0</v>
      </c>
      <c r="D42" s="117">
        <f>+C42+'12'!D42</f>
        <v>0</v>
      </c>
      <c r="E42" s="142">
        <f t="shared" si="19"/>
        <v>0</v>
      </c>
      <c r="F42" s="321">
        <f>+(165*F38+368*F39+480*F40)/1013</f>
        <v>1175.6071076011847</v>
      </c>
      <c r="G42" s="321">
        <f>+(165*G38+368*G39+480*G40)/1013</f>
        <v>881.70533070088845</v>
      </c>
      <c r="H42" s="186" t="s">
        <v>70</v>
      </c>
      <c r="I42" s="245" t="s">
        <v>563</v>
      </c>
      <c r="J42" s="131"/>
      <c r="K42" s="129" t="s">
        <v>71</v>
      </c>
    </row>
    <row r="43" spans="1:25" ht="17.45" customHeight="1">
      <c r="A43" s="765" t="s">
        <v>72</v>
      </c>
      <c r="B43" s="766"/>
      <c r="C43" s="163">
        <f>SUMIF($G$7:$G$31,"Water",$F$7:$F$31)</f>
        <v>0</v>
      </c>
      <c r="D43" s="117">
        <f>+C43+'12'!D43</f>
        <v>0</v>
      </c>
      <c r="E43" s="142">
        <f t="shared" si="19"/>
        <v>0</v>
      </c>
      <c r="F43" s="321"/>
      <c r="G43" s="322"/>
      <c r="H43" s="187" t="s">
        <v>73</v>
      </c>
      <c r="I43" s="117">
        <f>+Report1!Z21</f>
        <v>41.6</v>
      </c>
      <c r="J43" s="132">
        <f>+I43+'12'!J43</f>
        <v>678</v>
      </c>
      <c r="K43" s="129" t="s">
        <v>63</v>
      </c>
      <c r="L43" s="188"/>
      <c r="O43" s="148" t="s">
        <v>526</v>
      </c>
      <c r="P43" s="148">
        <v>1172.1734234234234</v>
      </c>
      <c r="Q43" s="148">
        <v>879.13006756756761</v>
      </c>
      <c r="R43" s="148">
        <f>355+165+368</f>
        <v>888</v>
      </c>
    </row>
    <row r="44" spans="1:25" ht="17.45" customHeight="1">
      <c r="A44" s="765" t="s">
        <v>17</v>
      </c>
      <c r="B44" s="766"/>
      <c r="C44" s="163">
        <f>SUMIF($G$7:$G$31,"PLN",$F$7:$F$31)</f>
        <v>438</v>
      </c>
      <c r="D44" s="117">
        <f>+C44+'12'!D44</f>
        <v>438</v>
      </c>
      <c r="E44" s="142">
        <f t="shared" si="19"/>
        <v>7.3</v>
      </c>
      <c r="F44" s="321"/>
      <c r="G44" s="322"/>
      <c r="H44" s="187" t="s">
        <v>74</v>
      </c>
      <c r="I44" s="117">
        <f>I43/I38</f>
        <v>1.4935018309758026</v>
      </c>
      <c r="J44" s="133">
        <f>J43/J38</f>
        <v>1.4462796695314952</v>
      </c>
      <c r="K44" s="129" t="s">
        <v>63</v>
      </c>
      <c r="O44" s="148" t="s">
        <v>578</v>
      </c>
      <c r="P44" s="148">
        <v>1200</v>
      </c>
      <c r="Q44" s="148">
        <v>900</v>
      </c>
      <c r="R44" s="148">
        <v>125</v>
      </c>
    </row>
    <row r="45" spans="1:25" ht="17.45" customHeight="1">
      <c r="A45" s="765" t="s">
        <v>18</v>
      </c>
      <c r="B45" s="766"/>
      <c r="C45" s="163">
        <f>SUMIF($G$7:$G$31,"Boiler",$F$7:$F$31)</f>
        <v>0</v>
      </c>
      <c r="D45" s="117">
        <f>+C45+'12'!D45</f>
        <v>0</v>
      </c>
      <c r="E45" s="142">
        <f t="shared" si="19"/>
        <v>0</v>
      </c>
      <c r="F45" s="321"/>
      <c r="G45" s="324"/>
      <c r="H45" s="187" t="s">
        <v>75</v>
      </c>
      <c r="I45" s="117">
        <f>I43/I40</f>
        <v>1.6505316616410093</v>
      </c>
      <c r="J45" s="133">
        <f>J43/J40</f>
        <v>1.5127546637690796</v>
      </c>
      <c r="K45" s="129" t="s">
        <v>63</v>
      </c>
      <c r="R45" s="148">
        <f>+R43+R44</f>
        <v>1013</v>
      </c>
    </row>
    <row r="46" spans="1:25" ht="17.45" customHeight="1">
      <c r="A46" s="765" t="s">
        <v>76</v>
      </c>
      <c r="B46" s="766"/>
      <c r="C46" s="163">
        <f>SUMIF($G$7:$G$31,"Gas",$F$7:$F$31)</f>
        <v>0</v>
      </c>
      <c r="D46" s="117">
        <f>+C46+'12'!D46</f>
        <v>0</v>
      </c>
      <c r="E46" s="142">
        <f t="shared" si="19"/>
        <v>0</v>
      </c>
      <c r="F46" s="321"/>
      <c r="G46" s="322"/>
      <c r="H46" s="187" t="s">
        <v>77</v>
      </c>
      <c r="I46" s="139">
        <f>+SUMIF(Listrik!P20,"&gt;0")</f>
        <v>30629.139999998908</v>
      </c>
      <c r="J46" s="134">
        <f>+I46+'12'!J46</f>
        <v>450065.92000000039</v>
      </c>
      <c r="K46" s="129" t="s">
        <v>78</v>
      </c>
    </row>
    <row r="47" spans="1:25" ht="17.45" customHeight="1">
      <c r="A47" s="765" t="s">
        <v>79</v>
      </c>
      <c r="B47" s="766"/>
      <c r="C47" s="163">
        <f>SUMIF($G$7:$G$31,"Gas",$F$7:$F$31)</f>
        <v>0</v>
      </c>
      <c r="D47" s="117">
        <f>+C47+'12'!D47</f>
        <v>0</v>
      </c>
      <c r="E47" s="142">
        <f t="shared" si="19"/>
        <v>0</v>
      </c>
      <c r="F47" s="321"/>
      <c r="G47" s="322"/>
      <c r="H47" s="187" t="s">
        <v>80</v>
      </c>
      <c r="I47" s="117">
        <f>I46/I38</f>
        <v>1099.6316507503018</v>
      </c>
      <c r="J47" s="134">
        <f>J46/J38</f>
        <v>960.06075227874476</v>
      </c>
      <c r="K47" s="129" t="s">
        <v>24</v>
      </c>
    </row>
    <row r="48" spans="1:25" ht="17.45" customHeight="1">
      <c r="A48" s="765" t="s">
        <v>14</v>
      </c>
      <c r="B48" s="766"/>
      <c r="C48" s="163">
        <f>SUMIF($G$7:$G$31,"Start Up",$F$7:$F$31)</f>
        <v>0</v>
      </c>
      <c r="D48" s="117">
        <f>+C48+'12'!D48</f>
        <v>0</v>
      </c>
      <c r="E48" s="142">
        <f t="shared" si="19"/>
        <v>0</v>
      </c>
      <c r="F48" s="321"/>
      <c r="G48" s="322"/>
      <c r="H48" s="187" t="s">
        <v>81</v>
      </c>
      <c r="I48" s="117">
        <f>I46/I40</f>
        <v>1215.2491667988775</v>
      </c>
      <c r="J48" s="134">
        <f>J46/J40</f>
        <v>1004.1877868488526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+C49+'12'!D49</f>
        <v>0</v>
      </c>
      <c r="E49" s="142">
        <f t="shared" si="19"/>
        <v>0</v>
      </c>
      <c r="F49" s="184"/>
      <c r="H49" s="187" t="s">
        <v>270</v>
      </c>
      <c r="I49" s="117">
        <f>+Report1!T21</f>
        <v>4004.4802883218044</v>
      </c>
      <c r="J49" s="134">
        <f>+I49+'12'!J49</f>
        <v>62171.59577808046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+C50+'12'!D50</f>
        <v>0</v>
      </c>
      <c r="E50" s="142">
        <f t="shared" si="19"/>
        <v>0</v>
      </c>
      <c r="F50" s="184"/>
      <c r="H50" s="187" t="s">
        <v>83</v>
      </c>
      <c r="I50" s="139">
        <f>I49/I38</f>
        <v>143.76679429603664</v>
      </c>
      <c r="J50" s="132">
        <f>J49/J38</f>
        <v>132.62170353417096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+C51+'12'!D51</f>
        <v>738</v>
      </c>
      <c r="E51" s="142">
        <f t="shared" si="19"/>
        <v>12.3</v>
      </c>
      <c r="F51" s="184"/>
      <c r="H51" s="189" t="s">
        <v>85</v>
      </c>
      <c r="I51" s="140">
        <f>I49/I40</f>
        <v>158.88272846856864</v>
      </c>
      <c r="J51" s="135">
        <f>J49/J40</f>
        <v>138.71736204610212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488</v>
      </c>
      <c r="D52" s="143">
        <f>SUM(D38:D51)</f>
        <v>2231</v>
      </c>
      <c r="E52" s="144">
        <f>SUM(E38:E51)</f>
        <v>37.183333333333337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0.33888888888888891</v>
      </c>
      <c r="D53" s="145">
        <f>D52/(24*60*G4)</f>
        <v>0.11917735042735043</v>
      </c>
      <c r="E53" s="146">
        <f>E52/(G4*24)</f>
        <v>0.11917735042735043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+D34+'12'!J56</f>
        <v>1989</v>
      </c>
      <c r="K56" s="200">
        <f>J56/(J40+J56/1000)/1000</f>
        <v>4.4182523357427514E-3</v>
      </c>
    </row>
    <row r="57" spans="1:11">
      <c r="A57" s="175"/>
      <c r="I57" s="198" t="s">
        <v>88</v>
      </c>
      <c r="J57" s="199">
        <f>+E34+'12'!J57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2:B42"/>
    <mergeCell ref="A39:B39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</mergeCells>
  <phoneticPr fontId="32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topLeftCell="D1" zoomScale="80" zoomScaleNormal="80" workbookViewId="0">
      <selection activeCell="O12" sqref="O1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5" style="148" bestFit="1" customWidth="1"/>
    <col min="14" max="16384" width="9.140625" style="148"/>
  </cols>
  <sheetData>
    <row r="1" spans="1:15" ht="15.75">
      <c r="A1" s="147"/>
    </row>
    <row r="2" spans="1:15" ht="15.75">
      <c r="A2" s="147" t="s">
        <v>183</v>
      </c>
    </row>
    <row r="3" spans="1:15" ht="15">
      <c r="A3" s="149"/>
    </row>
    <row r="4" spans="1:15" ht="20.25">
      <c r="A4" s="150" t="s">
        <v>3</v>
      </c>
      <c r="B4" s="151"/>
      <c r="F4" s="152" t="s">
        <v>29</v>
      </c>
      <c r="G4" s="153">
        <v>12</v>
      </c>
      <c r="H4" s="153" t="str">
        <f>+'1'!H4</f>
        <v>.04.26</v>
      </c>
    </row>
    <row r="5" spans="1:15" ht="13.5" thickBot="1">
      <c r="C5" s="154"/>
      <c r="D5" s="154"/>
    </row>
    <row r="6" spans="1:15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</row>
    <row r="7" spans="1:15" ht="13.5" customHeight="1" thickBot="1">
      <c r="A7" s="751" t="s">
        <v>389</v>
      </c>
      <c r="B7" s="214" t="s">
        <v>534</v>
      </c>
      <c r="C7" s="215">
        <v>10516</v>
      </c>
      <c r="D7" s="216"/>
      <c r="E7" s="217"/>
      <c r="F7" s="227">
        <v>5</v>
      </c>
      <c r="G7" s="228" t="s">
        <v>12</v>
      </c>
      <c r="H7" s="229" t="s">
        <v>551</v>
      </c>
      <c r="I7" s="754" t="s">
        <v>549</v>
      </c>
      <c r="J7" s="213" t="str">
        <f>+'11'!J7</f>
        <v>F 11,5 VP OW</v>
      </c>
      <c r="K7" s="237"/>
      <c r="L7" s="241"/>
      <c r="M7" s="116">
        <f>+K7+'11'!M7+L7</f>
        <v>168614</v>
      </c>
    </row>
    <row r="8" spans="1:15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+'11'!J8</f>
        <v>F 14 VP OW</v>
      </c>
      <c r="K8" s="238"/>
      <c r="L8" s="238"/>
      <c r="M8" s="116">
        <f>+K8+'11'!M8+L8</f>
        <v>78398</v>
      </c>
      <c r="N8" s="148">
        <v>1140</v>
      </c>
      <c r="O8" s="148">
        <f>+N8-N8*0.25</f>
        <v>855</v>
      </c>
    </row>
    <row r="9" spans="1:15" ht="13.5" thickBot="1">
      <c r="A9" s="752"/>
      <c r="B9" s="214"/>
      <c r="C9" s="215"/>
      <c r="D9" s="216"/>
      <c r="E9" s="219"/>
      <c r="F9" s="227">
        <v>9</v>
      </c>
      <c r="G9" s="560" t="s">
        <v>12</v>
      </c>
      <c r="H9" s="232" t="s">
        <v>386</v>
      </c>
      <c r="I9" s="755"/>
      <c r="J9" s="213" t="str">
        <f>+'11'!J9</f>
        <v>F 13 VP OW</v>
      </c>
      <c r="K9" s="238"/>
      <c r="L9" s="238"/>
      <c r="M9" s="116">
        <f>+K9+'11'!M9+L9</f>
        <v>22241</v>
      </c>
      <c r="N9" s="148">
        <v>1160</v>
      </c>
      <c r="O9" s="148">
        <f>+N9-N9*0.25</f>
        <v>870</v>
      </c>
    </row>
    <row r="10" spans="1:15" ht="26.25" thickBot="1">
      <c r="A10" s="752"/>
      <c r="B10" s="214"/>
      <c r="C10" s="215"/>
      <c r="D10" s="216"/>
      <c r="E10" s="218"/>
      <c r="F10" s="227">
        <v>5</v>
      </c>
      <c r="G10" s="236" t="s">
        <v>13</v>
      </c>
      <c r="H10" s="232" t="s">
        <v>548</v>
      </c>
      <c r="I10" s="755"/>
      <c r="J10" s="213" t="str">
        <f>+'11'!J10</f>
        <v>F 12 VP OW</v>
      </c>
      <c r="K10" s="238"/>
      <c r="L10" s="238"/>
      <c r="M10" s="116">
        <f>+K10+'11'!M10+L10</f>
        <v>7645</v>
      </c>
      <c r="N10" s="148">
        <v>1160</v>
      </c>
      <c r="O10" s="148">
        <f>+N10-N10*0.25</f>
        <v>870</v>
      </c>
    </row>
    <row r="11" spans="1:15" ht="13.5" thickBot="1">
      <c r="A11" s="752"/>
      <c r="B11" s="214"/>
      <c r="C11" s="215"/>
      <c r="D11" s="216"/>
      <c r="E11" s="218"/>
      <c r="F11" s="227"/>
      <c r="G11" s="231"/>
      <c r="H11" s="232"/>
      <c r="I11" s="755"/>
      <c r="J11" s="213" t="str">
        <f>+'11'!J11</f>
        <v>F 16 VP OW</v>
      </c>
      <c r="K11" s="238"/>
      <c r="L11" s="238"/>
      <c r="M11" s="116">
        <f>+K11+'11'!M11+L11</f>
        <v>37034</v>
      </c>
    </row>
    <row r="12" spans="1:15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+'11'!J12</f>
        <v>F 15 VP OW</v>
      </c>
      <c r="K12" s="238"/>
      <c r="L12" s="238"/>
      <c r="M12" s="116">
        <f>+K12+'11'!M12+L12</f>
        <v>3202</v>
      </c>
    </row>
    <row r="13" spans="1:15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+'11'!J13</f>
        <v>T 14 VP OW</v>
      </c>
      <c r="K13" s="238"/>
      <c r="L13" s="238"/>
      <c r="M13" s="116">
        <f>+K13+'11'!M13+L13</f>
        <v>5600</v>
      </c>
    </row>
    <row r="14" spans="1:15" ht="13.5" thickBot="1">
      <c r="A14" s="753"/>
      <c r="B14" s="164" t="s">
        <v>2</v>
      </c>
      <c r="C14" s="98">
        <f>SUM(C7:C13)</f>
        <v>10516</v>
      </c>
      <c r="D14" s="110">
        <f>SUM(D7:D13)</f>
        <v>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 t="str">
        <f>+'11'!J14</f>
        <v>T 13 VP OW</v>
      </c>
      <c r="K14" s="238">
        <f>+C34</f>
        <v>35431</v>
      </c>
      <c r="L14" s="238"/>
      <c r="M14" s="116">
        <f>+K14+'11'!M14+L14</f>
        <v>100251</v>
      </c>
    </row>
    <row r="15" spans="1:15" ht="13.5" customHeight="1" thickBot="1">
      <c r="A15" s="751" t="s">
        <v>432</v>
      </c>
      <c r="B15" s="164"/>
      <c r="C15" s="112">
        <f>C14/($C$23+$D$23+$E$23)</f>
        <v>0.79866332497911441</v>
      </c>
      <c r="D15" s="113">
        <f>D14/($C$23+$D$23+$E$23)</f>
        <v>0</v>
      </c>
      <c r="E15" s="114">
        <f>E14/($C$23+$D$23+$E$23)</f>
        <v>0</v>
      </c>
      <c r="F15" s="227">
        <v>10</v>
      </c>
      <c r="G15" s="228" t="s">
        <v>12</v>
      </c>
      <c r="H15" s="229" t="s">
        <v>400</v>
      </c>
      <c r="I15" s="754" t="s">
        <v>546</v>
      </c>
      <c r="J15" s="213">
        <f>+'11'!J15</f>
        <v>0</v>
      </c>
      <c r="K15" s="238"/>
      <c r="L15" s="238"/>
      <c r="M15" s="116">
        <f>+K15+'11'!M15+L15</f>
        <v>0</v>
      </c>
    </row>
    <row r="16" spans="1:15" ht="13.5" thickBot="1">
      <c r="A16" s="757"/>
      <c r="B16" s="214" t="s">
        <v>534</v>
      </c>
      <c r="C16" s="221">
        <v>13167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+'11'!J16</f>
        <v>0</v>
      </c>
      <c r="K16" s="228"/>
      <c r="L16" s="228"/>
      <c r="M16" s="116">
        <f>+K16+'11'!M16+L16</f>
        <v>0</v>
      </c>
    </row>
    <row r="17" spans="1:13" ht="13.5" thickBot="1">
      <c r="A17" s="757"/>
      <c r="B17" s="214"/>
      <c r="C17" s="215"/>
      <c r="D17" s="216"/>
      <c r="E17" s="224"/>
      <c r="F17" s="227">
        <v>10</v>
      </c>
      <c r="G17" s="560" t="s">
        <v>12</v>
      </c>
      <c r="H17" s="232" t="s">
        <v>413</v>
      </c>
      <c r="I17" s="755"/>
      <c r="J17" s="213">
        <f>+'11'!J17</f>
        <v>0</v>
      </c>
      <c r="K17" s="228"/>
      <c r="L17" s="228"/>
      <c r="M17" s="116">
        <f>+K17+'11'!M17+L17</f>
        <v>0</v>
      </c>
    </row>
    <row r="18" spans="1:13" ht="26.25" thickBot="1">
      <c r="A18" s="757"/>
      <c r="B18" s="214"/>
      <c r="C18" s="215"/>
      <c r="D18" s="216"/>
      <c r="E18" s="224"/>
      <c r="F18" s="227">
        <v>2</v>
      </c>
      <c r="G18" s="236" t="s">
        <v>13</v>
      </c>
      <c r="H18" s="232" t="s">
        <v>539</v>
      </c>
      <c r="I18" s="755"/>
      <c r="J18" s="213">
        <f>+'11'!J18</f>
        <v>0</v>
      </c>
      <c r="K18" s="238"/>
      <c r="L18" s="238"/>
      <c r="M18" s="116">
        <f>+K18+'11'!M18+L18</f>
        <v>0</v>
      </c>
    </row>
    <row r="19" spans="1:13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+'11'!J19</f>
        <v>0</v>
      </c>
      <c r="K19" s="238"/>
      <c r="L19" s="238"/>
      <c r="M19" s="116">
        <f>+K19+'11'!M19+L19</f>
        <v>0</v>
      </c>
    </row>
    <row r="20" spans="1:13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+'11'!J20</f>
        <v>0</v>
      </c>
      <c r="K20" s="239"/>
      <c r="L20" s="239"/>
      <c r="M20" s="116">
        <f>+K20+'11'!M20+L20</f>
        <v>0</v>
      </c>
    </row>
    <row r="21" spans="1:13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+'11'!J21</f>
        <v>0</v>
      </c>
      <c r="K21" s="238"/>
      <c r="L21" s="238"/>
      <c r="M21" s="116">
        <f>+K21+'11'!M21+L21</f>
        <v>0</v>
      </c>
    </row>
    <row r="22" spans="1:13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+'11'!J22</f>
        <v>0</v>
      </c>
      <c r="K22" s="238"/>
      <c r="L22" s="238"/>
      <c r="M22" s="116">
        <f>+K22+'11'!M22+L22</f>
        <v>0</v>
      </c>
    </row>
    <row r="23" spans="1:13" ht="13.5" thickBot="1">
      <c r="A23" s="758"/>
      <c r="B23" s="167" t="s">
        <v>2</v>
      </c>
      <c r="C23" s="99">
        <f>SUM(C16:C22)</f>
        <v>13167</v>
      </c>
      <c r="D23" s="110">
        <f>SUM(D16:D22)</f>
        <v>0</v>
      </c>
      <c r="E23" s="111">
        <f>SUM(E18:E22)</f>
        <v>0</v>
      </c>
      <c r="F23" s="115">
        <f>SUM(F15:F22)</f>
        <v>22</v>
      </c>
      <c r="G23" s="158"/>
      <c r="H23" s="165"/>
      <c r="I23" s="168"/>
      <c r="J23" s="213">
        <f>+'11'!J23</f>
        <v>0</v>
      </c>
      <c r="K23" s="238"/>
      <c r="L23" s="238"/>
      <c r="M23" s="116">
        <f>+K23+'11'!M23+L23</f>
        <v>0</v>
      </c>
    </row>
    <row r="24" spans="1:13" ht="13.5" customHeight="1" thickBot="1">
      <c r="A24" s="751" t="s">
        <v>390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10</v>
      </c>
      <c r="G24" s="228" t="s">
        <v>12</v>
      </c>
      <c r="H24" s="229" t="s">
        <v>400</v>
      </c>
      <c r="I24" s="754" t="s">
        <v>546</v>
      </c>
      <c r="J24" s="213">
        <f>+'11'!J24</f>
        <v>0</v>
      </c>
      <c r="K24" s="238"/>
      <c r="L24" s="238"/>
      <c r="M24" s="116">
        <f>+K24+'11'!M24+L24</f>
        <v>0</v>
      </c>
    </row>
    <row r="25" spans="1:13" ht="13.5" customHeight="1" thickBot="1">
      <c r="A25" s="757"/>
      <c r="B25" s="214" t="s">
        <v>534</v>
      </c>
      <c r="C25" s="225">
        <v>11748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+'11'!J25</f>
        <v>0</v>
      </c>
      <c r="K25" s="238"/>
      <c r="L25" s="238"/>
      <c r="M25" s="116">
        <f>+K25+'11'!M25+L25</f>
        <v>0</v>
      </c>
    </row>
    <row r="26" spans="1:13" ht="13.5" customHeight="1" thickBot="1">
      <c r="A26" s="757"/>
      <c r="B26" s="214"/>
      <c r="C26" s="225"/>
      <c r="D26" s="216"/>
      <c r="E26" s="226"/>
      <c r="F26" s="227">
        <v>10</v>
      </c>
      <c r="G26" s="560" t="s">
        <v>12</v>
      </c>
      <c r="H26" s="232" t="s">
        <v>386</v>
      </c>
      <c r="I26" s="755"/>
      <c r="J26" s="213">
        <f>+'11'!J26</f>
        <v>0</v>
      </c>
      <c r="K26" s="238"/>
      <c r="L26" s="238"/>
      <c r="M26" s="116">
        <f>+K26+'11'!M26+L26</f>
        <v>0</v>
      </c>
    </row>
    <row r="27" spans="1:13" ht="13.5" customHeight="1" thickBot="1">
      <c r="A27" s="757"/>
      <c r="B27" s="214"/>
      <c r="C27" s="215"/>
      <c r="D27" s="216"/>
      <c r="E27" s="224"/>
      <c r="F27" s="227">
        <v>8</v>
      </c>
      <c r="G27" s="236" t="s">
        <v>13</v>
      </c>
      <c r="H27" s="232" t="s">
        <v>539</v>
      </c>
      <c r="I27" s="755"/>
      <c r="J27" s="213">
        <f>+'11'!J27</f>
        <v>0</v>
      </c>
      <c r="K27" s="238"/>
      <c r="L27" s="238"/>
      <c r="M27" s="116">
        <f>+K27+'11'!M27+L27</f>
        <v>0</v>
      </c>
    </row>
    <row r="28" spans="1:13" ht="13.5" thickBot="1">
      <c r="A28" s="757"/>
      <c r="B28" s="214"/>
      <c r="C28" s="215"/>
      <c r="D28" s="216"/>
      <c r="E28" s="224"/>
      <c r="F28" s="230"/>
      <c r="G28" s="231"/>
      <c r="H28" s="232" t="s">
        <v>540</v>
      </c>
      <c r="I28" s="755"/>
      <c r="J28" s="213">
        <f>+'11'!J28</f>
        <v>0</v>
      </c>
      <c r="K28" s="238"/>
      <c r="L28" s="238"/>
      <c r="M28" s="116">
        <f>+K28+'11'!M28+L28</f>
        <v>0</v>
      </c>
    </row>
    <row r="29" spans="1:13" ht="13.5" customHeight="1" thickBot="1">
      <c r="A29" s="757"/>
      <c r="B29" s="214"/>
      <c r="C29" s="215"/>
      <c r="D29" s="216"/>
      <c r="E29" s="224"/>
      <c r="F29" s="235"/>
      <c r="G29" s="231"/>
      <c r="H29" s="232" t="s">
        <v>541</v>
      </c>
      <c r="I29" s="755"/>
      <c r="J29" s="213">
        <f>+'11'!J29</f>
        <v>0</v>
      </c>
      <c r="K29" s="238"/>
      <c r="L29" s="238"/>
      <c r="M29" s="116">
        <f>+K29+'11'!M29+L29</f>
        <v>0</v>
      </c>
    </row>
    <row r="30" spans="1:13" ht="13.5" customHeight="1" thickBot="1">
      <c r="A30" s="757"/>
      <c r="B30" s="214"/>
      <c r="C30" s="225"/>
      <c r="D30" s="216"/>
      <c r="E30" s="224"/>
      <c r="F30" s="235"/>
      <c r="G30" s="231"/>
      <c r="H30" s="232" t="s">
        <v>542</v>
      </c>
      <c r="I30" s="755"/>
      <c r="J30" s="213">
        <f>+'11'!J30</f>
        <v>0</v>
      </c>
      <c r="K30" s="238"/>
      <c r="L30" s="238"/>
      <c r="M30" s="116">
        <f>+K30+'11'!M30+L30</f>
        <v>0</v>
      </c>
    </row>
    <row r="31" spans="1:13" ht="13.5" customHeight="1" thickBot="1">
      <c r="A31" s="757"/>
      <c r="B31" s="214"/>
      <c r="C31" s="225"/>
      <c r="D31" s="216"/>
      <c r="E31" s="224"/>
      <c r="F31" s="235"/>
      <c r="G31" s="236"/>
      <c r="H31" s="444" t="s">
        <v>543</v>
      </c>
      <c r="I31" s="756"/>
      <c r="J31" s="213">
        <f>+'11'!J31</f>
        <v>0</v>
      </c>
      <c r="K31" s="238"/>
      <c r="L31" s="238"/>
      <c r="M31" s="116">
        <f>+K31+'11'!M31+L31</f>
        <v>0</v>
      </c>
    </row>
    <row r="32" spans="1:13" ht="13.5" customHeight="1" thickBot="1">
      <c r="A32" s="758"/>
      <c r="B32" s="164" t="s">
        <v>2</v>
      </c>
      <c r="C32" s="98">
        <f>SUM(C25:C31)</f>
        <v>11748</v>
      </c>
      <c r="D32" s="99">
        <f>SUM(D25:D31)</f>
        <v>0</v>
      </c>
      <c r="E32" s="100">
        <f>SUM(E25:E31)</f>
        <v>0</v>
      </c>
      <c r="F32" s="101">
        <f>SUM(F24:F31)</f>
        <v>28</v>
      </c>
      <c r="G32" s="170"/>
      <c r="H32" s="171"/>
      <c r="I32" s="168"/>
      <c r="J32" s="213">
        <f>+'1'!J32</f>
        <v>0</v>
      </c>
      <c r="K32" s="240"/>
      <c r="L32" s="242"/>
      <c r="M32" s="116">
        <f>+K32+'11'!M32+L32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9" t="s">
        <v>57</v>
      </c>
      <c r="B34" s="760"/>
      <c r="C34" s="106">
        <f>C14+C23+C32</f>
        <v>35431</v>
      </c>
      <c r="D34" s="106">
        <f>D14+D23+D32</f>
        <v>0</v>
      </c>
      <c r="E34" s="106">
        <f>E14+E23+E32</f>
        <v>0</v>
      </c>
      <c r="F34" s="107">
        <f>F14+F23+F32</f>
        <v>69</v>
      </c>
      <c r="H34" s="177"/>
      <c r="I34" s="177"/>
      <c r="J34" s="122" t="s">
        <v>28</v>
      </c>
      <c r="K34" s="123">
        <f>SUM(K7:K32)</f>
        <v>35431</v>
      </c>
      <c r="L34" s="211">
        <f>SUM(L7:L32)</f>
        <v>0</v>
      </c>
      <c r="M34" s="119">
        <f>SUM(M7:M32)</f>
        <v>422985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44.368272000000005</v>
      </c>
      <c r="J37" s="124">
        <f>+I37+'11'!J37</f>
        <v>496.05244321380081</v>
      </c>
      <c r="K37" s="125" t="s">
        <v>63</v>
      </c>
    </row>
    <row r="38" spans="1:13" ht="17.45" customHeight="1">
      <c r="A38" s="763" t="s">
        <v>12</v>
      </c>
      <c r="B38" s="764"/>
      <c r="C38" s="163">
        <f>SUMIF($G$7:$G$31,"Process",$F$7:$F$31)</f>
        <v>54</v>
      </c>
      <c r="D38" s="117">
        <f>+C38+'11'!D38</f>
        <v>784</v>
      </c>
      <c r="E38" s="142">
        <f t="shared" ref="E38:E51" si="0">D38/60</f>
        <v>13.066666666666666</v>
      </c>
      <c r="F38" s="321">
        <v>1140</v>
      </c>
      <c r="G38" s="321">
        <f>+F38-F38*0.25</f>
        <v>855</v>
      </c>
      <c r="H38" s="186" t="s">
        <v>64</v>
      </c>
      <c r="I38" s="244">
        <f>13.92+13.048+11.605</f>
        <v>38.573</v>
      </c>
      <c r="J38" s="126">
        <f>+I38+'11'!J38</f>
        <v>440.93499999999995</v>
      </c>
      <c r="K38" s="127" t="s">
        <v>63</v>
      </c>
    </row>
    <row r="39" spans="1:13" ht="17.45" customHeight="1">
      <c r="A39" s="765" t="s">
        <v>13</v>
      </c>
      <c r="B39" s="766"/>
      <c r="C39" s="163">
        <f>SUMIF($G$7:$G$31,"Cleaning",$F$7:$F$31)</f>
        <v>15</v>
      </c>
      <c r="D39" s="117">
        <f>+C39+'11'!D39</f>
        <v>15</v>
      </c>
      <c r="E39" s="142">
        <f t="shared" si="0"/>
        <v>0.25</v>
      </c>
      <c r="F39" s="321">
        <v>1160</v>
      </c>
      <c r="G39" s="321">
        <f>+F39-F39*0.25</f>
        <v>870</v>
      </c>
      <c r="H39" s="186" t="s">
        <v>65</v>
      </c>
      <c r="I39" s="141"/>
      <c r="J39" s="128">
        <f>J37/G4</f>
        <v>41.337703601150068</v>
      </c>
      <c r="K39" s="129" t="s">
        <v>63</v>
      </c>
    </row>
    <row r="40" spans="1:13" ht="17.45" customHeight="1">
      <c r="A40" s="765" t="s">
        <v>66</v>
      </c>
      <c r="B40" s="766"/>
      <c r="C40" s="163">
        <f>SUMIF($G$7:$G$31,"Mechanical",$F$7:$F$31)</f>
        <v>0</v>
      </c>
      <c r="D40" s="117">
        <f>+C40+'11'!D40</f>
        <v>206</v>
      </c>
      <c r="E40" s="142">
        <f t="shared" si="0"/>
        <v>3.4333333333333331</v>
      </c>
      <c r="F40" s="321">
        <v>1160</v>
      </c>
      <c r="G40" s="321">
        <f>+F40-F40*0.25</f>
        <v>870</v>
      </c>
      <c r="H40" s="186" t="s">
        <v>67</v>
      </c>
      <c r="I40" s="117">
        <f>(K34+L34)/1000</f>
        <v>35.430999999999997</v>
      </c>
      <c r="J40" s="130">
        <f>+I40+'11'!J40</f>
        <v>422.98499999999996</v>
      </c>
      <c r="K40" s="129" t="s">
        <v>63</v>
      </c>
    </row>
    <row r="41" spans="1:13" ht="17.45" customHeight="1">
      <c r="A41" s="765" t="s">
        <v>68</v>
      </c>
      <c r="B41" s="766"/>
      <c r="C41" s="163">
        <f>SUMIF($G$7:$G$31,"Electrical",$F$7:$F$31)</f>
        <v>0</v>
      </c>
      <c r="D41" s="117">
        <f>+C41+'11'!D41</f>
        <v>0</v>
      </c>
      <c r="E41" s="142">
        <f t="shared" si="0"/>
        <v>0</v>
      </c>
      <c r="F41" s="321"/>
      <c r="G41" s="321"/>
      <c r="H41" s="186" t="s">
        <v>69</v>
      </c>
      <c r="I41" s="141"/>
      <c r="J41" s="128">
        <f>J40/G4</f>
        <v>35.248749999999994</v>
      </c>
      <c r="K41" s="129" t="s">
        <v>63</v>
      </c>
    </row>
    <row r="42" spans="1:13" ht="17.45" customHeight="1">
      <c r="A42" s="765" t="s">
        <v>16</v>
      </c>
      <c r="B42" s="766"/>
      <c r="C42" s="163">
        <f>SUMIF($G$7:$G$31,"Instrument",$F$7:$F$31)</f>
        <v>0</v>
      </c>
      <c r="D42" s="117">
        <f>+C42+'11'!D42</f>
        <v>0</v>
      </c>
      <c r="E42" s="142">
        <f t="shared" si="0"/>
        <v>0</v>
      </c>
      <c r="F42" s="321">
        <f>+(480*F38+480*F39+480*F40)/1440</f>
        <v>1153.3333333333333</v>
      </c>
      <c r="G42" s="321">
        <f>+(480*G38+480*G39+480*G40)/1440</f>
        <v>865</v>
      </c>
      <c r="H42" s="186" t="s">
        <v>70</v>
      </c>
      <c r="I42" s="245" t="s">
        <v>550</v>
      </c>
      <c r="J42" s="131"/>
      <c r="K42" s="129" t="s">
        <v>71</v>
      </c>
    </row>
    <row r="43" spans="1:13" ht="17.45" customHeight="1">
      <c r="A43" s="765" t="s">
        <v>72</v>
      </c>
      <c r="B43" s="766"/>
      <c r="C43" s="163">
        <f>SUMIF($G$7:$G$31,"Water",$F$7:$F$31)</f>
        <v>0</v>
      </c>
      <c r="D43" s="117">
        <f>+C43+'11'!D43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+Report1!Z20</f>
        <v>57.9</v>
      </c>
      <c r="J43" s="132">
        <f>+I43+'11'!J43</f>
        <v>636.4</v>
      </c>
      <c r="K43" s="129" t="s">
        <v>63</v>
      </c>
      <c r="L43" s="188"/>
    </row>
    <row r="44" spans="1:13" ht="17.45" customHeight="1">
      <c r="A44" s="765" t="s">
        <v>17</v>
      </c>
      <c r="B44" s="766"/>
      <c r="C44" s="163">
        <f>SUMIF($G$7:$G$31,"PLN",$F$7:$F$31)</f>
        <v>0</v>
      </c>
      <c r="D44" s="117">
        <f>+C44+'11'!D44</f>
        <v>0</v>
      </c>
      <c r="E44" s="142">
        <f t="shared" si="0"/>
        <v>0</v>
      </c>
      <c r="F44" s="321"/>
      <c r="G44" s="322"/>
      <c r="H44" s="187" t="s">
        <v>74</v>
      </c>
      <c r="I44" s="117">
        <f>I43/I38</f>
        <v>1.5010499572239648</v>
      </c>
      <c r="J44" s="133">
        <f>J43/J38</f>
        <v>1.4432966310227133</v>
      </c>
      <c r="K44" s="129" t="s">
        <v>63</v>
      </c>
    </row>
    <row r="45" spans="1:13" ht="17.45" customHeight="1">
      <c r="A45" s="765" t="s">
        <v>18</v>
      </c>
      <c r="B45" s="766"/>
      <c r="C45" s="163">
        <f>SUMIF($G$7:$G$31,"Boiler",$F$7:$F$31)</f>
        <v>0</v>
      </c>
      <c r="D45" s="117">
        <f>+C45+'11'!D45</f>
        <v>0</v>
      </c>
      <c r="E45" s="142">
        <f t="shared" si="0"/>
        <v>0</v>
      </c>
      <c r="F45" s="321"/>
      <c r="G45" s="324"/>
      <c r="H45" s="187" t="s">
        <v>75</v>
      </c>
      <c r="I45" s="117">
        <f>I43/I40</f>
        <v>1.6341621743670798</v>
      </c>
      <c r="J45" s="133">
        <f>J43/J40</f>
        <v>1.5045450784306773</v>
      </c>
      <c r="K45" s="129" t="s">
        <v>63</v>
      </c>
    </row>
    <row r="46" spans="1:13" ht="17.45" customHeight="1">
      <c r="A46" s="765" t="s">
        <v>76</v>
      </c>
      <c r="B46" s="766"/>
      <c r="C46" s="163">
        <f>SUMIF($G$7:$G$31,"Gas",$F$7:$F$31)</f>
        <v>0</v>
      </c>
      <c r="D46" s="117">
        <f>+C46+'11'!D46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+SUMIF(Listrik!P19,"&gt;0")</f>
        <v>37064.160000001095</v>
      </c>
      <c r="J46" s="134">
        <f>+I46+'11'!J46</f>
        <v>419436.78000000148</v>
      </c>
      <c r="K46" s="129" t="s">
        <v>78</v>
      </c>
    </row>
    <row r="47" spans="1:13" ht="17.45" customHeight="1">
      <c r="A47" s="765" t="s">
        <v>79</v>
      </c>
      <c r="B47" s="766"/>
      <c r="C47" s="163">
        <f>SUMIF($G$7:$G$31,"Gas",$F$7:$F$31)</f>
        <v>0</v>
      </c>
      <c r="D47" s="117">
        <f>+C47+'11'!D47</f>
        <v>0</v>
      </c>
      <c r="E47" s="142">
        <f t="shared" si="0"/>
        <v>0</v>
      </c>
      <c r="F47" s="321"/>
      <c r="G47" s="322"/>
      <c r="H47" s="187" t="s">
        <v>80</v>
      </c>
      <c r="I47" s="117">
        <f>I46/I38</f>
        <v>960.88351956034262</v>
      </c>
      <c r="J47" s="134">
        <f>J46/J38</f>
        <v>951.24401555785209</v>
      </c>
      <c r="K47" s="129" t="s">
        <v>24</v>
      </c>
    </row>
    <row r="48" spans="1:13" ht="17.45" customHeight="1">
      <c r="A48" s="765" t="s">
        <v>14</v>
      </c>
      <c r="B48" s="766"/>
      <c r="C48" s="163">
        <f>SUMIF($G$7:$G$31,"Start Up",$F$7:$F$31)</f>
        <v>0</v>
      </c>
      <c r="D48" s="117">
        <f>+C48+'11'!D48</f>
        <v>0</v>
      </c>
      <c r="E48" s="142">
        <f t="shared" si="0"/>
        <v>0</v>
      </c>
      <c r="F48" s="321"/>
      <c r="G48" s="322"/>
      <c r="H48" s="187" t="s">
        <v>81</v>
      </c>
      <c r="I48" s="117">
        <f>I46/I40</f>
        <v>1046.0940983884479</v>
      </c>
      <c r="J48" s="134">
        <f>J46/J40</f>
        <v>991.6114755842442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+C49+'11'!D49</f>
        <v>0</v>
      </c>
      <c r="E49" s="142">
        <f t="shared" si="0"/>
        <v>0</v>
      </c>
      <c r="F49" s="184"/>
      <c r="H49" s="187" t="s">
        <v>270</v>
      </c>
      <c r="I49" s="117">
        <f>+Report1!T20</f>
        <v>5412.6630315118709</v>
      </c>
      <c r="J49" s="134">
        <f>+I49+'11'!J49</f>
        <v>58167.115489758653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+C50+'11'!D50</f>
        <v>0</v>
      </c>
      <c r="E50" s="142">
        <f t="shared" si="0"/>
        <v>0</v>
      </c>
      <c r="F50" s="184"/>
      <c r="H50" s="187" t="s">
        <v>83</v>
      </c>
      <c r="I50" s="139">
        <f>I49/I38</f>
        <v>140.32258397096081</v>
      </c>
      <c r="J50" s="132">
        <f>J49/J38</f>
        <v>131.91766471193864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+C51+'11'!D51</f>
        <v>738</v>
      </c>
      <c r="E51" s="142">
        <f t="shared" si="0"/>
        <v>12.3</v>
      </c>
      <c r="F51" s="184"/>
      <c r="H51" s="189" t="s">
        <v>85</v>
      </c>
      <c r="I51" s="140">
        <f>I49/I40</f>
        <v>152.76630723129099</v>
      </c>
      <c r="J51" s="135">
        <f>J49/J40</f>
        <v>137.51578776968134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69</v>
      </c>
      <c r="D52" s="143">
        <f>SUM(D38:D51)</f>
        <v>1743</v>
      </c>
      <c r="E52" s="144">
        <f>SUM(E38:E51)</f>
        <v>29.05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4.791666666666667E-2</v>
      </c>
      <c r="D53" s="145">
        <f>D52/(24*60*G4)</f>
        <v>0.10086805555555556</v>
      </c>
      <c r="E53" s="146">
        <f>E52/(G4*24)</f>
        <v>0.10086805555555556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+D34+'11'!J56</f>
        <v>1699</v>
      </c>
      <c r="K56" s="200">
        <f>J56/(J40+J56/1000)/1000</f>
        <v>4.0006216386772285E-3</v>
      </c>
    </row>
    <row r="57" spans="1:11">
      <c r="A57" s="175"/>
      <c r="I57" s="198" t="s">
        <v>88</v>
      </c>
      <c r="J57" s="199">
        <f>+E34+'11'!J57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8:B48"/>
    <mergeCell ref="A49:B49"/>
    <mergeCell ref="A50:B50"/>
    <mergeCell ref="A51:B51"/>
    <mergeCell ref="A46:B46"/>
    <mergeCell ref="A47:B47"/>
    <mergeCell ref="A39:B39"/>
    <mergeCell ref="I24:I31"/>
    <mergeCell ref="A37:B37"/>
    <mergeCell ref="A38:B38"/>
    <mergeCell ref="A45:B45"/>
    <mergeCell ref="A40:B40"/>
    <mergeCell ref="A41:B41"/>
    <mergeCell ref="A34:B34"/>
    <mergeCell ref="A42:B42"/>
    <mergeCell ref="A43:B43"/>
    <mergeCell ref="A44:B44"/>
    <mergeCell ref="A7:A14"/>
    <mergeCell ref="I7:I13"/>
    <mergeCell ref="A15:A23"/>
    <mergeCell ref="I15:I22"/>
    <mergeCell ref="A24:A32"/>
  </mergeCells>
  <phoneticPr fontId="32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G1" zoomScale="80" zoomScaleNormal="70" zoomScaleSheetLayoutView="80" workbookViewId="0">
      <selection activeCell="S27" sqref="S2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5.5703125" style="148" bestFit="1" customWidth="1"/>
    <col min="14" max="16384" width="9.140625" style="148"/>
  </cols>
  <sheetData>
    <row r="1" spans="1:18" ht="15.75">
      <c r="A1" s="147"/>
    </row>
    <row r="2" spans="1:18" ht="15.75">
      <c r="A2" s="147" t="s">
        <v>183</v>
      </c>
    </row>
    <row r="3" spans="1:18" ht="15">
      <c r="A3" s="149"/>
    </row>
    <row r="4" spans="1:18" ht="20.25">
      <c r="A4" s="150" t="s">
        <v>3</v>
      </c>
      <c r="B4" s="151"/>
      <c r="F4" s="152" t="s">
        <v>29</v>
      </c>
      <c r="G4" s="153">
        <v>11</v>
      </c>
      <c r="H4" s="153" t="str">
        <f>+'1'!H4</f>
        <v>.04.26</v>
      </c>
    </row>
    <row r="5" spans="1:18" ht="13.5" thickBot="1">
      <c r="C5" s="154"/>
      <c r="D5" s="154"/>
    </row>
    <row r="6" spans="1:18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</row>
    <row r="7" spans="1:18" ht="13.5" customHeight="1" thickBot="1">
      <c r="A7" s="751" t="s">
        <v>391</v>
      </c>
      <c r="B7" s="214" t="s">
        <v>534</v>
      </c>
      <c r="C7" s="215">
        <v>13217</v>
      </c>
      <c r="D7" s="216"/>
      <c r="E7" s="217"/>
      <c r="F7" s="227">
        <v>10</v>
      </c>
      <c r="G7" s="228" t="s">
        <v>12</v>
      </c>
      <c r="H7" s="229" t="s">
        <v>400</v>
      </c>
      <c r="I7" s="754" t="s">
        <v>544</v>
      </c>
      <c r="J7" s="213" t="str">
        <f>+'10'!J7</f>
        <v>F 11,5 VP OW</v>
      </c>
      <c r="K7" s="237"/>
      <c r="L7" s="241"/>
      <c r="M7" s="116">
        <f>+K7+'10'!M7+L7</f>
        <v>168614</v>
      </c>
    </row>
    <row r="8" spans="1:18" ht="13.5" thickBot="1">
      <c r="A8" s="752"/>
      <c r="B8" s="214"/>
      <c r="C8" s="215"/>
      <c r="D8" s="216"/>
      <c r="E8" s="218"/>
      <c r="F8" s="230">
        <v>4</v>
      </c>
      <c r="G8" s="560" t="s">
        <v>12</v>
      </c>
      <c r="H8" s="229" t="s">
        <v>480</v>
      </c>
      <c r="I8" s="755"/>
      <c r="J8" s="213" t="str">
        <f>+'10'!J8</f>
        <v>F 14 VP OW</v>
      </c>
      <c r="K8" s="238"/>
      <c r="L8" s="238"/>
      <c r="M8" s="116">
        <f>+K8+'10'!M8+L8</f>
        <v>78398</v>
      </c>
    </row>
    <row r="9" spans="1:18" ht="13.5" thickBot="1">
      <c r="A9" s="752"/>
      <c r="B9" s="214"/>
      <c r="C9" s="215"/>
      <c r="D9" s="216"/>
      <c r="E9" s="219"/>
      <c r="F9" s="227">
        <v>5</v>
      </c>
      <c r="G9" s="560" t="s">
        <v>12</v>
      </c>
      <c r="H9" s="232" t="s">
        <v>386</v>
      </c>
      <c r="I9" s="755"/>
      <c r="J9" s="213" t="str">
        <f>+'10'!J9</f>
        <v>F 13 VP OW</v>
      </c>
      <c r="K9" s="238"/>
      <c r="L9" s="238"/>
      <c r="M9" s="116">
        <f>+K9+'10'!M9+L9</f>
        <v>22241</v>
      </c>
      <c r="N9" s="148">
        <v>1100</v>
      </c>
      <c r="O9" s="148">
        <f>+N9-N9*0.25</f>
        <v>825</v>
      </c>
      <c r="P9" s="148">
        <f>120+47</f>
        <v>167</v>
      </c>
      <c r="Q9" s="148">
        <f>+N9*P9</f>
        <v>183700</v>
      </c>
      <c r="R9" s="148">
        <f>+O9*P9</f>
        <v>137775</v>
      </c>
    </row>
    <row r="10" spans="1:18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535</v>
      </c>
      <c r="I10" s="755"/>
      <c r="J10" s="213" t="str">
        <f>+'10'!J10</f>
        <v>F 12 VP OW</v>
      </c>
      <c r="K10" s="238"/>
      <c r="L10" s="238"/>
      <c r="M10" s="116">
        <f>+K10+'10'!M10+L10</f>
        <v>7645</v>
      </c>
      <c r="N10" s="148">
        <v>1150</v>
      </c>
      <c r="O10" s="148">
        <f>+N10-N10*0.25</f>
        <v>862.5</v>
      </c>
      <c r="P10" s="148">
        <f>13+60+56</f>
        <v>129</v>
      </c>
      <c r="Q10" s="148">
        <f>+N10*P10</f>
        <v>148350</v>
      </c>
      <c r="R10" s="148">
        <f>+O10*P10</f>
        <v>111262.5</v>
      </c>
    </row>
    <row r="11" spans="1:18" ht="13.5" thickBot="1">
      <c r="A11" s="752"/>
      <c r="B11" s="214"/>
      <c r="C11" s="215"/>
      <c r="D11" s="216"/>
      <c r="E11" s="218"/>
      <c r="F11" s="227"/>
      <c r="G11" s="231"/>
      <c r="H11" s="232" t="s">
        <v>536</v>
      </c>
      <c r="I11" s="755"/>
      <c r="J11" s="213" t="str">
        <f>+'10'!J11</f>
        <v>F 16 VP OW</v>
      </c>
      <c r="K11" s="238"/>
      <c r="L11" s="238"/>
      <c r="M11" s="116">
        <f>+K11+'10'!M11+L11</f>
        <v>37034</v>
      </c>
      <c r="N11" s="148">
        <v>1160</v>
      </c>
      <c r="O11" s="148">
        <f>+N11-N11*0.25</f>
        <v>870</v>
      </c>
      <c r="P11" s="148">
        <f>4+180</f>
        <v>184</v>
      </c>
      <c r="Q11" s="148">
        <f>+N11*P11</f>
        <v>213440</v>
      </c>
      <c r="R11" s="148">
        <f>+O11*P11</f>
        <v>160080</v>
      </c>
    </row>
    <row r="12" spans="1:18" ht="13.5" thickBot="1">
      <c r="A12" s="752"/>
      <c r="B12" s="214"/>
      <c r="C12" s="215"/>
      <c r="D12" s="216"/>
      <c r="E12" s="218"/>
      <c r="F12" s="227"/>
      <c r="G12" s="231"/>
      <c r="H12" s="232" t="s">
        <v>537</v>
      </c>
      <c r="I12" s="755"/>
      <c r="J12" s="213" t="str">
        <f>+'10'!J12</f>
        <v>F 15 VP OW</v>
      </c>
      <c r="K12" s="238"/>
      <c r="L12" s="238"/>
      <c r="M12" s="116">
        <f>+K12+'10'!M12+L12</f>
        <v>3202</v>
      </c>
      <c r="P12" s="148">
        <f>SUM(P9:P11)</f>
        <v>480</v>
      </c>
      <c r="Q12" s="148">
        <f t="shared" ref="Q12:R12" si="0">SUM(Q9:Q11)</f>
        <v>545490</v>
      </c>
      <c r="R12" s="148">
        <f t="shared" si="0"/>
        <v>409117.5</v>
      </c>
    </row>
    <row r="13" spans="1:18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+'10'!J13</f>
        <v>T 14 VP OW</v>
      </c>
      <c r="K13" s="238"/>
      <c r="L13" s="238"/>
      <c r="M13" s="116">
        <f>+K13+'10'!M13+L13</f>
        <v>5600</v>
      </c>
      <c r="Q13" s="148">
        <f>+Q12/P12</f>
        <v>1136.4375</v>
      </c>
      <c r="R13" s="148">
        <f>+R12/P12</f>
        <v>852.328125</v>
      </c>
    </row>
    <row r="14" spans="1:18" ht="13.5" thickBot="1">
      <c r="A14" s="753"/>
      <c r="B14" s="164" t="s">
        <v>2</v>
      </c>
      <c r="C14" s="98">
        <f>SUM(C7:C13)</f>
        <v>13217</v>
      </c>
      <c r="D14" s="110">
        <f>SUM(D7:D13)</f>
        <v>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 t="str">
        <f>+'10'!J14</f>
        <v>T 13 VP OW</v>
      </c>
      <c r="K14" s="238">
        <f>+C34</f>
        <v>39327</v>
      </c>
      <c r="L14" s="238"/>
      <c r="M14" s="116">
        <f>+K14+'10'!M14+L14</f>
        <v>64820</v>
      </c>
    </row>
    <row r="15" spans="1:18" ht="13.5" customHeight="1" thickBot="1">
      <c r="A15" s="751" t="s">
        <v>432</v>
      </c>
      <c r="B15" s="164"/>
      <c r="C15" s="112">
        <f>C14/($C$23+$D$23+$E$23)</f>
        <v>0.98465320718170302</v>
      </c>
      <c r="D15" s="113">
        <f>D14/($C$23+$D$23+$E$23)</f>
        <v>0</v>
      </c>
      <c r="E15" s="114">
        <f>E14/($C$23+$D$23+$E$23)</f>
        <v>0</v>
      </c>
      <c r="F15" s="227">
        <v>20</v>
      </c>
      <c r="G15" s="228" t="s">
        <v>12</v>
      </c>
      <c r="H15" s="229" t="s">
        <v>453</v>
      </c>
      <c r="I15" s="754" t="s">
        <v>546</v>
      </c>
      <c r="J15" s="213">
        <f>+'10'!J15</f>
        <v>0</v>
      </c>
      <c r="K15" s="238"/>
      <c r="L15" s="238"/>
      <c r="M15" s="116">
        <f>+K15+'10'!M15+L15</f>
        <v>0</v>
      </c>
    </row>
    <row r="16" spans="1:18" ht="13.5" thickBot="1">
      <c r="A16" s="757"/>
      <c r="B16" s="214" t="s">
        <v>534</v>
      </c>
      <c r="C16" s="221">
        <v>13423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+'10'!J16</f>
        <v>0</v>
      </c>
      <c r="K16" s="228"/>
      <c r="L16" s="228"/>
      <c r="M16" s="116">
        <f>+K16+'10'!M16+L16</f>
        <v>0</v>
      </c>
    </row>
    <row r="17" spans="1:18" ht="13.5" thickBot="1">
      <c r="A17" s="757"/>
      <c r="B17" s="214"/>
      <c r="C17" s="215"/>
      <c r="D17" s="216"/>
      <c r="E17" s="224"/>
      <c r="F17" s="227">
        <v>4</v>
      </c>
      <c r="G17" s="560" t="s">
        <v>12</v>
      </c>
      <c r="H17" s="232" t="s">
        <v>386</v>
      </c>
      <c r="I17" s="755"/>
      <c r="J17" s="213">
        <f>+'10'!J17</f>
        <v>0</v>
      </c>
      <c r="K17" s="228"/>
      <c r="L17" s="228"/>
      <c r="M17" s="116">
        <f>+K17+'10'!M17+L17</f>
        <v>0</v>
      </c>
    </row>
    <row r="18" spans="1:18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539</v>
      </c>
      <c r="I18" s="755"/>
      <c r="J18" s="213">
        <f>+'10'!J18</f>
        <v>0</v>
      </c>
      <c r="K18" s="238"/>
      <c r="L18" s="238"/>
      <c r="M18" s="116">
        <f>+K18+'10'!M18+L18</f>
        <v>0</v>
      </c>
    </row>
    <row r="19" spans="1:18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+'10'!J19</f>
        <v>0</v>
      </c>
      <c r="K19" s="238"/>
      <c r="L19" s="238"/>
      <c r="M19" s="116">
        <f>+K19+'10'!M19+L19</f>
        <v>0</v>
      </c>
    </row>
    <row r="20" spans="1:18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+'10'!J20</f>
        <v>0</v>
      </c>
      <c r="K20" s="239"/>
      <c r="L20" s="239"/>
      <c r="M20" s="116">
        <f>+K20+'10'!M20+L20</f>
        <v>0</v>
      </c>
    </row>
    <row r="21" spans="1:18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+'10'!J21</f>
        <v>0</v>
      </c>
      <c r="K21" s="238"/>
      <c r="L21" s="238"/>
      <c r="M21" s="116">
        <f>+K21+'10'!M21+L21</f>
        <v>0</v>
      </c>
    </row>
    <row r="22" spans="1:18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+'10'!J22</f>
        <v>0</v>
      </c>
      <c r="K22" s="238"/>
      <c r="L22" s="238"/>
      <c r="M22" s="116">
        <f>+K22+'10'!M22+L22</f>
        <v>0</v>
      </c>
    </row>
    <row r="23" spans="1:18" ht="13.5" thickBot="1">
      <c r="A23" s="758"/>
      <c r="B23" s="167" t="s">
        <v>2</v>
      </c>
      <c r="C23" s="99">
        <f>SUM(C16:C22)</f>
        <v>13423</v>
      </c>
      <c r="D23" s="110">
        <f>SUM(D16:D22)</f>
        <v>0</v>
      </c>
      <c r="E23" s="111">
        <f>SUM(E18:E22)</f>
        <v>0</v>
      </c>
      <c r="F23" s="115">
        <f>SUM(F15:F22)</f>
        <v>24</v>
      </c>
      <c r="G23" s="158"/>
      <c r="H23" s="165"/>
      <c r="I23" s="168"/>
      <c r="J23" s="213">
        <f>+'10'!J23</f>
        <v>0</v>
      </c>
      <c r="K23" s="238"/>
      <c r="L23" s="238"/>
      <c r="M23" s="116">
        <f>+K23+'10'!M23+L23</f>
        <v>0</v>
      </c>
    </row>
    <row r="24" spans="1:18" ht="13.5" customHeight="1" thickBot="1">
      <c r="A24" s="751" t="s">
        <v>390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30</v>
      </c>
      <c r="G24" s="228" t="s">
        <v>12</v>
      </c>
      <c r="H24" s="229" t="s">
        <v>415</v>
      </c>
      <c r="I24" s="754" t="s">
        <v>545</v>
      </c>
      <c r="J24" s="213">
        <f>+'10'!J24</f>
        <v>0</v>
      </c>
      <c r="K24" s="238"/>
      <c r="L24" s="238"/>
      <c r="M24" s="116">
        <f>+K24+'10'!M24+L24</f>
        <v>0</v>
      </c>
    </row>
    <row r="25" spans="1:18" ht="13.5" thickBot="1">
      <c r="A25" s="757"/>
      <c r="B25" s="214" t="s">
        <v>534</v>
      </c>
      <c r="C25" s="225">
        <v>12687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+'10'!J25</f>
        <v>0</v>
      </c>
      <c r="K25" s="238"/>
      <c r="L25" s="238"/>
      <c r="M25" s="116">
        <f>+K25+'10'!M25+L25</f>
        <v>0</v>
      </c>
      <c r="N25" s="148">
        <v>1160</v>
      </c>
      <c r="O25" s="148">
        <f t="shared" ref="O25:O26" si="1">+N25-N25*0.25</f>
        <v>870</v>
      </c>
      <c r="P25" s="148">
        <v>350</v>
      </c>
      <c r="Q25" s="148">
        <f>+N25*P25</f>
        <v>406000</v>
      </c>
      <c r="R25" s="148">
        <f>+O25*P25</f>
        <v>304500</v>
      </c>
    </row>
    <row r="26" spans="1:18" ht="13.5" thickBot="1">
      <c r="A26" s="757"/>
      <c r="B26" s="214"/>
      <c r="C26" s="225"/>
      <c r="D26" s="216"/>
      <c r="E26" s="226"/>
      <c r="F26" s="227">
        <v>6</v>
      </c>
      <c r="G26" s="560" t="s">
        <v>12</v>
      </c>
      <c r="H26" s="232" t="s">
        <v>386</v>
      </c>
      <c r="I26" s="755"/>
      <c r="J26" s="213">
        <f>+'10'!J26</f>
        <v>0</v>
      </c>
      <c r="K26" s="228"/>
      <c r="L26" s="228"/>
      <c r="M26" s="116">
        <f>+K26+'10'!M26+L26</f>
        <v>0</v>
      </c>
      <c r="N26" s="148">
        <v>1140</v>
      </c>
      <c r="O26" s="148">
        <f t="shared" si="1"/>
        <v>855</v>
      </c>
      <c r="P26" s="148">
        <f>10+120</f>
        <v>130</v>
      </c>
      <c r="Q26" s="148">
        <f>+N26*P26</f>
        <v>148200</v>
      </c>
      <c r="R26" s="148">
        <f>+O26*P26</f>
        <v>111150</v>
      </c>
    </row>
    <row r="27" spans="1:18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539</v>
      </c>
      <c r="I27" s="755"/>
      <c r="J27" s="213">
        <f>+'10'!J27</f>
        <v>0</v>
      </c>
      <c r="K27" s="228"/>
      <c r="L27" s="228"/>
      <c r="M27" s="116">
        <f>+K27+'10'!M27+L27</f>
        <v>0</v>
      </c>
      <c r="P27" s="148">
        <f>SUM(P25:P26)</f>
        <v>480</v>
      </c>
      <c r="Q27" s="148">
        <f t="shared" ref="Q27:R27" si="2">SUM(Q25:Q26)</f>
        <v>554200</v>
      </c>
      <c r="R27" s="148">
        <f t="shared" si="2"/>
        <v>415650</v>
      </c>
    </row>
    <row r="28" spans="1:18" ht="13.5" thickBot="1">
      <c r="A28" s="757"/>
      <c r="B28" s="214"/>
      <c r="C28" s="215"/>
      <c r="D28" s="216"/>
      <c r="E28" s="224"/>
      <c r="F28" s="230"/>
      <c r="G28" s="231"/>
      <c r="H28" s="232" t="s">
        <v>538</v>
      </c>
      <c r="I28" s="755"/>
      <c r="J28" s="213">
        <f>+'10'!J28</f>
        <v>0</v>
      </c>
      <c r="K28" s="238"/>
      <c r="L28" s="238"/>
      <c r="M28" s="116">
        <f>+K28+'10'!M28+L28</f>
        <v>0</v>
      </c>
      <c r="Q28" s="148">
        <f>+Q27/P27</f>
        <v>1154.5833333333333</v>
      </c>
      <c r="R28" s="148">
        <f>+R27/P27</f>
        <v>865.9375</v>
      </c>
    </row>
    <row r="29" spans="1:18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+'10'!J29</f>
        <v>0</v>
      </c>
      <c r="K29" s="238"/>
      <c r="L29" s="238"/>
      <c r="M29" s="116">
        <f>+K29+'10'!M29+L29</f>
        <v>0</v>
      </c>
    </row>
    <row r="30" spans="1:18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+'10'!J30</f>
        <v>0</v>
      </c>
      <c r="K30" s="239"/>
      <c r="L30" s="239"/>
      <c r="M30" s="116">
        <f>+K30+'10'!M30+L30</f>
        <v>0</v>
      </c>
    </row>
    <row r="31" spans="1:18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+'10'!J31</f>
        <v>0</v>
      </c>
      <c r="K31" s="238"/>
      <c r="L31" s="238"/>
      <c r="M31" s="116">
        <f>+K31+'10'!M31+L31</f>
        <v>0</v>
      </c>
    </row>
    <row r="32" spans="1:18" ht="13.5" thickBot="1">
      <c r="A32" s="758"/>
      <c r="B32" s="164" t="s">
        <v>2</v>
      </c>
      <c r="C32" s="98">
        <f>SUM(C25:C31)</f>
        <v>12687</v>
      </c>
      <c r="D32" s="99">
        <f>SUM(D25:D31)</f>
        <v>0</v>
      </c>
      <c r="E32" s="100">
        <f>SUM(E25:E31)</f>
        <v>0</v>
      </c>
      <c r="F32" s="101">
        <f>SUM(F24:F31)</f>
        <v>36</v>
      </c>
      <c r="G32" s="170"/>
      <c r="H32" s="171"/>
      <c r="I32" s="168"/>
      <c r="J32" s="213">
        <f>+'10'!J32</f>
        <v>0</v>
      </c>
      <c r="K32" s="238"/>
      <c r="L32" s="238"/>
      <c r="M32" s="116">
        <f>+K32+'10'!M32+L32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9" t="s">
        <v>57</v>
      </c>
      <c r="B34" s="760"/>
      <c r="C34" s="106">
        <f>C14+C23+C32</f>
        <v>39327</v>
      </c>
      <c r="D34" s="106">
        <f>D14+D23+D32</f>
        <v>0</v>
      </c>
      <c r="E34" s="106">
        <f>E14+E23+E32</f>
        <v>0</v>
      </c>
      <c r="F34" s="107">
        <f>F14+F23+F32</f>
        <v>79</v>
      </c>
      <c r="H34" s="177"/>
      <c r="I34" s="177"/>
      <c r="J34" s="122" t="s">
        <v>28</v>
      </c>
      <c r="K34" s="123">
        <f>SUM(K7:K32)</f>
        <v>39327</v>
      </c>
      <c r="L34" s="211">
        <f>SUM(L7:L32)</f>
        <v>0</v>
      </c>
      <c r="M34" s="119">
        <f>SUM(M7:M32)</f>
        <v>387554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(13*1440)/1440*G42*2.74*1440/1000000</f>
        <v>44.253130350000006</v>
      </c>
      <c r="J37" s="124">
        <f>+I37+'10'!J37</f>
        <v>451.68417121380082</v>
      </c>
      <c r="K37" s="125" t="s">
        <v>63</v>
      </c>
    </row>
    <row r="38" spans="1:13" ht="17.45" customHeight="1">
      <c r="A38" s="763" t="s">
        <v>12</v>
      </c>
      <c r="B38" s="764"/>
      <c r="C38" s="163">
        <f>SUMIF($G$7:$G$31,"Process",$F$7:$F$31)</f>
        <v>79</v>
      </c>
      <c r="D38" s="117">
        <f>+C38+'10'!D38</f>
        <v>730</v>
      </c>
      <c r="E38" s="142">
        <f t="shared" ref="E38:E51" si="3">D38/60</f>
        <v>12.166666666666666</v>
      </c>
      <c r="F38" s="321">
        <v>1136.4375</v>
      </c>
      <c r="G38" s="321">
        <v>852.328125</v>
      </c>
      <c r="H38" s="186" t="s">
        <v>64</v>
      </c>
      <c r="I38" s="244">
        <f>13.144+12.93+11.571</f>
        <v>37.644999999999996</v>
      </c>
      <c r="J38" s="126">
        <f>+I38+'10'!J38</f>
        <v>402.36199999999997</v>
      </c>
      <c r="K38" s="127" t="s">
        <v>63</v>
      </c>
    </row>
    <row r="39" spans="1:13" ht="17.45" customHeight="1">
      <c r="A39" s="765" t="s">
        <v>13</v>
      </c>
      <c r="B39" s="766"/>
      <c r="C39" s="163">
        <f>SUMIF($G$7:$G$31,"Cleaning",$F$7:$F$31)</f>
        <v>0</v>
      </c>
      <c r="D39" s="117">
        <f>+C39+'10'!D39</f>
        <v>0</v>
      </c>
      <c r="E39" s="142">
        <f t="shared" si="3"/>
        <v>0</v>
      </c>
      <c r="F39" s="321">
        <v>1160</v>
      </c>
      <c r="G39" s="321">
        <v>870</v>
      </c>
      <c r="H39" s="186" t="s">
        <v>65</v>
      </c>
      <c r="I39" s="141"/>
      <c r="J39" s="128">
        <f>J37/G4</f>
        <v>41.0621973830728</v>
      </c>
      <c r="K39" s="129" t="s">
        <v>63</v>
      </c>
    </row>
    <row r="40" spans="1:13" ht="17.45" customHeight="1">
      <c r="A40" s="765" t="s">
        <v>66</v>
      </c>
      <c r="B40" s="766"/>
      <c r="C40" s="163">
        <f>SUMIF($G$7:$G$31,"Mechanical",$F$7:$F$31)</f>
        <v>0</v>
      </c>
      <c r="D40" s="117">
        <f>+C40+'10'!D40</f>
        <v>206</v>
      </c>
      <c r="E40" s="142">
        <f t="shared" si="3"/>
        <v>3.4333333333333331</v>
      </c>
      <c r="F40" s="321">
        <v>1154.5833333333333</v>
      </c>
      <c r="G40" s="321">
        <v>865.9375</v>
      </c>
      <c r="H40" s="186" t="s">
        <v>67</v>
      </c>
      <c r="I40" s="117">
        <f>(K34+L34)/1000</f>
        <v>39.326999999999998</v>
      </c>
      <c r="J40" s="130">
        <f>+I40+'10'!J40</f>
        <v>387.55399999999997</v>
      </c>
      <c r="K40" s="129" t="s">
        <v>63</v>
      </c>
    </row>
    <row r="41" spans="1:13" ht="17.45" customHeight="1">
      <c r="A41" s="765" t="s">
        <v>68</v>
      </c>
      <c r="B41" s="766"/>
      <c r="C41" s="163">
        <f>SUMIF($G$7:$G$31,"Electrical",$F$7:$F$31)</f>
        <v>0</v>
      </c>
      <c r="D41" s="117">
        <f>+C41+'10'!D41</f>
        <v>0</v>
      </c>
      <c r="E41" s="142">
        <f t="shared" si="3"/>
        <v>0</v>
      </c>
      <c r="F41" s="321"/>
      <c r="G41" s="321"/>
      <c r="H41" s="186" t="s">
        <v>69</v>
      </c>
      <c r="I41" s="141"/>
      <c r="J41" s="128">
        <f>J40/G4</f>
        <v>35.232181818181814</v>
      </c>
      <c r="K41" s="129" t="s">
        <v>63</v>
      </c>
    </row>
    <row r="42" spans="1:13" ht="17.45" customHeight="1">
      <c r="A42" s="765" t="s">
        <v>16</v>
      </c>
      <c r="B42" s="766"/>
      <c r="C42" s="163">
        <f>SUMIF($G$7:$G$31,"Instrument",$F$7:$F$31)</f>
        <v>0</v>
      </c>
      <c r="D42" s="117">
        <f>+C42+'10'!D42</f>
        <v>0</v>
      </c>
      <c r="E42" s="142">
        <f t="shared" si="3"/>
        <v>0</v>
      </c>
      <c r="F42" s="321">
        <f>+(480*F38+480*F39+480*F40)/1440</f>
        <v>1150.3402777777778</v>
      </c>
      <c r="G42" s="321">
        <f>+(480*G38+480*G39+480*G40)/1440</f>
        <v>862.75520833333337</v>
      </c>
      <c r="H42" s="186" t="s">
        <v>70</v>
      </c>
      <c r="I42" s="245" t="s">
        <v>547</v>
      </c>
      <c r="J42" s="131"/>
      <c r="K42" s="129" t="s">
        <v>71</v>
      </c>
    </row>
    <row r="43" spans="1:13" ht="17.45" customHeight="1">
      <c r="A43" s="765" t="s">
        <v>72</v>
      </c>
      <c r="B43" s="766"/>
      <c r="C43" s="163">
        <f>SUMIF($G$7:$G$31,"Water",$F$7:$F$31)</f>
        <v>0</v>
      </c>
      <c r="D43" s="117">
        <f>+C43+'10'!D43</f>
        <v>0</v>
      </c>
      <c r="E43" s="142">
        <f t="shared" si="3"/>
        <v>0</v>
      </c>
      <c r="F43" s="321"/>
      <c r="G43" s="322"/>
      <c r="H43" s="187" t="s">
        <v>73</v>
      </c>
      <c r="I43" s="117">
        <f>+Report1!Z19</f>
        <v>58</v>
      </c>
      <c r="J43" s="132">
        <f>+I43+'10'!J43</f>
        <v>578.5</v>
      </c>
      <c r="K43" s="129" t="s">
        <v>63</v>
      </c>
      <c r="L43" s="188"/>
    </row>
    <row r="44" spans="1:13" ht="17.45" customHeight="1">
      <c r="A44" s="765" t="s">
        <v>17</v>
      </c>
      <c r="B44" s="766"/>
      <c r="C44" s="163">
        <f>SUMIF($G$7:$G$31,"PLN",$F$7:$F$31)</f>
        <v>0</v>
      </c>
      <c r="D44" s="117">
        <f>+C44+'10'!D44</f>
        <v>0</v>
      </c>
      <c r="E44" s="142">
        <f t="shared" si="3"/>
        <v>0</v>
      </c>
      <c r="F44" s="321"/>
      <c r="G44" s="322"/>
      <c r="H44" s="187" t="s">
        <v>74</v>
      </c>
      <c r="I44" s="117">
        <f>I43/I38</f>
        <v>1.5407092575375216</v>
      </c>
      <c r="J44" s="133">
        <f>J43/J38</f>
        <v>1.437760027040327</v>
      </c>
      <c r="K44" s="129" t="s">
        <v>63</v>
      </c>
    </row>
    <row r="45" spans="1:13" ht="17.45" customHeight="1">
      <c r="A45" s="765" t="s">
        <v>18</v>
      </c>
      <c r="B45" s="766"/>
      <c r="C45" s="163">
        <f>SUMIF($G$7:$G$31,"Boiler",$F$7:$F$31)</f>
        <v>0</v>
      </c>
      <c r="D45" s="117">
        <f>+C45+'10'!D45</f>
        <v>0</v>
      </c>
      <c r="E45" s="142">
        <f t="shared" si="3"/>
        <v>0</v>
      </c>
      <c r="F45" s="321"/>
      <c r="G45" s="324"/>
      <c r="H45" s="187" t="s">
        <v>75</v>
      </c>
      <c r="I45" s="117">
        <f>I43/I40</f>
        <v>1.4748137411956164</v>
      </c>
      <c r="J45" s="133">
        <f>J43/J40</f>
        <v>1.4926952115060095</v>
      </c>
      <c r="K45" s="129" t="s">
        <v>63</v>
      </c>
    </row>
    <row r="46" spans="1:13" ht="17.45" customHeight="1">
      <c r="A46" s="765" t="s">
        <v>76</v>
      </c>
      <c r="B46" s="766"/>
      <c r="C46" s="163">
        <f>SUMIF($G$7:$G$31,"Gas",$F$7:$F$31)</f>
        <v>0</v>
      </c>
      <c r="D46" s="117">
        <f>+C46+'10'!D46</f>
        <v>0</v>
      </c>
      <c r="E46" s="142">
        <f t="shared" si="3"/>
        <v>0</v>
      </c>
      <c r="F46" s="321"/>
      <c r="G46" s="322"/>
      <c r="H46" s="187" t="s">
        <v>77</v>
      </c>
      <c r="I46" s="139">
        <f>+SUMIF(Listrik!P18,"&gt;0")</f>
        <v>35799.660000000367</v>
      </c>
      <c r="J46" s="134">
        <f>+I46+'10'!J46</f>
        <v>382372.6200000004</v>
      </c>
      <c r="K46" s="129" t="s">
        <v>78</v>
      </c>
    </row>
    <row r="47" spans="1:13" ht="17.45" customHeight="1">
      <c r="A47" s="765" t="s">
        <v>79</v>
      </c>
      <c r="B47" s="766"/>
      <c r="C47" s="163">
        <f>SUMIF($G$7:$G$31,"Gas",$F$7:$F$31)</f>
        <v>0</v>
      </c>
      <c r="D47" s="117">
        <f>+C47+'10'!D47</f>
        <v>0</v>
      </c>
      <c r="E47" s="142">
        <f t="shared" si="3"/>
        <v>0</v>
      </c>
      <c r="F47" s="321"/>
      <c r="G47" s="322"/>
      <c r="H47" s="187" t="s">
        <v>80</v>
      </c>
      <c r="I47" s="117">
        <f>I46/I38</f>
        <v>950.98047549476348</v>
      </c>
      <c r="J47" s="134">
        <f>J46/J38</f>
        <v>950.31991092598321</v>
      </c>
      <c r="K47" s="129" t="s">
        <v>24</v>
      </c>
    </row>
    <row r="48" spans="1:13" ht="17.45" customHeight="1">
      <c r="A48" s="765" t="s">
        <v>14</v>
      </c>
      <c r="B48" s="766"/>
      <c r="C48" s="163">
        <f>SUMIF($G$7:$G$31,"Start Up",$F$7:$F$31)</f>
        <v>0</v>
      </c>
      <c r="D48" s="117">
        <f>+C48+'10'!D48</f>
        <v>0</v>
      </c>
      <c r="E48" s="142">
        <f t="shared" si="3"/>
        <v>0</v>
      </c>
      <c r="F48" s="321"/>
      <c r="G48" s="322"/>
      <c r="H48" s="187" t="s">
        <v>81</v>
      </c>
      <c r="I48" s="117">
        <f>I46/I40</f>
        <v>910.30742238157927</v>
      </c>
      <c r="J48" s="134">
        <f>J46/J40</f>
        <v>986.63055987036751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+C49+'10'!D49</f>
        <v>0</v>
      </c>
      <c r="E49" s="142">
        <f t="shared" si="3"/>
        <v>0</v>
      </c>
      <c r="F49" s="184"/>
      <c r="H49" s="187" t="s">
        <v>269</v>
      </c>
      <c r="I49" s="117">
        <f>+Report1!T19</f>
        <v>5423.9287369788344</v>
      </c>
      <c r="J49" s="134">
        <f>+I49+'10'!J49</f>
        <v>52754.452458246786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+C50+'10'!D50</f>
        <v>0</v>
      </c>
      <c r="E50" s="142">
        <f t="shared" si="3"/>
        <v>0</v>
      </c>
      <c r="F50" s="184"/>
      <c r="H50" s="187" t="s">
        <v>83</v>
      </c>
      <c r="I50" s="139">
        <f>I49/I38</f>
        <v>144.08098650494981</v>
      </c>
      <c r="J50" s="132">
        <f>J49/J38</f>
        <v>131.111915285854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+C51+'10'!D51</f>
        <v>738</v>
      </c>
      <c r="E51" s="142">
        <f t="shared" si="3"/>
        <v>12.3</v>
      </c>
      <c r="F51" s="184"/>
      <c r="H51" s="189" t="s">
        <v>85</v>
      </c>
      <c r="I51" s="140">
        <f>I49/I40</f>
        <v>137.9187005614167</v>
      </c>
      <c r="J51" s="135">
        <f>J49/J40</f>
        <v>136.12155327579327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79</v>
      </c>
      <c r="D52" s="143">
        <f>SUM(D38:D51)</f>
        <v>1674</v>
      </c>
      <c r="E52" s="144">
        <f>SUM(E38:E51)</f>
        <v>27.9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5.486111111111111E-2</v>
      </c>
      <c r="D53" s="145">
        <f>D52/(24*60*G4)</f>
        <v>0.10568181818181818</v>
      </c>
      <c r="E53" s="146">
        <f>E52/(G4*24)</f>
        <v>0.10568181818181818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+D34+'10'!J56</f>
        <v>1699</v>
      </c>
      <c r="K56" s="200">
        <f>J56/(J40+J56/1000)/1000</f>
        <v>4.364770470619366E-3</v>
      </c>
    </row>
    <row r="57" spans="1:11">
      <c r="A57" s="175"/>
      <c r="I57" s="198" t="s">
        <v>88</v>
      </c>
      <c r="J57" s="199">
        <f>+E34+'10'!J57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2" type="noConversion"/>
  <pageMargins left="0.17" right="0.16" top="0.17" bottom="0.16" header="0" footer="0"/>
  <pageSetup paperSize="9" scale="53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topLeftCell="A31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10</v>
      </c>
      <c r="H4" s="153" t="str">
        <f>+'1'!H4</f>
        <v>.04.26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504</v>
      </c>
      <c r="O6" s="148">
        <v>800</v>
      </c>
      <c r="P6" s="148">
        <f>+O6-(O6*0.24)</f>
        <v>608</v>
      </c>
      <c r="Q6" s="148">
        <f>60*2+20</f>
        <v>140</v>
      </c>
      <c r="R6" s="148">
        <f t="shared" ref="R6:R9" si="0">+O6*Q6</f>
        <v>112000</v>
      </c>
      <c r="S6" s="148">
        <f t="shared" ref="S6:S9" si="1">+P6*Q6</f>
        <v>85120</v>
      </c>
      <c r="U6" s="148" t="s">
        <v>526</v>
      </c>
      <c r="V6" s="148">
        <v>1030</v>
      </c>
      <c r="W6" s="148">
        <v>772.5</v>
      </c>
      <c r="X6" s="148">
        <v>12</v>
      </c>
      <c r="Y6" s="148">
        <f t="shared" ref="Y6:Y8" si="2">+V6*X6</f>
        <v>12360</v>
      </c>
      <c r="Z6" s="148">
        <f t="shared" ref="Z6:Z8" si="3">+W6*X6</f>
        <v>9270</v>
      </c>
    </row>
    <row r="7" spans="1:26" ht="13.5" customHeight="1" thickBot="1">
      <c r="A7" s="751" t="s">
        <v>391</v>
      </c>
      <c r="B7" s="214" t="s">
        <v>518</v>
      </c>
      <c r="C7" s="215">
        <v>4758</v>
      </c>
      <c r="D7" s="216"/>
      <c r="E7" s="217"/>
      <c r="F7" s="227"/>
      <c r="G7" s="228" t="s">
        <v>12</v>
      </c>
      <c r="H7" s="229" t="s">
        <v>385</v>
      </c>
      <c r="I7" s="754" t="s">
        <v>529</v>
      </c>
      <c r="J7" s="213" t="str">
        <f>+'9'!J7</f>
        <v>F 11,5 VP OW</v>
      </c>
      <c r="K7" s="237"/>
      <c r="L7" s="241"/>
      <c r="M7" s="116">
        <f>+K7+'9'!M7+L7</f>
        <v>168614</v>
      </c>
      <c r="N7" s="148" t="s">
        <v>526</v>
      </c>
      <c r="O7" s="148">
        <v>1030</v>
      </c>
      <c r="P7" s="148">
        <f>+O7-(O7*0.25)</f>
        <v>772.5</v>
      </c>
      <c r="Q7" s="148">
        <f>32-20</f>
        <v>12</v>
      </c>
      <c r="R7" s="148">
        <f t="shared" si="0"/>
        <v>12360</v>
      </c>
      <c r="S7" s="148">
        <f t="shared" si="1"/>
        <v>9270</v>
      </c>
      <c r="V7" s="148">
        <v>1050</v>
      </c>
      <c r="W7" s="148">
        <v>787.5</v>
      </c>
      <c r="X7" s="148">
        <v>277</v>
      </c>
      <c r="Y7" s="148">
        <f t="shared" si="2"/>
        <v>290850</v>
      </c>
      <c r="Z7" s="148">
        <f t="shared" si="3"/>
        <v>218137.5</v>
      </c>
    </row>
    <row r="8" spans="1:26" ht="13.5" thickBot="1">
      <c r="A8" s="752"/>
      <c r="B8" s="214" t="s">
        <v>534</v>
      </c>
      <c r="C8" s="215">
        <v>4807</v>
      </c>
      <c r="D8" s="216"/>
      <c r="E8" s="218"/>
      <c r="F8" s="230"/>
      <c r="G8" s="560" t="s">
        <v>12</v>
      </c>
      <c r="H8" s="229" t="s">
        <v>412</v>
      </c>
      <c r="I8" s="755"/>
      <c r="J8" s="213" t="str">
        <f>+'9'!J8</f>
        <v>F 14 VP OW</v>
      </c>
      <c r="K8" s="238"/>
      <c r="L8" s="238"/>
      <c r="M8" s="116">
        <f>+K8+'9'!M8+L8</f>
        <v>78398</v>
      </c>
      <c r="O8" s="148">
        <v>1050</v>
      </c>
      <c r="P8" s="148">
        <f>+O8-(O8*0.25)</f>
        <v>787.5</v>
      </c>
      <c r="Q8" s="148">
        <f>60-32+240+9</f>
        <v>277</v>
      </c>
      <c r="R8" s="148">
        <f t="shared" si="0"/>
        <v>290850</v>
      </c>
      <c r="S8" s="148">
        <f t="shared" si="1"/>
        <v>218137.5</v>
      </c>
      <c r="V8" s="148">
        <v>1100</v>
      </c>
      <c r="W8" s="148">
        <v>825</v>
      </c>
      <c r="X8" s="148">
        <v>51</v>
      </c>
      <c r="Y8" s="148">
        <f t="shared" si="2"/>
        <v>56100</v>
      </c>
      <c r="Z8" s="148">
        <f t="shared" si="3"/>
        <v>42075</v>
      </c>
    </row>
    <row r="9" spans="1:26" ht="13.5" thickBot="1">
      <c r="A9" s="752"/>
      <c r="B9" s="214"/>
      <c r="C9" s="215"/>
      <c r="D9" s="216"/>
      <c r="E9" s="219"/>
      <c r="F9" s="227">
        <v>16</v>
      </c>
      <c r="G9" s="560" t="s">
        <v>12</v>
      </c>
      <c r="H9" s="232" t="s">
        <v>386</v>
      </c>
      <c r="I9" s="755"/>
      <c r="J9" s="213" t="str">
        <f>+'9'!J9</f>
        <v>F 13 VP OW</v>
      </c>
      <c r="K9" s="238"/>
      <c r="L9" s="238"/>
      <c r="M9" s="116">
        <f>+K9+'9'!M9+L9</f>
        <v>22241</v>
      </c>
      <c r="O9" s="148">
        <v>1100</v>
      </c>
      <c r="P9" s="148">
        <f>+O9-(O9*0.25)</f>
        <v>825</v>
      </c>
      <c r="Q9" s="148">
        <f>60-9</f>
        <v>51</v>
      </c>
      <c r="R9" s="148">
        <f t="shared" si="0"/>
        <v>56100</v>
      </c>
      <c r="S9" s="148">
        <f t="shared" si="1"/>
        <v>42075</v>
      </c>
      <c r="U9" s="148" t="s">
        <v>526</v>
      </c>
      <c r="V9" s="148">
        <v>1100</v>
      </c>
      <c r="W9" s="148">
        <v>819.5</v>
      </c>
      <c r="X9" s="148">
        <v>51</v>
      </c>
      <c r="Y9" s="148">
        <f t="shared" ref="Y9:Y13" si="4">+V9*X9</f>
        <v>56100</v>
      </c>
      <c r="Z9" s="148">
        <f t="shared" ref="Z9:Z13" si="5">+W9*X9</f>
        <v>41794.5</v>
      </c>
    </row>
    <row r="10" spans="1:26" ht="39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524</v>
      </c>
      <c r="I10" s="755"/>
      <c r="J10" s="213" t="str">
        <f>+'9'!J10</f>
        <v>F 12 VP OW</v>
      </c>
      <c r="K10" s="238"/>
      <c r="L10" s="238"/>
      <c r="M10" s="116">
        <f>+K10+'9'!M10+L10</f>
        <v>7645</v>
      </c>
      <c r="P10" s="148">
        <f>+O10-(O10*0.23)</f>
        <v>0</v>
      </c>
      <c r="R10" s="148">
        <f t="shared" ref="R10:R11" si="6">+O10*Q10</f>
        <v>0</v>
      </c>
      <c r="S10" s="148">
        <f t="shared" ref="S10:S11" si="7">+P10*Q10</f>
        <v>0</v>
      </c>
      <c r="V10" s="148">
        <v>1120</v>
      </c>
      <c r="W10" s="148">
        <v>834.4</v>
      </c>
      <c r="X10" s="148">
        <v>152</v>
      </c>
      <c r="Y10" s="148">
        <f t="shared" si="4"/>
        <v>170240</v>
      </c>
      <c r="Z10" s="148">
        <f t="shared" si="5"/>
        <v>126828.8</v>
      </c>
    </row>
    <row r="11" spans="1:26" ht="64.5" thickBot="1">
      <c r="A11" s="752"/>
      <c r="B11" s="214"/>
      <c r="C11" s="215"/>
      <c r="D11" s="216"/>
      <c r="E11" s="218"/>
      <c r="F11" s="227"/>
      <c r="G11" s="231"/>
      <c r="H11" s="232" t="s">
        <v>525</v>
      </c>
      <c r="I11" s="755"/>
      <c r="J11" s="213" t="str">
        <f>+'9'!J11</f>
        <v>F 16 VP OW</v>
      </c>
      <c r="K11" s="238"/>
      <c r="L11" s="238"/>
      <c r="M11" s="116">
        <f>+K11+'9'!M11+L11</f>
        <v>37034</v>
      </c>
      <c r="P11" s="148">
        <f>+O11-(O11*0.23)</f>
        <v>0</v>
      </c>
      <c r="R11" s="148">
        <f t="shared" si="6"/>
        <v>0</v>
      </c>
      <c r="S11" s="148">
        <f t="shared" si="7"/>
        <v>0</v>
      </c>
      <c r="V11" s="148">
        <v>1100</v>
      </c>
      <c r="W11" s="148">
        <v>819.5</v>
      </c>
      <c r="X11" s="148">
        <v>137</v>
      </c>
      <c r="Y11" s="148">
        <f t="shared" si="4"/>
        <v>150700</v>
      </c>
      <c r="Z11" s="148">
        <f t="shared" si="5"/>
        <v>112271.5</v>
      </c>
    </row>
    <row r="12" spans="1:2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+'9'!J12</f>
        <v>F 15 VP OW</v>
      </c>
      <c r="K12" s="238"/>
      <c r="L12" s="238"/>
      <c r="M12" s="116">
        <f>+K12+'9'!M12+L12</f>
        <v>3202</v>
      </c>
      <c r="V12" s="148">
        <v>1080</v>
      </c>
      <c r="W12" s="148">
        <v>804.6</v>
      </c>
      <c r="X12" s="148">
        <v>80</v>
      </c>
      <c r="Y12" s="148">
        <f t="shared" si="4"/>
        <v>86400</v>
      </c>
      <c r="Z12" s="148">
        <f t="shared" si="5"/>
        <v>64368</v>
      </c>
    </row>
    <row r="13" spans="1:2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+'9'!J13</f>
        <v>T 14 VP OW</v>
      </c>
      <c r="K13" s="238">
        <f>+C7</f>
        <v>4758</v>
      </c>
      <c r="L13" s="238"/>
      <c r="M13" s="116">
        <f>+K13+'9'!M13+L13</f>
        <v>5600</v>
      </c>
      <c r="V13" s="148">
        <v>1100</v>
      </c>
      <c r="W13" s="148">
        <v>819.5</v>
      </c>
      <c r="X13" s="148">
        <v>60</v>
      </c>
      <c r="Y13" s="148">
        <f t="shared" si="4"/>
        <v>66000</v>
      </c>
      <c r="Z13" s="148">
        <f t="shared" si="5"/>
        <v>49170</v>
      </c>
    </row>
    <row r="14" spans="1:26" ht="13.5" thickBot="1">
      <c r="A14" s="753"/>
      <c r="B14" s="164" t="s">
        <v>2</v>
      </c>
      <c r="C14" s="98">
        <f>SUM(C7:C13)</f>
        <v>9565</v>
      </c>
      <c r="D14" s="110">
        <f>SUM(D7:D13)</f>
        <v>0</v>
      </c>
      <c r="E14" s="111">
        <f>SUM(E5:E13)</f>
        <v>0</v>
      </c>
      <c r="F14" s="115">
        <f>SUM(F7:F13)</f>
        <v>16</v>
      </c>
      <c r="G14" s="158"/>
      <c r="H14" s="165"/>
      <c r="I14" s="166"/>
      <c r="J14" s="213" t="s">
        <v>534</v>
      </c>
      <c r="K14" s="238">
        <f>+C8+C16+C25</f>
        <v>25493</v>
      </c>
      <c r="L14" s="238"/>
      <c r="M14" s="116">
        <f>+K14+'9'!M14+L14</f>
        <v>25493</v>
      </c>
      <c r="Q14" s="175">
        <f>SUM(Q6:Q11)</f>
        <v>480</v>
      </c>
      <c r="R14" s="175">
        <f>SUM(R6:R11)</f>
        <v>471310</v>
      </c>
      <c r="S14" s="175">
        <f>SUM(S6:S11)</f>
        <v>354602.5</v>
      </c>
    </row>
    <row r="15" spans="1:26" ht="13.5" customHeight="1" thickBot="1">
      <c r="A15" s="751" t="s">
        <v>432</v>
      </c>
      <c r="B15" s="164"/>
      <c r="C15" s="112">
        <f>C14/($C$23+$D$23+$E$23)</f>
        <v>0.94413187247063468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528</v>
      </c>
      <c r="J15" s="213">
        <f>+'9'!J15</f>
        <v>0</v>
      </c>
      <c r="K15" s="238"/>
      <c r="L15" s="238"/>
      <c r="M15" s="116">
        <f>+K15+'9'!M15+L15</f>
        <v>0</v>
      </c>
      <c r="Q15" s="148">
        <f>480-Q14</f>
        <v>0</v>
      </c>
      <c r="R15" s="175">
        <f>+R14/Q14</f>
        <v>981.89583333333337</v>
      </c>
      <c r="S15" s="175">
        <f>+S14/Q14</f>
        <v>738.75520833333337</v>
      </c>
    </row>
    <row r="16" spans="1:26" ht="13.5" thickBot="1">
      <c r="A16" s="757"/>
      <c r="B16" s="214" t="s">
        <v>534</v>
      </c>
      <c r="C16" s="221">
        <v>9529</v>
      </c>
      <c r="D16" s="222">
        <v>602</v>
      </c>
      <c r="E16" s="223"/>
      <c r="F16" s="230"/>
      <c r="G16" s="560" t="s">
        <v>12</v>
      </c>
      <c r="H16" s="229" t="s">
        <v>412</v>
      </c>
      <c r="I16" s="755"/>
      <c r="J16" s="213">
        <f>+'9'!J16</f>
        <v>0</v>
      </c>
      <c r="K16" s="228"/>
      <c r="L16" s="228"/>
      <c r="M16" s="116">
        <f>+K16+'9'!M16+L16</f>
        <v>0</v>
      </c>
    </row>
    <row r="17" spans="1:26" ht="13.5" thickBot="1">
      <c r="A17" s="757"/>
      <c r="B17" s="214"/>
      <c r="C17" s="215"/>
      <c r="D17" s="216"/>
      <c r="E17" s="224"/>
      <c r="F17" s="227">
        <v>27</v>
      </c>
      <c r="G17" s="560" t="s">
        <v>12</v>
      </c>
      <c r="H17" s="232" t="s">
        <v>427</v>
      </c>
      <c r="I17" s="755"/>
      <c r="J17" s="213">
        <f>+'9'!J17</f>
        <v>0</v>
      </c>
      <c r="K17" s="228"/>
      <c r="L17" s="228"/>
      <c r="M17" s="116">
        <f>+K17+'9'!M17+L17</f>
        <v>0</v>
      </c>
      <c r="N17" s="148" t="s">
        <v>526</v>
      </c>
      <c r="O17" s="148">
        <v>1100</v>
      </c>
      <c r="P17" s="148">
        <f>+O17-(O17*0.255)</f>
        <v>819.5</v>
      </c>
      <c r="Q17" s="148">
        <v>51</v>
      </c>
      <c r="R17" s="148">
        <f t="shared" ref="R17:R22" si="8">+O17*Q17</f>
        <v>56100</v>
      </c>
      <c r="S17" s="148">
        <f t="shared" ref="S17:S22" si="9">+P17*Q17</f>
        <v>41794.5</v>
      </c>
    </row>
    <row r="18" spans="1:26" ht="25.5" customHeight="1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520</v>
      </c>
      <c r="I18" s="755"/>
      <c r="J18" s="213">
        <f>+'9'!J18</f>
        <v>0</v>
      </c>
      <c r="K18" s="238"/>
      <c r="L18" s="238"/>
      <c r="M18" s="116">
        <f>+K18+'9'!M18+L18</f>
        <v>0</v>
      </c>
      <c r="O18" s="148">
        <v>1120</v>
      </c>
      <c r="P18" s="148">
        <f t="shared" ref="P18:P21" si="10">+O18-(O18*0.255)</f>
        <v>834.4</v>
      </c>
      <c r="Q18" s="148">
        <f>60-51+120+23</f>
        <v>152</v>
      </c>
      <c r="R18" s="148">
        <f t="shared" si="8"/>
        <v>170240</v>
      </c>
      <c r="S18" s="148">
        <f t="shared" si="9"/>
        <v>126828.8</v>
      </c>
      <c r="U18" s="148" t="s">
        <v>526</v>
      </c>
      <c r="V18" s="148">
        <v>1100</v>
      </c>
      <c r="W18" s="148">
        <v>825</v>
      </c>
      <c r="X18" s="148">
        <v>480</v>
      </c>
      <c r="Y18" s="148">
        <f>+V18*X18</f>
        <v>528000</v>
      </c>
      <c r="Z18" s="148">
        <f>+W18*X18</f>
        <v>396000</v>
      </c>
    </row>
    <row r="19" spans="1:26" ht="118.5" customHeight="1" thickBot="1">
      <c r="A19" s="757"/>
      <c r="B19" s="214"/>
      <c r="C19" s="215"/>
      <c r="D19" s="216"/>
      <c r="E19" s="224"/>
      <c r="F19" s="234"/>
      <c r="G19" s="231"/>
      <c r="H19" s="232" t="s">
        <v>521</v>
      </c>
      <c r="I19" s="755"/>
      <c r="J19" s="213">
        <f>+'9'!J19</f>
        <v>0</v>
      </c>
      <c r="K19" s="238"/>
      <c r="L19" s="238"/>
      <c r="M19" s="116">
        <f>+K19+'9'!M19+L19</f>
        <v>0</v>
      </c>
      <c r="O19" s="148">
        <v>1100</v>
      </c>
      <c r="P19" s="148">
        <f t="shared" si="10"/>
        <v>819.5</v>
      </c>
      <c r="Q19" s="148">
        <f>60-23+60+40</f>
        <v>137</v>
      </c>
      <c r="R19" s="148">
        <f t="shared" si="8"/>
        <v>150700</v>
      </c>
      <c r="S19" s="148">
        <f t="shared" si="9"/>
        <v>112271.5</v>
      </c>
      <c r="W19" s="148">
        <f>+V19-(V19*0.23)</f>
        <v>0</v>
      </c>
      <c r="Y19" s="148">
        <f>+V19*X19</f>
        <v>0</v>
      </c>
      <c r="Z19" s="148">
        <f>+W19*X19</f>
        <v>0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+'9'!J20</f>
        <v>0</v>
      </c>
      <c r="K20" s="239"/>
      <c r="L20" s="239"/>
      <c r="M20" s="116">
        <f>+K20+'9'!M20+L20</f>
        <v>0</v>
      </c>
      <c r="O20" s="148">
        <v>1080</v>
      </c>
      <c r="P20" s="148">
        <f t="shared" si="10"/>
        <v>804.6</v>
      </c>
      <c r="Q20" s="148">
        <f>60-40+60</f>
        <v>80</v>
      </c>
      <c r="R20" s="148">
        <f t="shared" si="8"/>
        <v>86400</v>
      </c>
      <c r="S20" s="148">
        <f t="shared" si="9"/>
        <v>64368</v>
      </c>
      <c r="W20" s="148">
        <f>+V20-(V20*0.23)</f>
        <v>0</v>
      </c>
      <c r="Y20" s="148">
        <f>+V20*X20</f>
        <v>0</v>
      </c>
      <c r="Z20" s="148">
        <f>+W20*X20</f>
        <v>0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+'9'!J21</f>
        <v>0</v>
      </c>
      <c r="K21" s="238"/>
      <c r="L21" s="238"/>
      <c r="M21" s="116">
        <f>+K21+'9'!M21+L21</f>
        <v>0</v>
      </c>
      <c r="O21" s="148">
        <v>1100</v>
      </c>
      <c r="P21" s="148">
        <f t="shared" si="10"/>
        <v>819.5</v>
      </c>
      <c r="Q21" s="148">
        <v>60</v>
      </c>
      <c r="R21" s="148">
        <f t="shared" si="8"/>
        <v>66000</v>
      </c>
      <c r="S21" s="148">
        <f t="shared" si="9"/>
        <v>49170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+'9'!J22</f>
        <v>0</v>
      </c>
      <c r="K22" s="238"/>
      <c r="L22" s="238"/>
      <c r="M22" s="116">
        <f>+K22+'9'!M22+L22</f>
        <v>0</v>
      </c>
      <c r="P22" s="148">
        <f>+O22-(O22*0.23)</f>
        <v>0</v>
      </c>
      <c r="R22" s="148">
        <f t="shared" si="8"/>
        <v>0</v>
      </c>
      <c r="S22" s="148">
        <f t="shared" si="9"/>
        <v>0</v>
      </c>
    </row>
    <row r="23" spans="1:26" ht="13.5" thickBot="1">
      <c r="A23" s="758"/>
      <c r="B23" s="167" t="s">
        <v>2</v>
      </c>
      <c r="C23" s="99">
        <f>SUM(C16:C22)</f>
        <v>9529</v>
      </c>
      <c r="D23" s="110">
        <f>SUM(D16:D22)</f>
        <v>602</v>
      </c>
      <c r="E23" s="111">
        <f>SUM(E18:E22)</f>
        <v>0</v>
      </c>
      <c r="F23" s="115">
        <f>SUM(F15:F22)</f>
        <v>27</v>
      </c>
      <c r="G23" s="158"/>
      <c r="H23" s="165"/>
      <c r="I23" s="168"/>
      <c r="J23" s="213">
        <f>+'9'!J23</f>
        <v>0</v>
      </c>
      <c r="K23" s="238"/>
      <c r="L23" s="238"/>
      <c r="M23" s="116">
        <f>+K23+'9'!M23+L23</f>
        <v>0</v>
      </c>
      <c r="X23" s="175">
        <f>SUM(X6:X20)</f>
        <v>1300</v>
      </c>
      <c r="Y23" s="175">
        <f>SUM(Y6:Y20)</f>
        <v>1416750</v>
      </c>
      <c r="Z23" s="175">
        <f>SUM(Z6:Z20)</f>
        <v>1059915.3</v>
      </c>
    </row>
    <row r="24" spans="1:26" ht="13.5" customHeight="1" thickBot="1">
      <c r="A24" s="751" t="s">
        <v>390</v>
      </c>
      <c r="B24" s="169"/>
      <c r="C24" s="112">
        <f>C23/($C$23+$D$23+$E$23)</f>
        <v>0.9405784226631132</v>
      </c>
      <c r="D24" s="113">
        <f>D23/($C$23+$D$23+$E$23)</f>
        <v>5.9421577336886786E-2</v>
      </c>
      <c r="E24" s="114">
        <f>E23/($C$23+$D$23+$E$23)</f>
        <v>0</v>
      </c>
      <c r="F24" s="227"/>
      <c r="G24" s="228" t="s">
        <v>12</v>
      </c>
      <c r="H24" s="229" t="s">
        <v>385</v>
      </c>
      <c r="I24" s="754" t="s">
        <v>527</v>
      </c>
      <c r="J24" s="213">
        <f>+'8'!J24</f>
        <v>0</v>
      </c>
      <c r="K24" s="238"/>
      <c r="L24" s="238"/>
      <c r="M24" s="116">
        <f>+K24+'9'!M24+L24</f>
        <v>0</v>
      </c>
      <c r="X24" s="148">
        <f>480-X23</f>
        <v>-820</v>
      </c>
      <c r="Y24" s="175">
        <f>+Y23/X23</f>
        <v>1089.8076923076924</v>
      </c>
      <c r="Z24" s="175">
        <f>+Z23/X23</f>
        <v>815.31946153846161</v>
      </c>
    </row>
    <row r="25" spans="1:26" ht="13.5" customHeight="1" thickBot="1">
      <c r="A25" s="757"/>
      <c r="B25" s="214" t="s">
        <v>534</v>
      </c>
      <c r="C25" s="225">
        <v>11157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+'8'!J25</f>
        <v>0</v>
      </c>
      <c r="K25" s="238"/>
      <c r="L25" s="238"/>
      <c r="M25" s="116">
        <f>+K25+'9'!M25+L25</f>
        <v>0</v>
      </c>
      <c r="Q25" s="175">
        <f>SUM(Q17:Q22)</f>
        <v>480</v>
      </c>
      <c r="R25" s="175">
        <f>SUM(R17:R22)</f>
        <v>529440</v>
      </c>
      <c r="S25" s="175">
        <f>SUM(S17:S22)</f>
        <v>394432.8</v>
      </c>
    </row>
    <row r="26" spans="1:26" ht="13.5" thickBot="1">
      <c r="A26" s="757"/>
      <c r="B26" s="214"/>
      <c r="C26" s="225"/>
      <c r="D26" s="216"/>
      <c r="E26" s="226"/>
      <c r="F26" s="227">
        <v>16</v>
      </c>
      <c r="G26" s="560" t="s">
        <v>12</v>
      </c>
      <c r="H26" s="232" t="s">
        <v>386</v>
      </c>
      <c r="I26" s="755"/>
      <c r="J26" s="213">
        <f>+'8'!J26</f>
        <v>0</v>
      </c>
      <c r="K26" s="238"/>
      <c r="L26" s="238"/>
      <c r="M26" s="116">
        <f>+K26+'9'!M26+L26</f>
        <v>0</v>
      </c>
      <c r="Q26" s="148">
        <f>480-Q25</f>
        <v>0</v>
      </c>
      <c r="R26" s="175">
        <f>+R25/Q25</f>
        <v>1103</v>
      </c>
      <c r="S26" s="175">
        <f>+S25/Q25</f>
        <v>821.73500000000001</v>
      </c>
    </row>
    <row r="27" spans="1:26" ht="29.25" customHeight="1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522</v>
      </c>
      <c r="I27" s="755"/>
      <c r="J27" s="213">
        <f>+'8'!J27</f>
        <v>0</v>
      </c>
      <c r="K27" s="238"/>
      <c r="L27" s="238"/>
      <c r="M27" s="116">
        <f>+K27+'9'!M27+L27</f>
        <v>0</v>
      </c>
      <c r="N27" s="148" t="s">
        <v>526</v>
      </c>
      <c r="O27" s="148">
        <v>1100</v>
      </c>
      <c r="P27" s="148">
        <f>+O27-(O27*0.25)</f>
        <v>825</v>
      </c>
      <c r="Q27" s="148">
        <v>480</v>
      </c>
      <c r="R27" s="148">
        <f t="shared" ref="R27:R32" si="11">+O27*Q27</f>
        <v>528000</v>
      </c>
      <c r="S27" s="148">
        <f t="shared" ref="S27:S32" si="12">+P27*Q27</f>
        <v>396000</v>
      </c>
    </row>
    <row r="28" spans="1:26" ht="77.25" thickBot="1">
      <c r="A28" s="757"/>
      <c r="B28" s="214"/>
      <c r="C28" s="215"/>
      <c r="D28" s="216"/>
      <c r="E28" s="224"/>
      <c r="F28" s="230"/>
      <c r="G28" s="231"/>
      <c r="H28" s="232" t="s">
        <v>523</v>
      </c>
      <c r="I28" s="755"/>
      <c r="J28" s="213">
        <f>+'8'!J28</f>
        <v>0</v>
      </c>
      <c r="K28" s="238"/>
      <c r="L28" s="238"/>
      <c r="M28" s="116">
        <f>+K28+'9'!M28+L28</f>
        <v>0</v>
      </c>
    </row>
    <row r="29" spans="1:26" ht="13.5" customHeight="1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+'8'!J29</f>
        <v>0</v>
      </c>
      <c r="K29" s="238"/>
      <c r="L29" s="238"/>
      <c r="M29" s="116">
        <f>+K29+'9'!M29+L29</f>
        <v>0</v>
      </c>
    </row>
    <row r="30" spans="1:26" ht="13.5" customHeight="1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+'8'!J30</f>
        <v>0</v>
      </c>
      <c r="K30" s="238"/>
      <c r="L30" s="238"/>
      <c r="M30" s="116">
        <f>+K30+'9'!M30+L30</f>
        <v>0</v>
      </c>
    </row>
    <row r="31" spans="1:26" ht="13.5" customHeight="1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+'8'!J31</f>
        <v>0</v>
      </c>
      <c r="K31" s="238"/>
      <c r="L31" s="238"/>
      <c r="M31" s="116">
        <f>+K31+'9'!M31+L31</f>
        <v>0</v>
      </c>
    </row>
    <row r="32" spans="1:26" ht="13.5" customHeight="1" thickBot="1">
      <c r="A32" s="758"/>
      <c r="B32" s="164" t="s">
        <v>2</v>
      </c>
      <c r="C32" s="98">
        <f>SUM(C25:C31)</f>
        <v>11157</v>
      </c>
      <c r="D32" s="99">
        <f>SUM(D25:D31)</f>
        <v>0</v>
      </c>
      <c r="E32" s="100">
        <f>SUM(E25:E31)</f>
        <v>0</v>
      </c>
      <c r="F32" s="101">
        <f>SUM(F24:F31)</f>
        <v>16</v>
      </c>
      <c r="G32" s="170"/>
      <c r="H32" s="171"/>
      <c r="I32" s="168"/>
      <c r="J32" s="213">
        <f>+'8'!J32</f>
        <v>0</v>
      </c>
      <c r="K32" s="240"/>
      <c r="L32" s="242"/>
      <c r="M32" s="116">
        <f>+K32+'9'!M32+L32</f>
        <v>0</v>
      </c>
      <c r="P32" s="148">
        <f>+O32-(O32*0.23)</f>
        <v>0</v>
      </c>
      <c r="R32" s="148">
        <f t="shared" si="11"/>
        <v>0</v>
      </c>
      <c r="S32" s="148">
        <f t="shared" si="12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30251</v>
      </c>
      <c r="D34" s="106">
        <f>D14+D23+D32</f>
        <v>602</v>
      </c>
      <c r="E34" s="106">
        <f>E14+E23+E32</f>
        <v>0</v>
      </c>
      <c r="F34" s="107">
        <f>F14+F23+F32</f>
        <v>59</v>
      </c>
      <c r="H34" s="177"/>
      <c r="I34" s="177"/>
      <c r="J34" s="122" t="s">
        <v>28</v>
      </c>
      <c r="K34" s="123">
        <f>SUM(K7:K32)</f>
        <v>30251</v>
      </c>
      <c r="L34" s="211">
        <f>SUM(L7:L32)</f>
        <v>0</v>
      </c>
      <c r="M34" s="119">
        <f>SUM(M7:M32)</f>
        <v>348227</v>
      </c>
    </row>
    <row r="35" spans="1:19" ht="13.5" thickBot="1">
      <c r="A35" s="178"/>
      <c r="B35" s="179"/>
      <c r="C35" s="103">
        <f>C34/($C$34+$D$34+$E$34)</f>
        <v>0.98048812109033157</v>
      </c>
      <c r="D35" s="103">
        <f>D34/($C$34+$D$34+$E$34)</f>
        <v>1.9511878909668427E-2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528000</v>
      </c>
      <c r="S35" s="175">
        <f>SUM(S27:S32)</f>
        <v>396000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0</v>
      </c>
      <c r="R36" s="175">
        <f>+R35/Q35</f>
        <v>1100</v>
      </c>
      <c r="S36" s="175">
        <f>+S35/Q35</f>
        <v>825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(14*140+13*1300)/1440*G42*2.74*1440/1000000</f>
        <v>41.09118206730556</v>
      </c>
      <c r="J37" s="334">
        <f>+I37+'9'!J37</f>
        <v>407.43104086380083</v>
      </c>
      <c r="K37" s="125" t="s">
        <v>63</v>
      </c>
      <c r="N37" s="148" t="s">
        <v>504</v>
      </c>
      <c r="O37" s="148">
        <v>800</v>
      </c>
      <c r="P37" s="148">
        <v>608</v>
      </c>
      <c r="Q37" s="148">
        <v>140</v>
      </c>
    </row>
    <row r="38" spans="1:19" ht="17.45" customHeight="1">
      <c r="A38" s="763" t="s">
        <v>12</v>
      </c>
      <c r="B38" s="764"/>
      <c r="C38" s="163">
        <f>SUMIF($G$7:$G$31,"Process",$F$7:$F$31)</f>
        <v>59</v>
      </c>
      <c r="D38" s="117">
        <f>+C38+'9'!D38</f>
        <v>651</v>
      </c>
      <c r="E38" s="142">
        <f t="shared" ref="E38:E51" si="13">D38/60</f>
        <v>10.85</v>
      </c>
      <c r="F38" s="321">
        <v>981.89583333333337</v>
      </c>
      <c r="G38" s="321">
        <v>738.75520833333337</v>
      </c>
      <c r="H38" s="186" t="s">
        <v>64</v>
      </c>
      <c r="I38" s="244">
        <f>12.16+12.587+11.638</f>
        <v>36.384999999999998</v>
      </c>
      <c r="J38" s="335">
        <f>+I38+'9'!J38</f>
        <v>364.71699999999998</v>
      </c>
      <c r="K38" s="127" t="s">
        <v>63</v>
      </c>
      <c r="N38" s="148" t="s">
        <v>526</v>
      </c>
      <c r="O38" s="148">
        <v>1089.8076923076924</v>
      </c>
      <c r="P38" s="148">
        <v>815.31946153846161</v>
      </c>
      <c r="Q38" s="148">
        <v>1300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+C39+'9'!D39</f>
        <v>0</v>
      </c>
      <c r="E39" s="142">
        <f t="shared" si="13"/>
        <v>0</v>
      </c>
      <c r="F39" s="321">
        <v>1103</v>
      </c>
      <c r="G39" s="321">
        <v>821.73500000000001</v>
      </c>
      <c r="H39" s="186" t="s">
        <v>65</v>
      </c>
      <c r="I39" s="141"/>
      <c r="J39" s="336">
        <f>J37/G4</f>
        <v>40.743104086380086</v>
      </c>
      <c r="K39" s="129" t="s">
        <v>63</v>
      </c>
      <c r="Q39" s="148">
        <f>+Q37+Q38</f>
        <v>1440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+C40+'9'!D40</f>
        <v>206</v>
      </c>
      <c r="E40" s="142">
        <f t="shared" si="13"/>
        <v>3.4333333333333331</v>
      </c>
      <c r="F40" s="321">
        <v>1100</v>
      </c>
      <c r="G40" s="321">
        <v>825</v>
      </c>
      <c r="H40" s="186" t="s">
        <v>67</v>
      </c>
      <c r="I40" s="117">
        <f>+(K34+L34)/1000</f>
        <v>30.251000000000001</v>
      </c>
      <c r="J40" s="337">
        <f>+I40+'9'!J40</f>
        <v>348.22699999999998</v>
      </c>
      <c r="K40" s="129" t="s">
        <v>63</v>
      </c>
    </row>
    <row r="41" spans="1:19" ht="17.45" customHeight="1">
      <c r="A41" s="765" t="s">
        <v>68</v>
      </c>
      <c r="B41" s="766"/>
      <c r="C41" s="163">
        <f>SUMIF($G$7:$G$23,"Electrical",$F$7:$F$23)</f>
        <v>0</v>
      </c>
      <c r="D41" s="117">
        <f>+C41+'9'!D41</f>
        <v>0</v>
      </c>
      <c r="E41" s="142">
        <f t="shared" si="13"/>
        <v>0</v>
      </c>
      <c r="F41" s="321"/>
      <c r="G41" s="321"/>
      <c r="H41" s="186" t="s">
        <v>69</v>
      </c>
      <c r="I41" s="141"/>
      <c r="J41" s="336">
        <f>J40/G4</f>
        <v>34.822699999999998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SUMIF($G$7:$G$23,"Instrument",$F$7:$F$23)</f>
        <v>0</v>
      </c>
      <c r="D42" s="117">
        <f>+C42+'9'!D42</f>
        <v>0</v>
      </c>
      <c r="E42" s="142">
        <f t="shared" si="13"/>
        <v>0</v>
      </c>
      <c r="F42" s="321">
        <f>+(480*F38+480*F39+480*F40)/1440</f>
        <v>1061.6319444444443</v>
      </c>
      <c r="G42" s="321">
        <f>+(480*G38+480*G39+480*G40)/1440</f>
        <v>795.16340277777783</v>
      </c>
      <c r="H42" s="186" t="s">
        <v>70</v>
      </c>
      <c r="I42" s="245" t="s">
        <v>530</v>
      </c>
      <c r="J42" s="338"/>
      <c r="K42" s="129" t="s">
        <v>71</v>
      </c>
    </row>
    <row r="43" spans="1:19" ht="17.45" customHeight="1">
      <c r="A43" s="765" t="s">
        <v>72</v>
      </c>
      <c r="B43" s="766"/>
      <c r="C43" s="163">
        <f>SUMIF($G$7:$G$23,"Water",$F$7:$F$23)</f>
        <v>0</v>
      </c>
      <c r="D43" s="117">
        <f>+C43+'9'!D43</f>
        <v>0</v>
      </c>
      <c r="E43" s="142">
        <f t="shared" si="13"/>
        <v>0</v>
      </c>
      <c r="F43" s="321"/>
      <c r="G43" s="322"/>
      <c r="H43" s="187" t="s">
        <v>73</v>
      </c>
      <c r="I43" s="117">
        <f>+Report1!Z18</f>
        <v>59.3</v>
      </c>
      <c r="J43" s="339">
        <f>+I43+'9'!J43</f>
        <v>520.5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SUMIF($G$7:$G$23,"PLN",$F$7:$F$23)</f>
        <v>0</v>
      </c>
      <c r="D44" s="117">
        <f>+C44+'9'!D44</f>
        <v>0</v>
      </c>
      <c r="E44" s="142">
        <f t="shared" si="13"/>
        <v>0</v>
      </c>
      <c r="F44" s="321"/>
      <c r="G44" s="322"/>
      <c r="H44" s="187" t="s">
        <v>74</v>
      </c>
      <c r="I44" s="117">
        <f>I43/I38</f>
        <v>1.6297924969080666</v>
      </c>
      <c r="J44" s="339">
        <f>J43/J38</f>
        <v>1.4271339147887268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SUMIF($G$7:$G$23,"Boiler",$F$7:$F$23)</f>
        <v>0</v>
      </c>
      <c r="D45" s="117">
        <f>+C45+'9'!D45</f>
        <v>0</v>
      </c>
      <c r="E45" s="142">
        <f t="shared" si="13"/>
        <v>0</v>
      </c>
      <c r="F45" s="321"/>
      <c r="G45" s="324"/>
      <c r="H45" s="187" t="s">
        <v>75</v>
      </c>
      <c r="I45" s="117">
        <f>I43/I40</f>
        <v>1.9602657763379721</v>
      </c>
      <c r="J45" s="339">
        <f>J43/J40</f>
        <v>1.4947146545213326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SUMIF($G$7:$G$23,"Gas",$F$7:$F$23)</f>
        <v>0</v>
      </c>
      <c r="D46" s="117">
        <f>+C46+'9'!D46</f>
        <v>0</v>
      </c>
      <c r="E46" s="142">
        <f t="shared" si="13"/>
        <v>0</v>
      </c>
      <c r="F46" s="321"/>
      <c r="G46" s="322"/>
      <c r="H46" s="187" t="s">
        <v>77</v>
      </c>
      <c r="I46" s="139">
        <f>+SUMIF(Listrik!P17,"&gt;0")</f>
        <v>33661.139999998908</v>
      </c>
      <c r="J46" s="339">
        <f>+I46+'9'!J46</f>
        <v>346572.96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SUMIF($G$7:$G$23,"Gas",$F$7:$F$23)</f>
        <v>0</v>
      </c>
      <c r="D47" s="117">
        <f>+C47+'9'!D47</f>
        <v>0</v>
      </c>
      <c r="E47" s="142">
        <f t="shared" si="13"/>
        <v>0</v>
      </c>
      <c r="F47" s="321"/>
      <c r="G47" s="322"/>
      <c r="H47" s="187" t="s">
        <v>80</v>
      </c>
      <c r="I47" s="117">
        <f>I46/I38</f>
        <v>925.13783152394967</v>
      </c>
      <c r="J47" s="339">
        <f>J46/J38</f>
        <v>950.251729423087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SUMIF($G$7:$G$23,"Start Up",$F$7:$F$23)</f>
        <v>0</v>
      </c>
      <c r="D48" s="117">
        <f>+C48+'9'!D48</f>
        <v>0</v>
      </c>
      <c r="E48" s="142">
        <f t="shared" si="13"/>
        <v>0</v>
      </c>
      <c r="F48" s="321"/>
      <c r="G48" s="322"/>
      <c r="H48" s="187" t="s">
        <v>81</v>
      </c>
      <c r="I48" s="117">
        <f>I46/I40</f>
        <v>1112.7281742751945</v>
      </c>
      <c r="J48" s="339">
        <f>J46/J40</f>
        <v>995.25010984214327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SUMIF($G$7:$G$23,"Others",$F$7:$F$23)</f>
        <v>0</v>
      </c>
      <c r="D49" s="117">
        <f>+C49+'9'!D49</f>
        <v>0</v>
      </c>
      <c r="E49" s="142">
        <f t="shared" si="13"/>
        <v>0</v>
      </c>
      <c r="F49" s="184"/>
      <c r="H49" s="187" t="s">
        <v>269</v>
      </c>
      <c r="I49" s="117">
        <f>+Report1!T18</f>
        <v>4963.7774938274069</v>
      </c>
      <c r="J49" s="339">
        <f>+I49+'9'!J49</f>
        <v>47330.523721267949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SUMIF($G$7:$G$23,"Steam",$F$7:$F$23)</f>
        <v>0</v>
      </c>
      <c r="D50" s="117">
        <f>+C50+'9'!D50</f>
        <v>0</v>
      </c>
      <c r="E50" s="142">
        <f t="shared" si="13"/>
        <v>0</v>
      </c>
      <c r="F50" s="184"/>
      <c r="H50" s="187" t="s">
        <v>83</v>
      </c>
      <c r="I50" s="139">
        <f>I49/I38</f>
        <v>136.42373213762284</v>
      </c>
      <c r="J50" s="339">
        <f>J49/J38</f>
        <v>129.77328646942135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SUMIF($G$7:$G$23,"Planned shut",$F$7:$F$23)</f>
        <v>0</v>
      </c>
      <c r="D51" s="117">
        <f>+C51+'9'!D51</f>
        <v>738</v>
      </c>
      <c r="E51" s="142">
        <f t="shared" si="13"/>
        <v>12.3</v>
      </c>
      <c r="F51" s="184"/>
      <c r="H51" s="189" t="s">
        <v>85</v>
      </c>
      <c r="I51" s="140">
        <f>I49/I40</f>
        <v>164.0863936341743</v>
      </c>
      <c r="J51" s="340">
        <f>J49/J40</f>
        <v>135.9185925309294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59</v>
      </c>
      <c r="D52" s="143">
        <f>SUM(D38:D51)</f>
        <v>1595</v>
      </c>
      <c r="E52" s="144">
        <f>SUM(E38:E51)</f>
        <v>26.583333333333336</v>
      </c>
      <c r="F52" s="184"/>
      <c r="H52" s="190"/>
      <c r="I52" s="191"/>
      <c r="J52" s="341"/>
      <c r="K52" s="138"/>
    </row>
    <row r="53" spans="1:11" ht="13.5" thickBot="1">
      <c r="A53" s="769"/>
      <c r="B53" s="770"/>
      <c r="C53" s="145">
        <f>C52/(24*60)</f>
        <v>4.0972222222222222E-2</v>
      </c>
      <c r="D53" s="145">
        <f>D52/(24*60*G4)</f>
        <v>0.11076388888888888</v>
      </c>
      <c r="E53" s="146">
        <f>E52/(G4*24)</f>
        <v>0.1107638888888889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+D34+'9'!J56</f>
        <v>1699</v>
      </c>
      <c r="K56" s="200">
        <f>J56/(J40+J56/1000)/1000</f>
        <v>4.8553122660219585E-3</v>
      </c>
    </row>
    <row r="57" spans="1:11">
      <c r="A57" s="175"/>
      <c r="I57" s="198" t="s">
        <v>88</v>
      </c>
      <c r="J57" s="199"/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  <mergeCell ref="A53:B53"/>
    <mergeCell ref="A49:B49"/>
    <mergeCell ref="A47:B47"/>
    <mergeCell ref="A48:B48"/>
    <mergeCell ref="A50:B50"/>
    <mergeCell ref="A52:B52"/>
    <mergeCell ref="A51:B51"/>
    <mergeCell ref="A46:B46"/>
    <mergeCell ref="A42:B42"/>
    <mergeCell ref="A43:B43"/>
    <mergeCell ref="A44:B44"/>
    <mergeCell ref="A45:B45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B10" zoomScale="80" zoomScaleNormal="75" zoomScaleSheetLayoutView="80" workbookViewId="0">
      <selection activeCell="H24" sqref="H24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10.5703125" style="148" bestFit="1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9</v>
      </c>
      <c r="H4" s="153" t="str">
        <f>+'1'!H4</f>
        <v>.04.26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501</v>
      </c>
      <c r="O6" s="148">
        <v>1070</v>
      </c>
      <c r="P6" s="148">
        <f>+O6-(O6*0.25)</f>
        <v>802.5</v>
      </c>
      <c r="Q6" s="148">
        <f>60+7</f>
        <v>67</v>
      </c>
      <c r="R6" s="148">
        <f t="shared" ref="R6:R7" si="0">+O6*Q6</f>
        <v>71690</v>
      </c>
      <c r="S6" s="148">
        <f t="shared" ref="S6:S7" si="1">+P6*Q6</f>
        <v>53767.5</v>
      </c>
    </row>
    <row r="7" spans="1:19" ht="13.5" customHeight="1" thickBot="1">
      <c r="A7" s="751" t="s">
        <v>391</v>
      </c>
      <c r="B7" s="214" t="s">
        <v>519</v>
      </c>
      <c r="C7" s="215">
        <v>3202</v>
      </c>
      <c r="D7" s="216"/>
      <c r="E7" s="217"/>
      <c r="F7" s="227"/>
      <c r="G7" s="228" t="s">
        <v>12</v>
      </c>
      <c r="H7" s="229" t="s">
        <v>385</v>
      </c>
      <c r="I7" s="754" t="s">
        <v>506</v>
      </c>
      <c r="J7" s="213" t="str">
        <f>+'8'!J7</f>
        <v>F 11,5 VP OW</v>
      </c>
      <c r="K7" s="237"/>
      <c r="L7" s="241"/>
      <c r="M7" s="116">
        <f>+K7+'8'!M7+L7</f>
        <v>168614</v>
      </c>
      <c r="R7" s="148">
        <f t="shared" si="0"/>
        <v>0</v>
      </c>
      <c r="S7" s="148">
        <f t="shared" si="1"/>
        <v>0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+'8'!J8</f>
        <v>F 14 VP OW</v>
      </c>
      <c r="K8" s="238"/>
      <c r="L8" s="238"/>
      <c r="M8" s="116">
        <f>+K8+'8'!M8+L8</f>
        <v>78398</v>
      </c>
    </row>
    <row r="9" spans="1:19" ht="13.5" thickBot="1">
      <c r="A9" s="752"/>
      <c r="B9" s="214"/>
      <c r="C9" s="215"/>
      <c r="D9" s="216"/>
      <c r="E9" s="219"/>
      <c r="F9" s="227">
        <v>4</v>
      </c>
      <c r="G9" s="560" t="s">
        <v>12</v>
      </c>
      <c r="H9" s="232" t="s">
        <v>508</v>
      </c>
      <c r="I9" s="755"/>
      <c r="J9" s="213" t="str">
        <f>+'8'!J9</f>
        <v>F 13 VP OW</v>
      </c>
      <c r="K9" s="238"/>
      <c r="L9" s="238"/>
      <c r="M9" s="116">
        <f>+K9+'8'!M9+L9</f>
        <v>22241</v>
      </c>
    </row>
    <row r="10" spans="1:19" ht="39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498</v>
      </c>
      <c r="I10" s="755"/>
      <c r="J10" s="213" t="str">
        <f>+'8'!J10</f>
        <v>F 12 VP OW</v>
      </c>
      <c r="K10" s="238"/>
      <c r="L10" s="238"/>
      <c r="M10" s="116">
        <f>+K10+'8'!M10+L10</f>
        <v>7645</v>
      </c>
      <c r="P10" s="148">
        <f>+O10-(O10*0.23)</f>
        <v>0</v>
      </c>
      <c r="R10" s="148">
        <f t="shared" ref="R10:R11" si="2">+O10*Q10</f>
        <v>0</v>
      </c>
      <c r="S10" s="148">
        <f t="shared" ref="S10:S11" si="3">+P10*Q10</f>
        <v>0</v>
      </c>
    </row>
    <row r="11" spans="1:19" ht="107.25" customHeight="1" thickBot="1">
      <c r="A11" s="752"/>
      <c r="B11" s="214"/>
      <c r="C11" s="215"/>
      <c r="D11" s="216"/>
      <c r="E11" s="218"/>
      <c r="F11" s="227">
        <v>207</v>
      </c>
      <c r="G11" s="231" t="s">
        <v>499</v>
      </c>
      <c r="H11" s="232" t="s">
        <v>500</v>
      </c>
      <c r="I11" s="755"/>
      <c r="J11" s="213" t="str">
        <f>+'8'!J11</f>
        <v>F 16 VP OW</v>
      </c>
      <c r="K11" s="238"/>
      <c r="L11" s="238"/>
      <c r="M11" s="116">
        <f>+K11+'8'!M11+L11</f>
        <v>37034</v>
      </c>
      <c r="P11" s="148">
        <f>+O11-(O11*0.23)</f>
        <v>0</v>
      </c>
      <c r="R11" s="148">
        <f t="shared" si="2"/>
        <v>0</v>
      </c>
      <c r="S11" s="148">
        <f t="shared" si="3"/>
        <v>0</v>
      </c>
    </row>
    <row r="12" spans="1:19" ht="13.5" thickBot="1">
      <c r="A12" s="752"/>
      <c r="B12" s="214"/>
      <c r="C12" s="215"/>
      <c r="D12" s="216"/>
      <c r="E12" s="218"/>
      <c r="F12" s="227">
        <v>206</v>
      </c>
      <c r="G12" s="231" t="s">
        <v>66</v>
      </c>
      <c r="H12" s="232"/>
      <c r="I12" s="755"/>
      <c r="J12" s="213" t="s">
        <v>519</v>
      </c>
      <c r="K12" s="238">
        <f>+C7</f>
        <v>3202</v>
      </c>
      <c r="L12" s="238"/>
      <c r="M12" s="116">
        <f>+K12+'8'!M12+L12</f>
        <v>3202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">
        <v>518</v>
      </c>
      <c r="K13" s="238">
        <f>+C25</f>
        <v>842</v>
      </c>
      <c r="L13" s="238"/>
      <c r="M13" s="116">
        <f>+K13+'8'!M13+L13</f>
        <v>842</v>
      </c>
    </row>
    <row r="14" spans="1:19" ht="13.5" thickBot="1">
      <c r="A14" s="753"/>
      <c r="B14" s="164" t="s">
        <v>2</v>
      </c>
      <c r="C14" s="98">
        <f>SUM(C7:C13)</f>
        <v>3202</v>
      </c>
      <c r="D14" s="110">
        <f>SUM(D7:D13)</f>
        <v>0</v>
      </c>
      <c r="E14" s="111">
        <f>SUM(E5:E13)</f>
        <v>0</v>
      </c>
      <c r="F14" s="115">
        <f>SUM(F7:F13)</f>
        <v>417</v>
      </c>
      <c r="G14" s="158"/>
      <c r="H14" s="165"/>
      <c r="I14" s="166"/>
      <c r="J14" s="213">
        <f>+'8'!J14</f>
        <v>0</v>
      </c>
      <c r="K14" s="238"/>
      <c r="L14" s="238"/>
      <c r="M14" s="116">
        <f>+K14+'8'!M14+L14</f>
        <v>0</v>
      </c>
      <c r="Q14" s="175">
        <f>SUM(Q6:Q11)</f>
        <v>67</v>
      </c>
      <c r="R14" s="175">
        <f>SUM(R6:R11)</f>
        <v>71690</v>
      </c>
      <c r="S14" s="175">
        <f>SUM(S6:S11)</f>
        <v>53767.5</v>
      </c>
    </row>
    <row r="15" spans="1:19" ht="13.5" customHeight="1" thickBot="1">
      <c r="A15" s="751" t="s">
        <v>389</v>
      </c>
      <c r="B15" s="164"/>
      <c r="C15" s="112" t="e">
        <f>C14/($C$23+$D$23+$E$23)</f>
        <v>#DIV/0!</v>
      </c>
      <c r="D15" s="113" t="e">
        <f>D14/($C$23+$D$23+$E$23)</f>
        <v>#DIV/0!</v>
      </c>
      <c r="E15" s="114" t="e">
        <f>E14/($C$23+$D$23+$E$23)</f>
        <v>#DIV/0!</v>
      </c>
      <c r="F15" s="227"/>
      <c r="G15" s="228" t="s">
        <v>12</v>
      </c>
      <c r="H15" s="229" t="s">
        <v>385</v>
      </c>
      <c r="I15" s="754"/>
      <c r="J15" s="213">
        <f>+'8'!J15</f>
        <v>0</v>
      </c>
      <c r="K15" s="238"/>
      <c r="L15" s="238"/>
      <c r="M15" s="116">
        <f>+K15+'8'!M15+L15</f>
        <v>0</v>
      </c>
      <c r="Q15" s="148">
        <f>480-Q14</f>
        <v>413</v>
      </c>
      <c r="R15" s="175">
        <f>+R14/Q14</f>
        <v>1070</v>
      </c>
      <c r="S15" s="175">
        <f>+S14/Q14</f>
        <v>802.5</v>
      </c>
    </row>
    <row r="16" spans="1:19" ht="13.5" thickBot="1">
      <c r="A16" s="757"/>
      <c r="B16" s="214"/>
      <c r="C16" s="221"/>
      <c r="D16" s="222"/>
      <c r="E16" s="223"/>
      <c r="F16" s="230"/>
      <c r="G16" s="560" t="s">
        <v>12</v>
      </c>
      <c r="H16" s="229" t="s">
        <v>412</v>
      </c>
      <c r="I16" s="755"/>
      <c r="J16" s="213">
        <f>+'8'!J16</f>
        <v>0</v>
      </c>
      <c r="K16" s="238"/>
      <c r="L16" s="228"/>
      <c r="M16" s="116">
        <f>+K16+'8'!M16+L16</f>
        <v>0</v>
      </c>
    </row>
    <row r="17" spans="1:19" ht="13.5" thickBot="1">
      <c r="A17" s="757"/>
      <c r="B17" s="214"/>
      <c r="C17" s="215"/>
      <c r="D17" s="216"/>
      <c r="E17" s="224"/>
      <c r="F17" s="227"/>
      <c r="G17" s="560" t="s">
        <v>12</v>
      </c>
      <c r="H17" s="232" t="s">
        <v>510</v>
      </c>
      <c r="I17" s="755"/>
      <c r="J17" s="213">
        <f>+'8'!J17</f>
        <v>0</v>
      </c>
      <c r="K17" s="228"/>
      <c r="L17" s="228"/>
      <c r="M17" s="116">
        <f>+K17+'8'!M17+L17</f>
        <v>0</v>
      </c>
    </row>
    <row r="18" spans="1:19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484</v>
      </c>
      <c r="I18" s="755"/>
      <c r="J18" s="213">
        <f>+'8'!J18</f>
        <v>0</v>
      </c>
      <c r="K18" s="238"/>
      <c r="L18" s="238"/>
      <c r="M18" s="116">
        <f>+K18+'8'!M18+L18</f>
        <v>0</v>
      </c>
    </row>
    <row r="19" spans="1:19" ht="51.75" thickBot="1">
      <c r="A19" s="757"/>
      <c r="B19" s="214"/>
      <c r="C19" s="215"/>
      <c r="D19" s="216"/>
      <c r="E19" s="224"/>
      <c r="F19" s="234">
        <v>480</v>
      </c>
      <c r="G19" s="560" t="s">
        <v>684</v>
      </c>
      <c r="H19" s="232" t="s">
        <v>497</v>
      </c>
      <c r="I19" s="755"/>
      <c r="J19" s="213">
        <f>+'8'!J19</f>
        <v>0</v>
      </c>
      <c r="K19" s="238"/>
      <c r="L19" s="238"/>
      <c r="M19" s="116">
        <f>+K19+'8'!M19+L19</f>
        <v>0</v>
      </c>
    </row>
    <row r="20" spans="1:1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+'8'!J20</f>
        <v>0</v>
      </c>
      <c r="K20" s="239"/>
      <c r="L20" s="239"/>
      <c r="M20" s="116">
        <f>+K20+'8'!M20+L20</f>
        <v>0</v>
      </c>
    </row>
    <row r="21" spans="1:1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+'8'!J21</f>
        <v>0</v>
      </c>
      <c r="K21" s="238"/>
      <c r="L21" s="238"/>
      <c r="M21" s="116">
        <f>+K21+'8'!M21+L21</f>
        <v>0</v>
      </c>
    </row>
    <row r="22" spans="1:1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+'8'!J22</f>
        <v>0</v>
      </c>
      <c r="K22" s="238"/>
      <c r="L22" s="238"/>
      <c r="M22" s="116">
        <f>+K22+'8'!M22+L22</f>
        <v>0</v>
      </c>
    </row>
    <row r="23" spans="1:19" ht="13.5" thickBot="1">
      <c r="A23" s="758"/>
      <c r="B23" s="167" t="s">
        <v>2</v>
      </c>
      <c r="C23" s="99">
        <f>SUM(C16:C22)</f>
        <v>0</v>
      </c>
      <c r="D23" s="110">
        <f>SUM(D16:D22)</f>
        <v>0</v>
      </c>
      <c r="E23" s="111">
        <f>SUM(E18:E22)</f>
        <v>0</v>
      </c>
      <c r="F23" s="115">
        <f>SUM(F15:F22)</f>
        <v>480</v>
      </c>
      <c r="G23" s="158"/>
      <c r="H23" s="165"/>
      <c r="I23" s="168"/>
      <c r="J23" s="213">
        <f>+'8'!J23</f>
        <v>0</v>
      </c>
      <c r="K23" s="238"/>
      <c r="L23" s="238"/>
      <c r="M23" s="116">
        <f>+K23+'8'!M23+L23</f>
        <v>0</v>
      </c>
    </row>
    <row r="24" spans="1:19" ht="13.5" customHeight="1" thickBot="1">
      <c r="A24" s="751" t="s">
        <v>390</v>
      </c>
      <c r="B24" s="169"/>
      <c r="C24" s="112" t="e">
        <f>C23/($C$23+$D$23+$E$23)</f>
        <v>#DIV/0!</v>
      </c>
      <c r="D24" s="113" t="e">
        <f>D23/($C$23+$D$23+$E$23)</f>
        <v>#DIV/0!</v>
      </c>
      <c r="E24" s="114" t="e">
        <f>E23/($C$23+$D$23+$E$23)</f>
        <v>#DIV/0!</v>
      </c>
      <c r="F24" s="227"/>
      <c r="G24" s="228" t="s">
        <v>12</v>
      </c>
      <c r="H24" s="229" t="s">
        <v>385</v>
      </c>
      <c r="I24" s="754" t="s">
        <v>505</v>
      </c>
      <c r="J24" s="213">
        <f>+'8'!J24</f>
        <v>0</v>
      </c>
      <c r="K24" s="238"/>
      <c r="L24" s="238"/>
      <c r="M24" s="116">
        <f>+K24+'8'!M24+L24</f>
        <v>0</v>
      </c>
    </row>
    <row r="25" spans="1:19" ht="13.5" thickBot="1">
      <c r="A25" s="757"/>
      <c r="B25" s="214" t="s">
        <v>518</v>
      </c>
      <c r="C25" s="225">
        <v>842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+'8'!J25</f>
        <v>0</v>
      </c>
      <c r="K25" s="238"/>
      <c r="L25" s="238"/>
      <c r="M25" s="116">
        <f>+K25+'8'!M25+L25</f>
        <v>0</v>
      </c>
      <c r="Q25" s="175"/>
      <c r="R25" s="175"/>
      <c r="S25" s="175"/>
    </row>
    <row r="26" spans="1:19" ht="13.5" thickBot="1">
      <c r="A26" s="757"/>
      <c r="B26" s="214"/>
      <c r="C26" s="225"/>
      <c r="D26" s="216"/>
      <c r="E26" s="226"/>
      <c r="F26" s="227">
        <v>10</v>
      </c>
      <c r="G26" s="560" t="s">
        <v>12</v>
      </c>
      <c r="H26" s="232" t="s">
        <v>509</v>
      </c>
      <c r="I26" s="755"/>
      <c r="J26" s="213">
        <f>+'8'!J26</f>
        <v>0</v>
      </c>
      <c r="K26" s="238"/>
      <c r="L26" s="238"/>
      <c r="M26" s="116">
        <f>+K26+'8'!M26+L26</f>
        <v>0</v>
      </c>
      <c r="R26" s="175"/>
      <c r="S26" s="175"/>
    </row>
    <row r="27" spans="1:19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495</v>
      </c>
      <c r="I27" s="755"/>
      <c r="J27" s="213">
        <f>+'8'!J27</f>
        <v>0</v>
      </c>
      <c r="K27" s="238"/>
      <c r="L27" s="238"/>
      <c r="M27" s="116">
        <f>+K27+'8'!M27+L27</f>
        <v>0</v>
      </c>
      <c r="N27" s="148" t="s">
        <v>504</v>
      </c>
      <c r="O27" s="148">
        <v>700</v>
      </c>
      <c r="P27" s="148">
        <f>+O27-(O27*0.24)</f>
        <v>532</v>
      </c>
      <c r="Q27" s="148">
        <f>60-33+25</f>
        <v>52</v>
      </c>
      <c r="R27" s="148">
        <f t="shared" ref="R27:R29" si="4">+O27*Q27</f>
        <v>36400</v>
      </c>
      <c r="S27" s="148">
        <f t="shared" ref="S27:S29" si="5">+P27*Q27</f>
        <v>27664</v>
      </c>
    </row>
    <row r="28" spans="1:19" ht="198" customHeight="1" thickBot="1">
      <c r="A28" s="757"/>
      <c r="B28" s="214"/>
      <c r="C28" s="215"/>
      <c r="D28" s="216"/>
      <c r="E28" s="224"/>
      <c r="F28" s="230">
        <v>258</v>
      </c>
      <c r="G28" s="560" t="s">
        <v>684</v>
      </c>
      <c r="H28" s="232" t="s">
        <v>496</v>
      </c>
      <c r="I28" s="755"/>
      <c r="J28" s="213">
        <f>+'8'!J28</f>
        <v>0</v>
      </c>
      <c r="K28" s="238"/>
      <c r="L28" s="238"/>
      <c r="M28" s="116">
        <f>+K28+'8'!M28+L28</f>
        <v>0</v>
      </c>
      <c r="O28" s="148">
        <v>700</v>
      </c>
      <c r="P28" s="148">
        <f>+O28-(O28*0.24)</f>
        <v>532</v>
      </c>
      <c r="Q28" s="148">
        <f>24-10</f>
        <v>14</v>
      </c>
      <c r="R28" s="148">
        <f t="shared" si="4"/>
        <v>9800</v>
      </c>
      <c r="S28" s="148">
        <f t="shared" si="5"/>
        <v>7448</v>
      </c>
    </row>
    <row r="29" spans="1:1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+'8'!J29</f>
        <v>0</v>
      </c>
      <c r="K29" s="238"/>
      <c r="L29" s="238"/>
      <c r="M29" s="116">
        <f>+K29+'8'!M29+L29</f>
        <v>0</v>
      </c>
      <c r="O29" s="148">
        <v>780</v>
      </c>
      <c r="P29" s="148">
        <f>+O29-(O29*0.24)</f>
        <v>592.79999999999995</v>
      </c>
      <c r="Q29" s="148">
        <f>60-24+120</f>
        <v>156</v>
      </c>
      <c r="R29" s="148">
        <f t="shared" si="4"/>
        <v>121680</v>
      </c>
      <c r="S29" s="148">
        <f t="shared" si="5"/>
        <v>92476.799999999988</v>
      </c>
    </row>
    <row r="30" spans="1:1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+'8'!J30</f>
        <v>0</v>
      </c>
      <c r="K30" s="238"/>
      <c r="L30" s="238"/>
      <c r="M30" s="116">
        <f>+K30+'8'!M30+L30</f>
        <v>0</v>
      </c>
    </row>
    <row r="31" spans="1:1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+'8'!J31</f>
        <v>0</v>
      </c>
      <c r="K31" s="238"/>
      <c r="L31" s="238"/>
      <c r="M31" s="116">
        <f>+K31+'8'!M31+L31</f>
        <v>0</v>
      </c>
      <c r="P31" s="148">
        <f>+O31-(O31*0.23)</f>
        <v>0</v>
      </c>
      <c r="R31" s="148">
        <f t="shared" ref="R31:R32" si="6">+O31*Q31</f>
        <v>0</v>
      </c>
      <c r="S31" s="148">
        <f t="shared" ref="S31:S32" si="7">+P31*Q31</f>
        <v>0</v>
      </c>
    </row>
    <row r="32" spans="1:19" ht="13.5" thickBot="1">
      <c r="A32" s="758"/>
      <c r="B32" s="164" t="s">
        <v>2</v>
      </c>
      <c r="C32" s="98">
        <f>SUM(C25:C31)</f>
        <v>842</v>
      </c>
      <c r="D32" s="99">
        <f>SUM(D25:D31)</f>
        <v>0</v>
      </c>
      <c r="E32" s="100">
        <f>SUM(E25:E31)</f>
        <v>0</v>
      </c>
      <c r="F32" s="101">
        <f>SUM(F24:F31)</f>
        <v>268</v>
      </c>
      <c r="G32" s="170"/>
      <c r="H32" s="171"/>
      <c r="I32" s="168"/>
      <c r="J32" s="213">
        <f>+'8'!J32</f>
        <v>0</v>
      </c>
      <c r="K32" s="240"/>
      <c r="L32" s="242"/>
      <c r="M32" s="116">
        <f>+K32+'8'!M32+L32</f>
        <v>0</v>
      </c>
      <c r="P32" s="148">
        <f>+O32-(O32*0.23)</f>
        <v>0</v>
      </c>
      <c r="R32" s="148">
        <f t="shared" si="6"/>
        <v>0</v>
      </c>
      <c r="S32" s="148">
        <f t="shared" si="7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4044</v>
      </c>
      <c r="D34" s="106">
        <f>D14+D23+D32</f>
        <v>0</v>
      </c>
      <c r="E34" s="106">
        <f>E14+E23+E32</f>
        <v>0</v>
      </c>
      <c r="F34" s="107">
        <f>F14+F23+F32</f>
        <v>1165</v>
      </c>
      <c r="H34" s="177"/>
      <c r="I34" s="177"/>
      <c r="J34" s="122" t="s">
        <v>28</v>
      </c>
      <c r="K34" s="123">
        <f>SUM(K7:K32)</f>
        <v>4044</v>
      </c>
      <c r="L34" s="211">
        <f>SUM(L7:L32)</f>
        <v>0</v>
      </c>
      <c r="M34" s="119">
        <f>SUM(M7:M32)</f>
        <v>317976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222</v>
      </c>
      <c r="R35" s="175">
        <f>SUM(R27:R32)</f>
        <v>167880</v>
      </c>
      <c r="S35" s="175">
        <f>SUM(S27:S32)</f>
        <v>127588.79999999999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Q36" s="148">
        <f>480-Q35</f>
        <v>258</v>
      </c>
      <c r="R36" s="175">
        <f>+R35/Q35</f>
        <v>756.21621621621625</v>
      </c>
      <c r="S36" s="175">
        <f>+S35/Q35</f>
        <v>574.72432432432424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(15*67+222*14)/289*G42*2.74*289/1000000</f>
        <v>7.0720297079792385</v>
      </c>
      <c r="J37" s="124">
        <f>+I37+'8'!J37</f>
        <v>366.33985879649526</v>
      </c>
      <c r="K37" s="125" t="s">
        <v>63</v>
      </c>
      <c r="N37" s="148" t="s">
        <v>501</v>
      </c>
      <c r="O37" s="148">
        <v>1070</v>
      </c>
      <c r="P37" s="148">
        <v>802.5</v>
      </c>
      <c r="Q37" s="148">
        <v>67</v>
      </c>
    </row>
    <row r="38" spans="1:19" ht="17.45" customHeight="1">
      <c r="A38" s="763" t="s">
        <v>12</v>
      </c>
      <c r="B38" s="764"/>
      <c r="C38" s="163">
        <f>SUMIF($G$7:$G$31,"Process",$F$7:$F$31)</f>
        <v>14</v>
      </c>
      <c r="D38" s="117">
        <f>+C38+'8'!D38</f>
        <v>592</v>
      </c>
      <c r="E38" s="142">
        <f t="shared" ref="E38:E51" si="8">D38/60</f>
        <v>9.8666666666666671</v>
      </c>
      <c r="F38" s="321">
        <v>1070</v>
      </c>
      <c r="G38" s="321">
        <v>802.5</v>
      </c>
      <c r="H38" s="186" t="s">
        <v>64</v>
      </c>
      <c r="I38" s="244">
        <f>2.567+3.169</f>
        <v>5.7360000000000007</v>
      </c>
      <c r="J38" s="126">
        <f>+I38+'8'!J38</f>
        <v>328.33199999999999</v>
      </c>
      <c r="K38" s="127" t="s">
        <v>63</v>
      </c>
      <c r="N38" s="148" t="s">
        <v>504</v>
      </c>
      <c r="O38" s="148">
        <v>756.21621621621625</v>
      </c>
      <c r="P38" s="148">
        <v>574.72432432432424</v>
      </c>
      <c r="Q38" s="148">
        <v>222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+C39+'8'!D39</f>
        <v>0</v>
      </c>
      <c r="E39" s="142">
        <f t="shared" si="8"/>
        <v>0</v>
      </c>
      <c r="F39" s="321"/>
      <c r="G39" s="321"/>
      <c r="H39" s="186" t="s">
        <v>65</v>
      </c>
      <c r="I39" s="141"/>
      <c r="J39" s="128">
        <f>J37/G4</f>
        <v>40.704428755166141</v>
      </c>
      <c r="K39" s="129" t="s">
        <v>63</v>
      </c>
      <c r="Q39" s="148">
        <f>SUM(Q37:Q38)</f>
        <v>289</v>
      </c>
    </row>
    <row r="40" spans="1:19" ht="17.45" customHeight="1">
      <c r="A40" s="765" t="s">
        <v>66</v>
      </c>
      <c r="B40" s="766"/>
      <c r="C40" s="163">
        <f>SUMIF($G$7:$G$31,"Mechanical",$F$7:$F$31)</f>
        <v>206</v>
      </c>
      <c r="D40" s="117">
        <f>+C40+'8'!D40</f>
        <v>206</v>
      </c>
      <c r="E40" s="142">
        <f t="shared" si="8"/>
        <v>3.4333333333333331</v>
      </c>
      <c r="F40" s="321">
        <v>756.21621621621625</v>
      </c>
      <c r="G40" s="321">
        <v>574.72432432432424</v>
      </c>
      <c r="H40" s="186" t="s">
        <v>67</v>
      </c>
      <c r="I40" s="117">
        <f>(K34+L34)/1000</f>
        <v>4.0439999999999996</v>
      </c>
      <c r="J40" s="130">
        <f>+I40+'8'!J40</f>
        <v>317.976</v>
      </c>
      <c r="K40" s="129" t="s">
        <v>63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+C41+'8'!D41</f>
        <v>0</v>
      </c>
      <c r="E41" s="142">
        <f t="shared" si="8"/>
        <v>0</v>
      </c>
      <c r="F41" s="321"/>
      <c r="G41" s="321"/>
      <c r="H41" s="186" t="s">
        <v>69</v>
      </c>
      <c r="I41" s="141"/>
      <c r="J41" s="128">
        <f>J40/G4</f>
        <v>35.330666666666666</v>
      </c>
      <c r="K41" s="129" t="s">
        <v>63</v>
      </c>
      <c r="O41" s="148">
        <v>67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+C42+'8'!D42</f>
        <v>0</v>
      </c>
      <c r="E42" s="142">
        <f t="shared" si="8"/>
        <v>0</v>
      </c>
      <c r="F42" s="321">
        <f>+(67*F38+222*F40)/289</f>
        <v>828.96193771626292</v>
      </c>
      <c r="G42" s="321">
        <f>+(67*G38+222*G40)/289</f>
        <v>627.53044982698952</v>
      </c>
      <c r="H42" s="186" t="s">
        <v>70</v>
      </c>
      <c r="I42" s="245" t="s">
        <v>507</v>
      </c>
      <c r="J42" s="131"/>
      <c r="K42" s="129" t="s">
        <v>71</v>
      </c>
      <c r="O42" s="148">
        <v>222</v>
      </c>
    </row>
    <row r="43" spans="1:19" ht="17.45" customHeight="1">
      <c r="A43" s="765" t="s">
        <v>72</v>
      </c>
      <c r="B43" s="766"/>
      <c r="C43" s="163">
        <f>SUMIF($G$7:$G$31,"Water",$F$7:$F$31)</f>
        <v>0</v>
      </c>
      <c r="D43" s="117">
        <f>+C43+'8'!D43</f>
        <v>0</v>
      </c>
      <c r="E43" s="142">
        <f t="shared" si="8"/>
        <v>0</v>
      </c>
      <c r="F43" s="321"/>
      <c r="G43" s="322"/>
      <c r="H43" s="187" t="s">
        <v>73</v>
      </c>
      <c r="I43" s="117">
        <f>+Report1!Z17</f>
        <v>18.8</v>
      </c>
      <c r="J43" s="132">
        <f>+I43+'8'!J43</f>
        <v>461.2</v>
      </c>
      <c r="K43" s="129" t="s">
        <v>63</v>
      </c>
      <c r="L43" s="188"/>
      <c r="O43" s="148">
        <f>SUM(O41:O42)</f>
        <v>289</v>
      </c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+C44+'8'!D44</f>
        <v>0</v>
      </c>
      <c r="E44" s="142">
        <f t="shared" si="8"/>
        <v>0</v>
      </c>
      <c r="F44" s="321"/>
      <c r="G44" s="322"/>
      <c r="H44" s="187" t="s">
        <v>74</v>
      </c>
      <c r="I44" s="117">
        <f>I43/I38</f>
        <v>3.2775453277545323</v>
      </c>
      <c r="J44" s="133">
        <f>J43/J38</f>
        <v>1.4046757550284468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+C45+'8'!D45</f>
        <v>0</v>
      </c>
      <c r="E45" s="142">
        <f t="shared" si="8"/>
        <v>0</v>
      </c>
      <c r="F45" s="321"/>
      <c r="G45" s="324"/>
      <c r="H45" s="187" t="s">
        <v>75</v>
      </c>
      <c r="I45" s="117">
        <f>I43/I40</f>
        <v>4.6488625123639968</v>
      </c>
      <c r="J45" s="133">
        <f>J43/J40</f>
        <v>1.4504239313658893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+C46+'8'!D46</f>
        <v>0</v>
      </c>
      <c r="E46" s="142">
        <f t="shared" si="8"/>
        <v>0</v>
      </c>
      <c r="F46" s="321"/>
      <c r="G46" s="322"/>
      <c r="H46" s="187" t="s">
        <v>77</v>
      </c>
      <c r="I46" s="139">
        <f>+SUMIF(Listrik!P16,"&gt;0")</f>
        <v>13614.780000000363</v>
      </c>
      <c r="J46" s="134">
        <f>+I46+'8'!J46</f>
        <v>312911.82000000111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+C47+'8'!D47</f>
        <v>0</v>
      </c>
      <c r="E47" s="142">
        <f t="shared" si="8"/>
        <v>0</v>
      </c>
      <c r="F47" s="321"/>
      <c r="G47" s="322"/>
      <c r="H47" s="187" t="s">
        <v>80</v>
      </c>
      <c r="I47" s="117">
        <f>I46/I38</f>
        <v>2373.5669456067576</v>
      </c>
      <c r="J47" s="134">
        <f>J46/J38</f>
        <v>953.03479404992845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+C48+'8'!D48</f>
        <v>0</v>
      </c>
      <c r="E48" s="142">
        <f t="shared" si="8"/>
        <v>0</v>
      </c>
      <c r="F48" s="321"/>
      <c r="G48" s="322"/>
      <c r="H48" s="187" t="s">
        <v>81</v>
      </c>
      <c r="I48" s="117">
        <f>I46/I40</f>
        <v>3366.6617210683394</v>
      </c>
      <c r="J48" s="134">
        <f>J46/J40</f>
        <v>984.07370367575265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+C49+'8'!D49</f>
        <v>0</v>
      </c>
      <c r="E49" s="142">
        <f t="shared" si="8"/>
        <v>0</v>
      </c>
      <c r="F49" s="184"/>
      <c r="H49" s="187" t="s">
        <v>269</v>
      </c>
      <c r="I49" s="117">
        <f>+Report1!T17</f>
        <v>1236.6417082422593</v>
      </c>
      <c r="J49" s="134">
        <f>+I49+'8'!J49</f>
        <v>42366.746227440541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+C50+'8'!D50</f>
        <v>0</v>
      </c>
      <c r="E50" s="142">
        <f t="shared" si="8"/>
        <v>0</v>
      </c>
      <c r="F50" s="184"/>
      <c r="H50" s="187" t="s">
        <v>83</v>
      </c>
      <c r="I50" s="139">
        <f>I49/I38</f>
        <v>215.5930453699894</v>
      </c>
      <c r="J50" s="132">
        <f>J49/J38</f>
        <v>129.03629931727806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738</v>
      </c>
      <c r="D51" s="117">
        <f>+C51+'8'!D51</f>
        <v>738</v>
      </c>
      <c r="E51" s="142">
        <f t="shared" si="8"/>
        <v>12.3</v>
      </c>
      <c r="F51" s="184"/>
      <c r="H51" s="189" t="s">
        <v>85</v>
      </c>
      <c r="I51" s="140">
        <f>I49/I40</f>
        <v>305.79666375921352</v>
      </c>
      <c r="J51" s="135">
        <f>J49/J40</f>
        <v>133.23881748132104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958</v>
      </c>
      <c r="D52" s="143">
        <f>SUM(D38:D51)</f>
        <v>1536</v>
      </c>
      <c r="E52" s="144">
        <f>SUM(E38:E51)</f>
        <v>25.6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0.66527777777777775</v>
      </c>
      <c r="D53" s="145">
        <f>D52/(24*60*G4)</f>
        <v>0.11851851851851852</v>
      </c>
      <c r="E53" s="146">
        <f>E52/(G4*24)</f>
        <v>0.11851851851851852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+D34+'8'!J56</f>
        <v>1097</v>
      </c>
      <c r="K56" s="200">
        <f>J56/(J40+J56/1000)/1000</f>
        <v>3.4380847016200057E-3</v>
      </c>
    </row>
    <row r="57" spans="1:11">
      <c r="A57" s="175"/>
      <c r="I57" s="198" t="s">
        <v>88</v>
      </c>
      <c r="J57" s="199">
        <f>+E34+'8'!J57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2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C34" zoomScale="80" zoomScaleNormal="75" zoomScaleSheetLayoutView="80" workbookViewId="0">
      <selection activeCell="F42" sqref="F42:G4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13.7109375" style="148" bestFit="1" customWidth="1"/>
    <col min="13" max="13" width="1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8</v>
      </c>
      <c r="H4" s="153" t="str">
        <f>+'1'!H4</f>
        <v>.04.26</v>
      </c>
      <c r="J4" s="148">
        <f>516+633+590</f>
        <v>1739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443</v>
      </c>
      <c r="O6" s="148">
        <v>1150</v>
      </c>
      <c r="P6" s="148">
        <f>+O6-(O6*0.25)</f>
        <v>862.5</v>
      </c>
      <c r="Q6" s="148">
        <f>60*4+20</f>
        <v>260</v>
      </c>
      <c r="R6" s="148">
        <f t="shared" ref="R6:R7" si="0">+O6*Q6</f>
        <v>299000</v>
      </c>
      <c r="S6" s="148">
        <f t="shared" ref="S6:S7" si="1">+P6*Q6</f>
        <v>224250</v>
      </c>
    </row>
    <row r="7" spans="1:19" ht="13.5" customHeight="1" thickBot="1">
      <c r="A7" s="751" t="s">
        <v>391</v>
      </c>
      <c r="B7" s="214" t="s">
        <v>457</v>
      </c>
      <c r="C7" s="215">
        <f>5586+6521</f>
        <v>12107</v>
      </c>
      <c r="D7" s="216"/>
      <c r="E7" s="217"/>
      <c r="F7" s="227"/>
      <c r="G7" s="228" t="s">
        <v>12</v>
      </c>
      <c r="H7" s="229" t="s">
        <v>385</v>
      </c>
      <c r="I7" s="754" t="s">
        <v>490</v>
      </c>
      <c r="J7" s="213" t="str">
        <f>+'7'!J7</f>
        <v>F 11,5 VP OW</v>
      </c>
      <c r="K7" s="237"/>
      <c r="L7" s="241"/>
      <c r="M7" s="116">
        <f>+K7+'7'!M7+L7</f>
        <v>168614</v>
      </c>
      <c r="N7" s="148" t="s">
        <v>475</v>
      </c>
      <c r="O7" s="148">
        <v>1050</v>
      </c>
      <c r="P7" s="148">
        <f>+O7-(O7*0.25)</f>
        <v>787.5</v>
      </c>
      <c r="Q7" s="148">
        <f>480-Q6</f>
        <v>220</v>
      </c>
      <c r="R7" s="148">
        <f t="shared" si="0"/>
        <v>231000</v>
      </c>
      <c r="S7" s="148">
        <f t="shared" si="1"/>
        <v>173250</v>
      </c>
    </row>
    <row r="8" spans="1:19" ht="13.5" thickBot="1">
      <c r="A8" s="752"/>
      <c r="B8" s="214" t="s">
        <v>481</v>
      </c>
      <c r="C8" s="215">
        <v>3421</v>
      </c>
      <c r="D8" s="216"/>
      <c r="E8" s="218"/>
      <c r="F8" s="230">
        <v>6</v>
      </c>
      <c r="G8" s="560" t="s">
        <v>12</v>
      </c>
      <c r="H8" s="229" t="s">
        <v>465</v>
      </c>
      <c r="I8" s="755"/>
      <c r="J8" s="213" t="str">
        <f>+'7'!J8</f>
        <v>F 14 VP OW</v>
      </c>
      <c r="K8" s="238">
        <f>+C7</f>
        <v>12107</v>
      </c>
      <c r="L8" s="238"/>
      <c r="M8" s="116">
        <f>+K8+'7'!M8+L8</f>
        <v>78398</v>
      </c>
    </row>
    <row r="9" spans="1:19" ht="13.5" thickBot="1">
      <c r="A9" s="752"/>
      <c r="B9" s="214"/>
      <c r="C9" s="215"/>
      <c r="D9" s="216"/>
      <c r="E9" s="219"/>
      <c r="F9" s="227">
        <f>23-6</f>
        <v>17</v>
      </c>
      <c r="G9" s="560" t="s">
        <v>12</v>
      </c>
      <c r="H9" s="232" t="s">
        <v>427</v>
      </c>
      <c r="I9" s="755"/>
      <c r="J9" s="213" t="str">
        <f>+'7'!J9</f>
        <v>F 13 VP OW</v>
      </c>
      <c r="K9" s="238"/>
      <c r="L9" s="238"/>
      <c r="M9" s="116">
        <f>+K9+'7'!M9+L9</f>
        <v>22241</v>
      </c>
    </row>
    <row r="10" spans="1:19" ht="39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488</v>
      </c>
      <c r="I10" s="755"/>
      <c r="J10" s="213" t="str">
        <f>+'7'!J10</f>
        <v>F 12 VP OW</v>
      </c>
      <c r="K10" s="238"/>
      <c r="L10" s="238"/>
      <c r="M10" s="116">
        <f>+K10+'7'!M10+L10</f>
        <v>7645</v>
      </c>
      <c r="P10" s="148">
        <f>+O10-(O10*0.23)</f>
        <v>0</v>
      </c>
      <c r="R10" s="148">
        <f t="shared" ref="R10:R11" si="2">+O10*Q10</f>
        <v>0</v>
      </c>
      <c r="S10" s="148">
        <f t="shared" ref="S10:S11" si="3">+P10*Q10</f>
        <v>0</v>
      </c>
    </row>
    <row r="11" spans="1:19" ht="39" thickBot="1">
      <c r="A11" s="752"/>
      <c r="B11" s="214"/>
      <c r="C11" s="215"/>
      <c r="D11" s="216"/>
      <c r="E11" s="218"/>
      <c r="F11" s="227"/>
      <c r="G11" s="231"/>
      <c r="H11" s="232" t="s">
        <v>489</v>
      </c>
      <c r="I11" s="755"/>
      <c r="J11" s="213" t="str">
        <f>+'7'!J11</f>
        <v>F 16 VP OW</v>
      </c>
      <c r="K11" s="238">
        <f>+C8+C16+C25</f>
        <v>32056</v>
      </c>
      <c r="L11" s="238"/>
      <c r="M11" s="116">
        <f>+K11+'7'!M11+L11</f>
        <v>37034</v>
      </c>
      <c r="P11" s="148">
        <f>+O11-(O11*0.23)</f>
        <v>0</v>
      </c>
      <c r="R11" s="148">
        <f t="shared" si="2"/>
        <v>0</v>
      </c>
      <c r="S11" s="148">
        <f t="shared" si="3"/>
        <v>0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>
        <f>+'7'!J12</f>
        <v>0</v>
      </c>
      <c r="K12" s="238"/>
      <c r="L12" s="238"/>
      <c r="M12" s="116">
        <f>+K12+'7'!M12+L12</f>
        <v>0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>
        <f>+'7'!J13</f>
        <v>0</v>
      </c>
      <c r="K13" s="238"/>
      <c r="L13" s="238"/>
      <c r="M13" s="116">
        <f>+K13+'7'!M13+L13</f>
        <v>0</v>
      </c>
    </row>
    <row r="14" spans="1:19" ht="13.5" thickBot="1">
      <c r="A14" s="753"/>
      <c r="B14" s="164" t="s">
        <v>2</v>
      </c>
      <c r="C14" s="98">
        <f>SUM(C7:C13)</f>
        <v>15528</v>
      </c>
      <c r="D14" s="110">
        <f>SUM(D7:D13)</f>
        <v>0</v>
      </c>
      <c r="E14" s="111">
        <f>SUM(E5:E13)</f>
        <v>0</v>
      </c>
      <c r="F14" s="115">
        <f>SUM(F7:F13)</f>
        <v>23</v>
      </c>
      <c r="G14" s="158"/>
      <c r="H14" s="165"/>
      <c r="I14" s="166"/>
      <c r="J14" s="213">
        <f>+'7'!J14</f>
        <v>0</v>
      </c>
      <c r="K14" s="238"/>
      <c r="L14" s="238"/>
      <c r="M14" s="116">
        <f>+K14+'7'!M14+L14</f>
        <v>0</v>
      </c>
      <c r="Q14" s="175">
        <f>SUM(Q6:Q11)</f>
        <v>480</v>
      </c>
      <c r="R14" s="175">
        <f>SUM(R6:R11)</f>
        <v>530000</v>
      </c>
      <c r="S14" s="175">
        <f>SUM(S6:S11)</f>
        <v>397500</v>
      </c>
    </row>
    <row r="15" spans="1:19" ht="13.5" customHeight="1" thickBot="1">
      <c r="A15" s="751" t="s">
        <v>389</v>
      </c>
      <c r="B15" s="164"/>
      <c r="C15" s="112">
        <f>C14/($C$23+$D$23+$E$23)</f>
        <v>1.0687590336568242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491</v>
      </c>
      <c r="J15" s="213">
        <f>+'7'!J15</f>
        <v>0</v>
      </c>
      <c r="K15" s="238"/>
      <c r="L15" s="238"/>
      <c r="M15" s="116">
        <f>+K15+'7'!M15+L15</f>
        <v>0</v>
      </c>
      <c r="R15" s="175">
        <f>+R14/Q14</f>
        <v>1104.1666666666667</v>
      </c>
      <c r="S15" s="175">
        <f>+S14/Q14</f>
        <v>828.125</v>
      </c>
    </row>
    <row r="16" spans="1:19" ht="13.5" thickBot="1">
      <c r="A16" s="757"/>
      <c r="B16" s="214" t="s">
        <v>481</v>
      </c>
      <c r="C16" s="221">
        <v>14529</v>
      </c>
      <c r="D16" s="222"/>
      <c r="E16" s="223"/>
      <c r="F16" s="230">
        <v>2</v>
      </c>
      <c r="G16" s="560" t="s">
        <v>12</v>
      </c>
      <c r="H16" s="229" t="s">
        <v>414</v>
      </c>
      <c r="I16" s="755"/>
      <c r="J16" s="213">
        <f>+'7'!J16</f>
        <v>0</v>
      </c>
      <c r="K16" s="228"/>
      <c r="L16" s="228"/>
      <c r="M16" s="116">
        <f>+K16+'7'!M16+L16</f>
        <v>0</v>
      </c>
      <c r="N16" s="148" t="s">
        <v>475</v>
      </c>
      <c r="O16" s="148">
        <v>1050</v>
      </c>
      <c r="P16" s="148">
        <f>+O16-(O16*0.25)</f>
        <v>787.5</v>
      </c>
      <c r="Q16" s="148">
        <v>480</v>
      </c>
      <c r="R16" s="148">
        <f t="shared" ref="R16:R17" si="4">+O16*Q16</f>
        <v>504000</v>
      </c>
      <c r="S16" s="148">
        <f t="shared" ref="S16:S17" si="5">+P16*Q16</f>
        <v>378000</v>
      </c>
    </row>
    <row r="17" spans="1:19" ht="13.5" thickBot="1">
      <c r="A17" s="757"/>
      <c r="B17" s="214"/>
      <c r="C17" s="215"/>
      <c r="D17" s="216"/>
      <c r="E17" s="224"/>
      <c r="F17" s="227">
        <f>25-6</f>
        <v>19</v>
      </c>
      <c r="G17" s="560" t="s">
        <v>12</v>
      </c>
      <c r="H17" s="232" t="s">
        <v>427</v>
      </c>
      <c r="I17" s="755"/>
      <c r="J17" s="213">
        <f>+'7'!J17</f>
        <v>0</v>
      </c>
      <c r="K17" s="228"/>
      <c r="L17" s="228"/>
      <c r="M17" s="116">
        <f>+K17+'7'!M17+L17</f>
        <v>0</v>
      </c>
      <c r="P17" s="148">
        <f>+O17-(O17*0.25)</f>
        <v>0</v>
      </c>
      <c r="Q17" s="148">
        <f>480-Q16</f>
        <v>0</v>
      </c>
      <c r="R17" s="148">
        <f t="shared" si="4"/>
        <v>0</v>
      </c>
      <c r="S17" s="148">
        <f t="shared" si="5"/>
        <v>0</v>
      </c>
    </row>
    <row r="18" spans="1:19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486</v>
      </c>
      <c r="I18" s="755"/>
      <c r="J18" s="213">
        <f>+'7'!J18</f>
        <v>0</v>
      </c>
      <c r="K18" s="238"/>
      <c r="L18" s="238"/>
      <c r="M18" s="116">
        <f>+K18+'7'!M18+L18</f>
        <v>0</v>
      </c>
    </row>
    <row r="19" spans="1:19" ht="26.25" thickBot="1">
      <c r="A19" s="757"/>
      <c r="B19" s="214"/>
      <c r="C19" s="215"/>
      <c r="D19" s="216"/>
      <c r="E19" s="224"/>
      <c r="F19" s="234"/>
      <c r="G19" s="231"/>
      <c r="H19" s="232" t="s">
        <v>487</v>
      </c>
      <c r="I19" s="755"/>
      <c r="J19" s="213">
        <f>+'7'!J19</f>
        <v>0</v>
      </c>
      <c r="K19" s="238"/>
      <c r="L19" s="238"/>
      <c r="M19" s="116">
        <f>+K19+'7'!M19+L19</f>
        <v>0</v>
      </c>
    </row>
    <row r="20" spans="1:1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+'7'!J20</f>
        <v>0</v>
      </c>
      <c r="K20" s="239"/>
      <c r="L20" s="239"/>
      <c r="M20" s="116">
        <f>+K20+'7'!M20+L20</f>
        <v>0</v>
      </c>
      <c r="P20" s="148">
        <f>+O20-(O20*0.23)</f>
        <v>0</v>
      </c>
      <c r="R20" s="148">
        <f t="shared" ref="R20:R21" si="6">+O20*Q20</f>
        <v>0</v>
      </c>
      <c r="S20" s="148">
        <f t="shared" ref="S20:S21" si="7">+P20*Q20</f>
        <v>0</v>
      </c>
    </row>
    <row r="21" spans="1:1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+'7'!J21</f>
        <v>0</v>
      </c>
      <c r="K21" s="238"/>
      <c r="L21" s="238"/>
      <c r="M21" s="116">
        <f>+K21+'7'!M21+L21</f>
        <v>0</v>
      </c>
      <c r="P21" s="148">
        <f>+O21-(O21*0.23)</f>
        <v>0</v>
      </c>
      <c r="R21" s="148">
        <f t="shared" si="6"/>
        <v>0</v>
      </c>
      <c r="S21" s="148">
        <f t="shared" si="7"/>
        <v>0</v>
      </c>
    </row>
    <row r="22" spans="1:1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+'7'!J22</f>
        <v>0</v>
      </c>
      <c r="K22" s="238"/>
      <c r="L22" s="238"/>
      <c r="M22" s="116">
        <f>+K22+'7'!M22+L22</f>
        <v>0</v>
      </c>
    </row>
    <row r="23" spans="1:19" ht="13.5" thickBot="1">
      <c r="A23" s="758"/>
      <c r="B23" s="167" t="s">
        <v>2</v>
      </c>
      <c r="C23" s="99">
        <f>SUM(C16:C22)</f>
        <v>14529</v>
      </c>
      <c r="D23" s="110">
        <f>SUM(D16:D22)</f>
        <v>0</v>
      </c>
      <c r="E23" s="111">
        <f>SUM(E18:E22)</f>
        <v>0</v>
      </c>
      <c r="F23" s="115">
        <f>SUM(F15:F22)</f>
        <v>25</v>
      </c>
      <c r="G23" s="158"/>
      <c r="H23" s="165"/>
      <c r="I23" s="168"/>
      <c r="J23" s="213">
        <f>+'7'!J23</f>
        <v>0</v>
      </c>
      <c r="K23" s="238"/>
      <c r="L23" s="238"/>
      <c r="M23" s="116">
        <f>+K23+'7'!M23+L23</f>
        <v>0</v>
      </c>
    </row>
    <row r="24" spans="1:19" ht="13.5" customHeight="1" thickBot="1">
      <c r="A24" s="751" t="s">
        <v>390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12</v>
      </c>
      <c r="G24" s="228" t="s">
        <v>12</v>
      </c>
      <c r="H24" s="229" t="s">
        <v>493</v>
      </c>
      <c r="I24" s="754" t="s">
        <v>502</v>
      </c>
      <c r="J24" s="213">
        <f>+'7'!J24</f>
        <v>0</v>
      </c>
      <c r="K24" s="238"/>
      <c r="L24" s="238"/>
      <c r="M24" s="116">
        <f>+K24+'7'!M24+L24</f>
        <v>0</v>
      </c>
      <c r="Q24" s="175">
        <f>SUM(Q16:Q21)</f>
        <v>480</v>
      </c>
      <c r="R24" s="175">
        <f>SUM(R16:R21)</f>
        <v>504000</v>
      </c>
      <c r="S24" s="175">
        <f>SUM(S16:S21)</f>
        <v>378000</v>
      </c>
    </row>
    <row r="25" spans="1:19" ht="13.5" thickBot="1">
      <c r="A25" s="757"/>
      <c r="B25" s="214" t="s">
        <v>481</v>
      </c>
      <c r="C25" s="225">
        <v>14106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+'7'!J25</f>
        <v>0</v>
      </c>
      <c r="K25" s="238"/>
      <c r="L25" s="238"/>
      <c r="M25" s="116">
        <f>+K25+'7'!M25+L25</f>
        <v>0</v>
      </c>
      <c r="R25" s="175">
        <f>+R24/Q24</f>
        <v>1050</v>
      </c>
      <c r="S25" s="175">
        <f>+S24/Q24</f>
        <v>787.5</v>
      </c>
    </row>
    <row r="26" spans="1:19" ht="13.5" thickBot="1">
      <c r="A26" s="757"/>
      <c r="B26" s="214"/>
      <c r="C26" s="225"/>
      <c r="D26" s="216"/>
      <c r="E26" s="226"/>
      <c r="F26" s="227">
        <f>32-12</f>
        <v>20</v>
      </c>
      <c r="G26" s="560" t="s">
        <v>12</v>
      </c>
      <c r="H26" s="232" t="s">
        <v>427</v>
      </c>
      <c r="I26" s="755"/>
      <c r="J26" s="213">
        <f>+'7'!J26</f>
        <v>0</v>
      </c>
      <c r="K26" s="238"/>
      <c r="L26" s="238"/>
      <c r="M26" s="116">
        <f>+K26+'7'!M26+L26</f>
        <v>0</v>
      </c>
    </row>
    <row r="27" spans="1:19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484</v>
      </c>
      <c r="I27" s="755"/>
      <c r="J27" s="213">
        <f>+'7'!J27</f>
        <v>0</v>
      </c>
      <c r="K27" s="238"/>
      <c r="L27" s="238"/>
      <c r="M27" s="116">
        <f>+K27+'7'!M27+L27</f>
        <v>0</v>
      </c>
      <c r="N27" s="148" t="s">
        <v>475</v>
      </c>
      <c r="O27" s="148">
        <v>1050</v>
      </c>
      <c r="P27" s="148">
        <f>+O27-(O27*0.25)</f>
        <v>787.5</v>
      </c>
      <c r="Q27" s="148">
        <f>480-Q28</f>
        <v>453</v>
      </c>
      <c r="R27" s="148">
        <f t="shared" ref="R27:R28" si="8">+O27*Q27</f>
        <v>475650</v>
      </c>
      <c r="S27" s="148">
        <f t="shared" ref="S27:S28" si="9">+P27*Q27</f>
        <v>356737.5</v>
      </c>
    </row>
    <row r="28" spans="1:19" ht="72" customHeight="1" thickBot="1">
      <c r="A28" s="757"/>
      <c r="B28" s="214"/>
      <c r="C28" s="215"/>
      <c r="D28" s="216"/>
      <c r="E28" s="224"/>
      <c r="F28" s="230"/>
      <c r="G28" s="231"/>
      <c r="H28" s="232" t="s">
        <v>485</v>
      </c>
      <c r="I28" s="755"/>
      <c r="J28" s="213">
        <f>+'7'!J28</f>
        <v>0</v>
      </c>
      <c r="K28" s="238"/>
      <c r="L28" s="238"/>
      <c r="M28" s="116">
        <f>+K28+'7'!M28+L28</f>
        <v>0</v>
      </c>
      <c r="N28" s="148" t="s">
        <v>501</v>
      </c>
      <c r="O28" s="148">
        <v>1070</v>
      </c>
      <c r="P28" s="148">
        <f>+O28-(O28*0.25)</f>
        <v>802.5</v>
      </c>
      <c r="Q28" s="148">
        <f>60-33</f>
        <v>27</v>
      </c>
      <c r="R28" s="148">
        <f t="shared" si="8"/>
        <v>28890</v>
      </c>
      <c r="S28" s="148">
        <f t="shared" si="9"/>
        <v>21667.5</v>
      </c>
    </row>
    <row r="29" spans="1:1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+'7'!J29</f>
        <v>0</v>
      </c>
      <c r="K29" s="238"/>
      <c r="L29" s="238"/>
      <c r="M29" s="116">
        <f>+K29+'7'!M29+L29</f>
        <v>0</v>
      </c>
    </row>
    <row r="30" spans="1:1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+'7'!J30</f>
        <v>0</v>
      </c>
      <c r="K30" s="238"/>
      <c r="L30" s="238"/>
      <c r="M30" s="116">
        <f>+K30+'7'!M30+L30</f>
        <v>0</v>
      </c>
    </row>
    <row r="31" spans="1:1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+'7'!J31</f>
        <v>0</v>
      </c>
      <c r="K31" s="238"/>
      <c r="L31" s="238"/>
      <c r="M31" s="116">
        <f>+K31+'7'!M31+L31</f>
        <v>0</v>
      </c>
      <c r="P31" s="148">
        <f>+O31-(O31*0.23)</f>
        <v>0</v>
      </c>
      <c r="R31" s="148">
        <f t="shared" ref="R31:R32" si="10">+O31*Q31</f>
        <v>0</v>
      </c>
      <c r="S31" s="148">
        <f t="shared" ref="S31:S32" si="11">+P31*Q31</f>
        <v>0</v>
      </c>
    </row>
    <row r="32" spans="1:19" ht="13.5" thickBot="1">
      <c r="A32" s="758"/>
      <c r="B32" s="164" t="s">
        <v>2</v>
      </c>
      <c r="C32" s="98">
        <f>SUM(C25:C31)</f>
        <v>14106</v>
      </c>
      <c r="D32" s="99">
        <f>SUM(D25:D31)</f>
        <v>0</v>
      </c>
      <c r="E32" s="100">
        <f>SUM(E25:E31)</f>
        <v>0</v>
      </c>
      <c r="F32" s="101">
        <f>SUM(F24:F31)</f>
        <v>32</v>
      </c>
      <c r="G32" s="170"/>
      <c r="H32" s="171"/>
      <c r="I32" s="168"/>
      <c r="J32" s="213">
        <f>+'7'!J32</f>
        <v>0</v>
      </c>
      <c r="K32" s="240"/>
      <c r="L32" s="242"/>
      <c r="M32" s="116">
        <f>+K32+'7'!M32+L32</f>
        <v>0</v>
      </c>
      <c r="P32" s="148">
        <f>+O32-(O32*0.23)</f>
        <v>0</v>
      </c>
      <c r="R32" s="148">
        <f t="shared" si="10"/>
        <v>0</v>
      </c>
      <c r="S32" s="148">
        <f t="shared" si="11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44163</v>
      </c>
      <c r="D34" s="106">
        <f>D14+D23+D32</f>
        <v>0</v>
      </c>
      <c r="E34" s="106">
        <f>E14+E23+E32</f>
        <v>0</v>
      </c>
      <c r="F34" s="107">
        <f>F14+F23+F32</f>
        <v>80</v>
      </c>
      <c r="H34" s="177"/>
      <c r="I34" s="177"/>
      <c r="J34" s="122" t="s">
        <v>28</v>
      </c>
      <c r="K34" s="123">
        <f>SUM(K7:K32)</f>
        <v>44163</v>
      </c>
      <c r="L34" s="211">
        <f>SUM(L7:L32)</f>
        <v>0</v>
      </c>
      <c r="M34" s="119">
        <f>SUM(M7:M32)</f>
        <v>313932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504540</v>
      </c>
      <c r="S35" s="175">
        <f>SUM(S27:S32)</f>
        <v>378405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1051.125</v>
      </c>
      <c r="S36" s="175">
        <f>+S35/Q35</f>
        <v>788.34375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(14*260+16*1153+15*27)/1440*G42*2.74*1440/1000000</f>
        <v>49.386188438958342</v>
      </c>
      <c r="J37" s="124">
        <f>+I37+'7'!J37</f>
        <v>359.26782908851601</v>
      </c>
      <c r="K37" s="125" t="s">
        <v>63</v>
      </c>
    </row>
    <row r="38" spans="1:19" ht="17.45" customHeight="1">
      <c r="A38" s="763" t="s">
        <v>12</v>
      </c>
      <c r="B38" s="764"/>
      <c r="C38" s="163">
        <f>SUMIF($G$7:$G$31,"Process",$F$7:$F$31)</f>
        <v>80</v>
      </c>
      <c r="D38" s="117">
        <f>+C38+'7'!D38</f>
        <v>578</v>
      </c>
      <c r="E38" s="142">
        <f t="shared" ref="E38:E51" si="12">D38/60</f>
        <v>9.6333333333333329</v>
      </c>
      <c r="F38" s="321">
        <v>1104.1666666666667</v>
      </c>
      <c r="G38" s="321">
        <v>828.125</v>
      </c>
      <c r="H38" s="186" t="s">
        <v>64</v>
      </c>
      <c r="I38" s="244">
        <f>14.102+14.98+14.3</f>
        <v>43.382000000000005</v>
      </c>
      <c r="J38" s="126">
        <f>+I38+'7'!J38</f>
        <v>322.596</v>
      </c>
      <c r="K38" s="127" t="s">
        <v>63</v>
      </c>
      <c r="N38" s="148" t="s">
        <v>443</v>
      </c>
      <c r="O38" s="148">
        <v>1150</v>
      </c>
      <c r="P38" s="148">
        <v>862.5</v>
      </c>
      <c r="Q38" s="148">
        <v>260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+C39+'7'!D39</f>
        <v>0</v>
      </c>
      <c r="E39" s="142">
        <f t="shared" si="12"/>
        <v>0</v>
      </c>
      <c r="F39" s="321">
        <v>1050</v>
      </c>
      <c r="G39" s="321">
        <v>787.5</v>
      </c>
      <c r="H39" s="186" t="s">
        <v>65</v>
      </c>
      <c r="I39" s="141"/>
      <c r="J39" s="128">
        <f>J37/G4</f>
        <v>44.908478636064501</v>
      </c>
      <c r="K39" s="129" t="s">
        <v>63</v>
      </c>
      <c r="N39" s="148" t="s">
        <v>475</v>
      </c>
      <c r="O39" s="148">
        <v>1050</v>
      </c>
      <c r="P39" s="148">
        <v>787.5</v>
      </c>
      <c r="Q39" s="148">
        <f>220+480+453</f>
        <v>1153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+C40+'7'!D40</f>
        <v>0</v>
      </c>
      <c r="E40" s="142">
        <f t="shared" si="12"/>
        <v>0</v>
      </c>
      <c r="F40" s="321">
        <v>1051.125</v>
      </c>
      <c r="G40" s="321">
        <v>788.34375</v>
      </c>
      <c r="H40" s="186" t="s">
        <v>67</v>
      </c>
      <c r="I40" s="117">
        <f>(K34+L34)/1000</f>
        <v>44.162999999999997</v>
      </c>
      <c r="J40" s="130">
        <f>+I40+'7'!J40</f>
        <v>313.93200000000002</v>
      </c>
      <c r="K40" s="129" t="s">
        <v>63</v>
      </c>
      <c r="N40" s="148" t="s">
        <v>501</v>
      </c>
      <c r="O40" s="148">
        <v>1070</v>
      </c>
      <c r="P40" s="148">
        <v>802.5</v>
      </c>
      <c r="Q40" s="148">
        <v>27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+C41+'7'!D41</f>
        <v>0</v>
      </c>
      <c r="E41" s="142">
        <f t="shared" si="12"/>
        <v>0</v>
      </c>
      <c r="F41" s="321"/>
      <c r="G41" s="321"/>
      <c r="H41" s="186" t="s">
        <v>69</v>
      </c>
      <c r="I41" s="141"/>
      <c r="J41" s="128">
        <f>J40/G4</f>
        <v>39.241500000000002</v>
      </c>
      <c r="K41" s="129" t="s">
        <v>63</v>
      </c>
      <c r="Q41" s="148">
        <f>SUM(Q38:Q40)</f>
        <v>1440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+C42+'7'!D42</f>
        <v>0</v>
      </c>
      <c r="E42" s="142">
        <f t="shared" si="12"/>
        <v>0</v>
      </c>
      <c r="F42" s="321">
        <f>+(480*F38+480*F39+480*F40)/1440</f>
        <v>1068.4305555555557</v>
      </c>
      <c r="G42" s="321">
        <f>+(480*G38+480*G39+480*G40)/1440</f>
        <v>801.32291666666663</v>
      </c>
      <c r="H42" s="186" t="s">
        <v>70</v>
      </c>
      <c r="I42" s="245" t="s">
        <v>492</v>
      </c>
      <c r="J42" s="131"/>
      <c r="K42" s="129" t="s">
        <v>71</v>
      </c>
    </row>
    <row r="43" spans="1:19" ht="17.45" customHeight="1">
      <c r="A43" s="765" t="s">
        <v>221</v>
      </c>
      <c r="B43" s="766"/>
      <c r="C43" s="163">
        <f>SUMIF($G$7:$G$31,"Change Grade",$F$7:$F$31)</f>
        <v>0</v>
      </c>
      <c r="D43" s="117">
        <f>+C43+'7'!D43</f>
        <v>0</v>
      </c>
      <c r="E43" s="142">
        <f t="shared" si="12"/>
        <v>0</v>
      </c>
      <c r="F43" s="321"/>
      <c r="G43" s="322"/>
      <c r="H43" s="187" t="s">
        <v>73</v>
      </c>
      <c r="I43" s="117">
        <f>+Report1!Z16</f>
        <v>53</v>
      </c>
      <c r="J43" s="132">
        <f>+I43+'7'!J43</f>
        <v>442.4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+C44+'7'!D44</f>
        <v>0</v>
      </c>
      <c r="E44" s="142">
        <f t="shared" si="12"/>
        <v>0</v>
      </c>
      <c r="F44" s="321"/>
      <c r="G44" s="322"/>
      <c r="H44" s="187" t="s">
        <v>74</v>
      </c>
      <c r="I44" s="117">
        <f>I43/I38</f>
        <v>1.221704854547969</v>
      </c>
      <c r="J44" s="133">
        <f>J43/J38</f>
        <v>1.3713747225632058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+C45+'7'!D45</f>
        <v>0</v>
      </c>
      <c r="E45" s="142">
        <f t="shared" si="12"/>
        <v>0</v>
      </c>
      <c r="F45" s="321"/>
      <c r="G45" s="324"/>
      <c r="H45" s="187" t="s">
        <v>75</v>
      </c>
      <c r="I45" s="117">
        <f>I43/I40</f>
        <v>1.2000996309127552</v>
      </c>
      <c r="J45" s="133">
        <f>J43/J40</f>
        <v>1.4092223793687804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+C46+'7'!D46</f>
        <v>0</v>
      </c>
      <c r="E46" s="142">
        <f t="shared" si="12"/>
        <v>0</v>
      </c>
      <c r="F46" s="321"/>
      <c r="G46" s="322"/>
      <c r="H46" s="187" t="s">
        <v>77</v>
      </c>
      <c r="I46" s="139">
        <f>+SUMIF(Listrik!P15,"&gt;0")</f>
        <v>34232.919999999271</v>
      </c>
      <c r="J46" s="134">
        <f>+I46+'7'!J46</f>
        <v>299297.04000000074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+C47+'7'!D47</f>
        <v>0</v>
      </c>
      <c r="E47" s="142">
        <f t="shared" si="12"/>
        <v>0</v>
      </c>
      <c r="F47" s="321"/>
      <c r="G47" s="322"/>
      <c r="H47" s="187" t="s">
        <v>80</v>
      </c>
      <c r="I47" s="117">
        <f>I46/I38</f>
        <v>789.10423678021448</v>
      </c>
      <c r="J47" s="134">
        <f>J46/J38</f>
        <v>927.77666183089912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+C48+'7'!D48</f>
        <v>0</v>
      </c>
      <c r="E48" s="142">
        <f t="shared" si="12"/>
        <v>0</v>
      </c>
      <c r="F48" s="321"/>
      <c r="G48" s="322"/>
      <c r="H48" s="187" t="s">
        <v>81</v>
      </c>
      <c r="I48" s="117">
        <f>I46/I40</f>
        <v>775.14933315216979</v>
      </c>
      <c r="J48" s="134">
        <f>J46/J40</f>
        <v>953.38175146210233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+C49+'7'!D49</f>
        <v>0</v>
      </c>
      <c r="E49" s="142">
        <f t="shared" si="12"/>
        <v>0</v>
      </c>
      <c r="F49" s="184"/>
      <c r="H49" s="187" t="s">
        <v>269</v>
      </c>
      <c r="I49" s="117">
        <f>+Report1!T16</f>
        <v>4908.8077406674092</v>
      </c>
      <c r="J49" s="134">
        <f>+I49+'7'!J49</f>
        <v>41130.104519198285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+C50+'7'!D50</f>
        <v>0</v>
      </c>
      <c r="E50" s="142">
        <f t="shared" si="12"/>
        <v>0</v>
      </c>
      <c r="F50" s="184"/>
      <c r="H50" s="187" t="s">
        <v>83</v>
      </c>
      <c r="I50" s="139">
        <f>I49/I38</f>
        <v>113.15309899652871</v>
      </c>
      <c r="J50" s="132">
        <f>J49/J38</f>
        <v>127.49725514017001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+C51+'7'!D51</f>
        <v>0</v>
      </c>
      <c r="E51" s="142">
        <f t="shared" si="12"/>
        <v>0</v>
      </c>
      <c r="F51" s="184"/>
      <c r="H51" s="189" t="s">
        <v>85</v>
      </c>
      <c r="I51" s="140">
        <f>I49/I40</f>
        <v>111.15204448672893</v>
      </c>
      <c r="J51" s="135">
        <f>J49/J40</f>
        <v>131.01596689473607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80</v>
      </c>
      <c r="D52" s="143">
        <f>SUM(D38:D51)</f>
        <v>578</v>
      </c>
      <c r="E52" s="144">
        <f>SUM(E38:E51)</f>
        <v>9.6333333333333329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5.5555555555555552E-2</v>
      </c>
      <c r="D53" s="145">
        <f>D52/(24*60*G4)</f>
        <v>5.0173611111111113E-2</v>
      </c>
      <c r="E53" s="146">
        <f>E52/(G4*24)</f>
        <v>5.0173611111111106E-2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+D34+'7'!J56</f>
        <v>1097</v>
      </c>
      <c r="K56" s="200">
        <f>J56/(J40+J56/1000)/1000</f>
        <v>3.4822190972894559E-3</v>
      </c>
    </row>
    <row r="57" spans="1:11">
      <c r="A57" s="175"/>
      <c r="I57" s="198" t="s">
        <v>88</v>
      </c>
      <c r="J57" s="199">
        <f>+E34+'7'!J57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</mergeCells>
  <phoneticPr fontId="32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topLeftCell="H7" zoomScale="80" zoomScaleNormal="75" zoomScaleSheetLayoutView="80" workbookViewId="0">
      <selection activeCell="N27" sqref="N27:S3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3.28515625" style="148" bestFit="1" customWidth="1"/>
    <col min="12" max="12" width="12" style="148" bestFit="1" customWidth="1"/>
    <col min="13" max="13" width="15.5703125" style="148" bestFit="1" customWidth="1"/>
    <col min="14" max="16384" width="9.140625" style="148"/>
  </cols>
  <sheetData>
    <row r="1" spans="1:25" ht="15.75">
      <c r="A1" s="147"/>
    </row>
    <row r="2" spans="1:25" ht="15.75">
      <c r="A2" s="147" t="s">
        <v>183</v>
      </c>
    </row>
    <row r="3" spans="1:25" ht="15">
      <c r="A3" s="149"/>
    </row>
    <row r="4" spans="1:25" ht="20.25">
      <c r="A4" s="150" t="s">
        <v>3</v>
      </c>
      <c r="B4" s="151"/>
      <c r="F4" s="152" t="s">
        <v>29</v>
      </c>
      <c r="G4" s="153">
        <v>7</v>
      </c>
      <c r="H4" s="153" t="str">
        <f>+'1'!H4</f>
        <v>.04.26</v>
      </c>
      <c r="J4" s="148">
        <f>509+522+601</f>
        <v>1632</v>
      </c>
    </row>
    <row r="5" spans="1:25" ht="13.5" thickBot="1">
      <c r="C5" s="154"/>
      <c r="D5" s="154"/>
    </row>
    <row r="6" spans="1:25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443</v>
      </c>
      <c r="O6" s="148">
        <v>1150</v>
      </c>
      <c r="P6" s="148">
        <f>+O6-(O6*0.25)</f>
        <v>862.5</v>
      </c>
      <c r="Q6" s="148">
        <f>60*7+22</f>
        <v>442</v>
      </c>
      <c r="R6" s="148">
        <f t="shared" ref="R6:R7" si="0">+O6*Q6</f>
        <v>508300</v>
      </c>
      <c r="S6" s="148">
        <f t="shared" ref="S6:S7" si="1">+P6*Q6</f>
        <v>381225</v>
      </c>
      <c r="T6" s="148" t="s">
        <v>443</v>
      </c>
      <c r="U6" s="148">
        <v>1150</v>
      </c>
      <c r="V6" s="148">
        <v>862.5</v>
      </c>
      <c r="W6" s="148">
        <v>442</v>
      </c>
      <c r="X6" s="148">
        <f t="shared" ref="X6:X7" si="2">+U6*W6</f>
        <v>508300</v>
      </c>
      <c r="Y6" s="148">
        <f t="shared" ref="Y6:Y7" si="3">+V6*W6</f>
        <v>381225</v>
      </c>
    </row>
    <row r="7" spans="1:25" ht="13.5" customHeight="1" thickBot="1">
      <c r="A7" s="751" t="s">
        <v>391</v>
      </c>
      <c r="B7" s="214" t="s">
        <v>457</v>
      </c>
      <c r="C7" s="215">
        <v>14533</v>
      </c>
      <c r="D7" s="216"/>
      <c r="E7" s="217"/>
      <c r="F7" s="227"/>
      <c r="G7" s="228" t="s">
        <v>12</v>
      </c>
      <c r="H7" s="229" t="s">
        <v>385</v>
      </c>
      <c r="I7" s="754" t="s">
        <v>477</v>
      </c>
      <c r="J7" s="213" t="str">
        <f>+'6'!J7</f>
        <v>F 11,5 VP OW</v>
      </c>
      <c r="K7" s="237"/>
      <c r="L7" s="241"/>
      <c r="M7" s="116">
        <f>+K7+'6'!M7+L7</f>
        <v>168614</v>
      </c>
      <c r="N7" s="148" t="s">
        <v>475</v>
      </c>
      <c r="O7" s="148">
        <v>1100</v>
      </c>
      <c r="P7" s="148">
        <f>+O7-(O7*0.25)</f>
        <v>825</v>
      </c>
      <c r="Q7" s="148">
        <f>480-Q6</f>
        <v>38</v>
      </c>
      <c r="R7" s="148">
        <f t="shared" si="0"/>
        <v>41800</v>
      </c>
      <c r="S7" s="148">
        <f t="shared" si="1"/>
        <v>31350</v>
      </c>
      <c r="T7" s="148" t="s">
        <v>443</v>
      </c>
      <c r="U7" s="148">
        <v>1150</v>
      </c>
      <c r="V7" s="148">
        <v>862.5</v>
      </c>
      <c r="W7" s="148">
        <v>295</v>
      </c>
      <c r="X7" s="148">
        <f t="shared" si="2"/>
        <v>339250</v>
      </c>
      <c r="Y7" s="148">
        <f t="shared" si="3"/>
        <v>254437.5</v>
      </c>
    </row>
    <row r="8" spans="1:25" ht="13.5" thickBot="1">
      <c r="A8" s="752"/>
      <c r="B8" s="214"/>
      <c r="C8" s="215"/>
      <c r="D8" s="216"/>
      <c r="E8" s="218"/>
      <c r="F8" s="230">
        <v>2</v>
      </c>
      <c r="G8" s="560" t="s">
        <v>12</v>
      </c>
      <c r="H8" s="229" t="s">
        <v>414</v>
      </c>
      <c r="I8" s="755"/>
      <c r="J8" s="213" t="str">
        <f>+'6'!J8</f>
        <v>F 14 VP OW</v>
      </c>
      <c r="K8" s="238">
        <f>+C7+C16+C25</f>
        <v>34863</v>
      </c>
      <c r="L8" s="238"/>
      <c r="M8" s="116">
        <f>+K8+'6'!M8+L8</f>
        <v>66291</v>
      </c>
      <c r="T8" s="148" t="s">
        <v>443</v>
      </c>
      <c r="U8" s="148">
        <v>1150</v>
      </c>
      <c r="V8" s="148">
        <v>862.5</v>
      </c>
      <c r="W8" s="148">
        <v>480</v>
      </c>
      <c r="X8" s="148">
        <f t="shared" ref="X8" si="4">+U8*W8</f>
        <v>552000</v>
      </c>
      <c r="Y8" s="148">
        <f t="shared" ref="Y8" si="5">+V8*W8</f>
        <v>414000</v>
      </c>
    </row>
    <row r="9" spans="1:25" ht="13.5" thickBot="1">
      <c r="A9" s="752"/>
      <c r="B9" s="214"/>
      <c r="C9" s="215"/>
      <c r="D9" s="216"/>
      <c r="E9" s="219"/>
      <c r="F9" s="227">
        <v>17</v>
      </c>
      <c r="G9" s="560" t="s">
        <v>12</v>
      </c>
      <c r="H9" s="232" t="s">
        <v>413</v>
      </c>
      <c r="I9" s="755"/>
      <c r="J9" s="213" t="str">
        <f>+'6'!J9</f>
        <v>F 13 VP OW</v>
      </c>
      <c r="K9" s="238"/>
      <c r="L9" s="238"/>
      <c r="M9" s="116">
        <f>+K9+'6'!M9+L9</f>
        <v>22241</v>
      </c>
    </row>
    <row r="10" spans="1:25" ht="39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473</v>
      </c>
      <c r="I10" s="755"/>
      <c r="J10" s="213" t="str">
        <f>+'6'!J10</f>
        <v>F 12 VP OW</v>
      </c>
      <c r="K10" s="238"/>
      <c r="L10" s="238"/>
      <c r="M10" s="116">
        <f>+K10+'6'!M10+L10</f>
        <v>7645</v>
      </c>
      <c r="P10" s="148">
        <f>+O10-(O10*0.23)</f>
        <v>0</v>
      </c>
      <c r="R10" s="148">
        <f t="shared" ref="R10:R11" si="6">+O10*Q10</f>
        <v>0</v>
      </c>
      <c r="S10" s="148">
        <f t="shared" ref="S10:S11" si="7">+P10*Q10</f>
        <v>0</v>
      </c>
      <c r="V10" s="148">
        <f>+U10-(U10*0.23)</f>
        <v>0</v>
      </c>
      <c r="X10" s="148">
        <f t="shared" ref="X10:X11" si="8">+U10*W10</f>
        <v>0</v>
      </c>
      <c r="Y10" s="148">
        <f t="shared" ref="Y10:Y11" si="9">+V10*W10</f>
        <v>0</v>
      </c>
    </row>
    <row r="11" spans="1:25" ht="13.5" thickBot="1">
      <c r="A11" s="752"/>
      <c r="B11" s="214"/>
      <c r="C11" s="215"/>
      <c r="D11" s="216"/>
      <c r="E11" s="218"/>
      <c r="F11" s="227"/>
      <c r="G11" s="231"/>
      <c r="H11" s="232" t="s">
        <v>474</v>
      </c>
      <c r="I11" s="755"/>
      <c r="J11" s="213" t="s">
        <v>481</v>
      </c>
      <c r="K11" s="238">
        <f>+C17</f>
        <v>4978</v>
      </c>
      <c r="L11" s="238"/>
      <c r="M11" s="116">
        <f>+K11+'6'!M11+L11</f>
        <v>4978</v>
      </c>
      <c r="P11" s="148">
        <f>+O11-(O11*0.23)</f>
        <v>0</v>
      </c>
      <c r="R11" s="148">
        <f t="shared" si="6"/>
        <v>0</v>
      </c>
      <c r="S11" s="148">
        <f t="shared" si="7"/>
        <v>0</v>
      </c>
      <c r="V11" s="148">
        <f>+U11-(U11*0.23)</f>
        <v>0</v>
      </c>
      <c r="X11" s="148">
        <f t="shared" si="8"/>
        <v>0</v>
      </c>
      <c r="Y11" s="148">
        <f t="shared" si="9"/>
        <v>0</v>
      </c>
    </row>
    <row r="12" spans="1:25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>
        <f>+'6'!J12</f>
        <v>0</v>
      </c>
      <c r="K12" s="238"/>
      <c r="L12" s="238"/>
      <c r="M12" s="116">
        <f>+K12+'6'!M12+L12</f>
        <v>0</v>
      </c>
    </row>
    <row r="13" spans="1:25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>
        <f>+'6'!J13</f>
        <v>0</v>
      </c>
      <c r="K13" s="238"/>
      <c r="L13" s="238"/>
      <c r="M13" s="116">
        <f>+K13+'6'!M13+L13</f>
        <v>0</v>
      </c>
    </row>
    <row r="14" spans="1:25" ht="13.5" thickBot="1">
      <c r="A14" s="753"/>
      <c r="B14" s="164" t="s">
        <v>2</v>
      </c>
      <c r="C14" s="98">
        <f>SUM(C7:C13)</f>
        <v>14533</v>
      </c>
      <c r="D14" s="110">
        <f>SUM(D7:D13)</f>
        <v>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>
        <f>+'6'!J14</f>
        <v>0</v>
      </c>
      <c r="K14" s="238"/>
      <c r="L14" s="238"/>
      <c r="M14" s="116">
        <f>+K14+'6'!M14+L14</f>
        <v>0</v>
      </c>
      <c r="Q14" s="175">
        <f>SUM(Q6:Q11)</f>
        <v>480</v>
      </c>
      <c r="R14" s="175">
        <f>SUM(R6:R11)</f>
        <v>550100</v>
      </c>
      <c r="S14" s="175">
        <f>SUM(S6:S11)</f>
        <v>412575</v>
      </c>
      <c r="W14" s="175">
        <f>SUM(W6:W11)</f>
        <v>1217</v>
      </c>
      <c r="X14" s="175">
        <f>SUM(X6:X11)</f>
        <v>1399550</v>
      </c>
      <c r="Y14" s="175">
        <f>SUM(Y6:Y11)</f>
        <v>1049662.5</v>
      </c>
    </row>
    <row r="15" spans="1:25" ht="13.5" customHeight="1" thickBot="1">
      <c r="A15" s="751" t="s">
        <v>389</v>
      </c>
      <c r="B15" s="164"/>
      <c r="C15" s="112">
        <f>C14/($C$23+$D$23+$E$23)</f>
        <v>1.0688387144222991</v>
      </c>
      <c r="D15" s="113">
        <f>D14/($C$23+$D$23+$E$23)</f>
        <v>0</v>
      </c>
      <c r="E15" s="114">
        <f>E14/($C$23+$D$23+$E$23)</f>
        <v>0</v>
      </c>
      <c r="F15" s="227">
        <v>12</v>
      </c>
      <c r="G15" s="228" t="s">
        <v>12</v>
      </c>
      <c r="H15" s="229" t="s">
        <v>453</v>
      </c>
      <c r="I15" s="754" t="s">
        <v>476</v>
      </c>
      <c r="J15" s="213">
        <f>+'6'!J15</f>
        <v>0</v>
      </c>
      <c r="K15" s="238"/>
      <c r="L15" s="238"/>
      <c r="M15" s="116">
        <f>+K15+'6'!M15+L15</f>
        <v>0</v>
      </c>
      <c r="R15" s="175">
        <f>+R14/Q14</f>
        <v>1146.0416666666667</v>
      </c>
      <c r="S15" s="175">
        <f>+S14/Q14</f>
        <v>859.53125</v>
      </c>
      <c r="X15" s="175">
        <f>+X14/W14</f>
        <v>1150</v>
      </c>
      <c r="Y15" s="175">
        <f>+Y14/W14</f>
        <v>862.5</v>
      </c>
    </row>
    <row r="16" spans="1:25" ht="13.5" thickBot="1">
      <c r="A16" s="757"/>
      <c r="B16" s="214" t="s">
        <v>457</v>
      </c>
      <c r="C16" s="221">
        <f>3964+4258</f>
        <v>8222</v>
      </c>
      <c r="D16" s="222">
        <v>397</v>
      </c>
      <c r="E16" s="223"/>
      <c r="F16" s="230">
        <v>2</v>
      </c>
      <c r="G16" s="560" t="s">
        <v>12</v>
      </c>
      <c r="H16" s="229" t="s">
        <v>414</v>
      </c>
      <c r="I16" s="755"/>
      <c r="J16" s="213">
        <f>+'6'!J16</f>
        <v>0</v>
      </c>
      <c r="K16" s="228"/>
      <c r="L16" s="228"/>
      <c r="M16" s="116">
        <f>+K16+'6'!M16+L16</f>
        <v>0</v>
      </c>
    </row>
    <row r="17" spans="1:25" ht="13.5" thickBot="1">
      <c r="A17" s="757"/>
      <c r="B17" s="214" t="s">
        <v>481</v>
      </c>
      <c r="C17" s="215">
        <v>4978</v>
      </c>
      <c r="D17" s="216"/>
      <c r="E17" s="224"/>
      <c r="F17" s="227">
        <f>38-14</f>
        <v>24</v>
      </c>
      <c r="G17" s="560" t="s">
        <v>12</v>
      </c>
      <c r="H17" s="232" t="s">
        <v>427</v>
      </c>
      <c r="I17" s="755"/>
      <c r="J17" s="213">
        <f>+'6'!J17</f>
        <v>0</v>
      </c>
      <c r="K17" s="228"/>
      <c r="L17" s="228"/>
      <c r="M17" s="116">
        <f>+K17+'6'!M17+L17</f>
        <v>0</v>
      </c>
      <c r="N17" s="148" t="s">
        <v>475</v>
      </c>
      <c r="O17" s="148">
        <v>1100</v>
      </c>
      <c r="P17" s="148">
        <f>+O17-(O17*0.25)</f>
        <v>825</v>
      </c>
      <c r="Q17" s="148">
        <f>60*3+5</f>
        <v>185</v>
      </c>
      <c r="R17" s="148">
        <f t="shared" ref="R17:R18" si="10">+O17*Q17</f>
        <v>203500</v>
      </c>
      <c r="S17" s="148">
        <f t="shared" ref="S17:S18" si="11">+P17*Q17</f>
        <v>152625</v>
      </c>
      <c r="T17" s="148" t="s">
        <v>475</v>
      </c>
      <c r="U17" s="148">
        <v>1100</v>
      </c>
      <c r="V17" s="148">
        <v>825</v>
      </c>
      <c r="W17" s="148">
        <v>38</v>
      </c>
      <c r="X17" s="148">
        <f t="shared" ref="X17:X18" si="12">+U17*W17</f>
        <v>41800</v>
      </c>
      <c r="Y17" s="148">
        <f t="shared" ref="Y17:Y18" si="13">+V17*W17</f>
        <v>31350</v>
      </c>
    </row>
    <row r="18" spans="1:25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471</v>
      </c>
      <c r="I18" s="755"/>
      <c r="J18" s="213">
        <f>+'6'!J18</f>
        <v>0</v>
      </c>
      <c r="K18" s="238"/>
      <c r="L18" s="238"/>
      <c r="M18" s="116">
        <f>+K18+'6'!M18+L18</f>
        <v>0</v>
      </c>
      <c r="N18" s="148" t="s">
        <v>443</v>
      </c>
      <c r="O18" s="148">
        <v>1150</v>
      </c>
      <c r="P18" s="148">
        <f>+O18-(O18*0.25)</f>
        <v>862.5</v>
      </c>
      <c r="Q18" s="148">
        <f>480-Q17</f>
        <v>295</v>
      </c>
      <c r="R18" s="148">
        <f t="shared" si="10"/>
        <v>339250</v>
      </c>
      <c r="S18" s="148">
        <f t="shared" si="11"/>
        <v>254437.5</v>
      </c>
      <c r="T18" s="148" t="s">
        <v>475</v>
      </c>
      <c r="U18" s="148">
        <v>1100</v>
      </c>
      <c r="V18" s="148">
        <v>825</v>
      </c>
      <c r="W18" s="148">
        <v>185</v>
      </c>
      <c r="X18" s="148">
        <f t="shared" si="12"/>
        <v>203500</v>
      </c>
      <c r="Y18" s="148">
        <f t="shared" si="13"/>
        <v>152625</v>
      </c>
    </row>
    <row r="19" spans="1:25" ht="39" thickBot="1">
      <c r="A19" s="757"/>
      <c r="B19" s="214"/>
      <c r="C19" s="215"/>
      <c r="D19" s="216"/>
      <c r="E19" s="224"/>
      <c r="F19" s="234"/>
      <c r="G19" s="231"/>
      <c r="H19" s="232" t="s">
        <v>472</v>
      </c>
      <c r="I19" s="755"/>
      <c r="J19" s="213">
        <f>+'6'!J19</f>
        <v>0</v>
      </c>
      <c r="K19" s="238"/>
      <c r="L19" s="238"/>
      <c r="M19" s="116">
        <f>+K19+'6'!M19+L19</f>
        <v>0</v>
      </c>
    </row>
    <row r="20" spans="1:25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+'6'!J20</f>
        <v>0</v>
      </c>
      <c r="K20" s="239"/>
      <c r="L20" s="239"/>
      <c r="M20" s="116">
        <f>+K20+'6'!M20+L20</f>
        <v>0</v>
      </c>
    </row>
    <row r="21" spans="1:25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+'6'!J21</f>
        <v>0</v>
      </c>
      <c r="K21" s="238"/>
      <c r="L21" s="238"/>
      <c r="M21" s="116">
        <f>+K21+'6'!M21+L21</f>
        <v>0</v>
      </c>
      <c r="P21" s="148">
        <f>+O21-(O21*0.23)</f>
        <v>0</v>
      </c>
      <c r="R21" s="148">
        <f t="shared" ref="R21:R22" si="14">+O21*Q21</f>
        <v>0</v>
      </c>
      <c r="S21" s="148">
        <f t="shared" ref="S21:S22" si="15">+P21*Q21</f>
        <v>0</v>
      </c>
      <c r="V21" s="148">
        <f>+U21-(U21*0.23)</f>
        <v>0</v>
      </c>
      <c r="X21" s="148">
        <f t="shared" ref="X21:X22" si="16">+U21*W21</f>
        <v>0</v>
      </c>
      <c r="Y21" s="148">
        <f t="shared" ref="Y21:Y22" si="17">+V21*W21</f>
        <v>0</v>
      </c>
    </row>
    <row r="22" spans="1:25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+'6'!J22</f>
        <v>0</v>
      </c>
      <c r="K22" s="238"/>
      <c r="L22" s="238"/>
      <c r="M22" s="116">
        <f>+K22+'6'!M22+L22</f>
        <v>0</v>
      </c>
      <c r="P22" s="148">
        <f>+O22-(O22*0.23)</f>
        <v>0</v>
      </c>
      <c r="R22" s="148">
        <f t="shared" si="14"/>
        <v>0</v>
      </c>
      <c r="S22" s="148">
        <f t="shared" si="15"/>
        <v>0</v>
      </c>
      <c r="V22" s="148">
        <f>+U22-(U22*0.23)</f>
        <v>0</v>
      </c>
      <c r="X22" s="148">
        <f t="shared" si="16"/>
        <v>0</v>
      </c>
      <c r="Y22" s="148">
        <f t="shared" si="17"/>
        <v>0</v>
      </c>
    </row>
    <row r="23" spans="1:25" ht="13.5" thickBot="1">
      <c r="A23" s="758"/>
      <c r="B23" s="167" t="s">
        <v>2</v>
      </c>
      <c r="C23" s="99">
        <f>SUM(C16:C22)</f>
        <v>13200</v>
      </c>
      <c r="D23" s="110">
        <f>SUM(D16:D22)</f>
        <v>397</v>
      </c>
      <c r="E23" s="111">
        <f>SUM(E18:E22)</f>
        <v>0</v>
      </c>
      <c r="F23" s="115">
        <f>SUM(F15:F22)</f>
        <v>38</v>
      </c>
      <c r="G23" s="158"/>
      <c r="H23" s="165"/>
      <c r="I23" s="168"/>
      <c r="J23" s="213">
        <f>+'6'!J23</f>
        <v>0</v>
      </c>
      <c r="K23" s="238"/>
      <c r="L23" s="238"/>
      <c r="M23" s="116">
        <f>+K23+'6'!M23+L23</f>
        <v>0</v>
      </c>
    </row>
    <row r="24" spans="1:25" ht="13.5" customHeight="1" thickBot="1">
      <c r="A24" s="751" t="s">
        <v>432</v>
      </c>
      <c r="B24" s="169"/>
      <c r="C24" s="112">
        <f>C23/($C$23+$D$23+$E$23)</f>
        <v>0.97080238287857612</v>
      </c>
      <c r="D24" s="113">
        <f>D23/($C$23+$D$23+$E$23)</f>
        <v>2.9197617121423842E-2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462</v>
      </c>
      <c r="J24" s="213">
        <f>+'6'!J24</f>
        <v>0</v>
      </c>
      <c r="K24" s="238"/>
      <c r="L24" s="238"/>
      <c r="M24" s="116">
        <f>+K24+'6'!M24+L24</f>
        <v>0</v>
      </c>
    </row>
    <row r="25" spans="1:25" ht="13.5" thickBot="1">
      <c r="A25" s="757"/>
      <c r="B25" s="214" t="s">
        <v>457</v>
      </c>
      <c r="C25" s="225">
        <v>12108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+'6'!J25</f>
        <v>0</v>
      </c>
      <c r="K25" s="238"/>
      <c r="L25" s="238"/>
      <c r="M25" s="116">
        <f>+K25+'6'!M25+L25</f>
        <v>0</v>
      </c>
      <c r="Q25" s="175">
        <f>SUM(Q17:Q22)</f>
        <v>480</v>
      </c>
      <c r="R25" s="175">
        <f>SUM(R17:R22)</f>
        <v>542750</v>
      </c>
      <c r="S25" s="175">
        <f>SUM(S17:S22)</f>
        <v>407062.5</v>
      </c>
      <c r="W25" s="175">
        <f>SUM(W17:W22)</f>
        <v>223</v>
      </c>
      <c r="X25" s="175">
        <f>SUM(X17:X22)</f>
        <v>245300</v>
      </c>
      <c r="Y25" s="175">
        <f>SUM(Y17:Y22)</f>
        <v>183975</v>
      </c>
    </row>
    <row r="26" spans="1:25" ht="13.5" thickBot="1">
      <c r="A26" s="757"/>
      <c r="B26" s="214"/>
      <c r="C26" s="225"/>
      <c r="D26" s="216"/>
      <c r="E26" s="226"/>
      <c r="F26" s="227">
        <f>22-4</f>
        <v>18</v>
      </c>
      <c r="G26" s="560" t="s">
        <v>12</v>
      </c>
      <c r="H26" s="232" t="s">
        <v>450</v>
      </c>
      <c r="I26" s="755"/>
      <c r="J26" s="213">
        <f>+'6'!J26</f>
        <v>0</v>
      </c>
      <c r="K26" s="238"/>
      <c r="L26" s="238"/>
      <c r="M26" s="116">
        <f>+K26+'6'!M26+L26</f>
        <v>0</v>
      </c>
      <c r="R26" s="175">
        <f>+R25/Q25</f>
        <v>1130.7291666666667</v>
      </c>
      <c r="S26" s="175">
        <f>+S25/Q25</f>
        <v>848.046875</v>
      </c>
      <c r="X26" s="175">
        <f>+X25/W25</f>
        <v>1100</v>
      </c>
      <c r="Y26" s="175">
        <f>+Y25/W25</f>
        <v>825</v>
      </c>
    </row>
    <row r="27" spans="1:25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458</v>
      </c>
      <c r="I27" s="755"/>
      <c r="J27" s="213">
        <f>+'6'!J27</f>
        <v>0</v>
      </c>
      <c r="K27" s="238"/>
      <c r="L27" s="238"/>
      <c r="M27" s="116">
        <f>+K27+'6'!M27+L27</f>
        <v>0</v>
      </c>
      <c r="N27" s="148" t="s">
        <v>443</v>
      </c>
      <c r="O27" s="148">
        <v>1150</v>
      </c>
      <c r="P27" s="148">
        <f>+O27-(O27*0.25)</f>
        <v>862.5</v>
      </c>
      <c r="Q27" s="148">
        <v>480</v>
      </c>
      <c r="R27" s="148">
        <f t="shared" ref="R27" si="18">+O27*Q27</f>
        <v>552000</v>
      </c>
      <c r="S27" s="148">
        <f t="shared" ref="S27" si="19">+P27*Q27</f>
        <v>414000</v>
      </c>
    </row>
    <row r="28" spans="1:25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+'6'!J28</f>
        <v>0</v>
      </c>
      <c r="K28" s="238"/>
      <c r="L28" s="238"/>
      <c r="M28" s="116">
        <f>+K28+'6'!M28+L28</f>
        <v>0</v>
      </c>
    </row>
    <row r="29" spans="1:25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+'6'!J29</f>
        <v>0</v>
      </c>
      <c r="K29" s="238"/>
      <c r="L29" s="238"/>
      <c r="M29" s="116">
        <f>+K29+'6'!M29+L29</f>
        <v>0</v>
      </c>
    </row>
    <row r="30" spans="1:25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+'6'!J30</f>
        <v>0</v>
      </c>
      <c r="K30" s="238"/>
      <c r="L30" s="238"/>
      <c r="M30" s="116">
        <f>+K30+'6'!M30+L30</f>
        <v>0</v>
      </c>
    </row>
    <row r="31" spans="1:25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+'6'!J31</f>
        <v>0</v>
      </c>
      <c r="K31" s="238"/>
      <c r="L31" s="238"/>
      <c r="M31" s="116">
        <f>+K31+'6'!M31+L31</f>
        <v>0</v>
      </c>
      <c r="P31" s="148">
        <f>+O31-(O31*0.23)</f>
        <v>0</v>
      </c>
      <c r="R31" s="148">
        <f t="shared" ref="R31:R32" si="20">+O31*Q31</f>
        <v>0</v>
      </c>
      <c r="S31" s="148">
        <f t="shared" ref="S31:S32" si="21">+P31*Q31</f>
        <v>0</v>
      </c>
    </row>
    <row r="32" spans="1:25" ht="13.5" thickBot="1">
      <c r="A32" s="758"/>
      <c r="B32" s="164" t="s">
        <v>2</v>
      </c>
      <c r="C32" s="98">
        <f>SUM(C25:C31)</f>
        <v>12108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+'6'!J32</f>
        <v>0</v>
      </c>
      <c r="K32" s="240"/>
      <c r="L32" s="242"/>
      <c r="M32" s="116">
        <f>+K32+'6'!M32+L32</f>
        <v>0</v>
      </c>
      <c r="P32" s="148">
        <f>+O32-(O32*0.23)</f>
        <v>0</v>
      </c>
      <c r="R32" s="148">
        <f t="shared" si="20"/>
        <v>0</v>
      </c>
      <c r="S32" s="148">
        <f t="shared" si="21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39841</v>
      </c>
      <c r="D34" s="106">
        <f>D14+D23+D32</f>
        <v>397</v>
      </c>
      <c r="E34" s="106">
        <f>E14+E23+E32</f>
        <v>0</v>
      </c>
      <c r="F34" s="107">
        <f>F14+F23+F32</f>
        <v>79</v>
      </c>
      <c r="H34" s="177"/>
      <c r="I34" s="177"/>
      <c r="J34" s="122" t="s">
        <v>28</v>
      </c>
      <c r="K34" s="123">
        <f>SUM(K7:K32)</f>
        <v>39841</v>
      </c>
      <c r="L34" s="211">
        <f>SUM(L7:L32)</f>
        <v>0</v>
      </c>
      <c r="M34" s="119">
        <f>SUM(M7:M32)</f>
        <v>269769</v>
      </c>
    </row>
    <row r="35" spans="1:19" ht="13.5" thickBot="1">
      <c r="A35" s="178"/>
      <c r="B35" s="179"/>
      <c r="C35" s="103">
        <f>C34/($C$34+$D$34+$E$34)</f>
        <v>0.99013370445847204</v>
      </c>
      <c r="D35" s="103">
        <f>D34/($C$34+$D$34+$E$34)</f>
        <v>9.8662955415279082E-3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552000</v>
      </c>
      <c r="S35" s="175">
        <f>SUM(S27:S32)</f>
        <v>414000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1150</v>
      </c>
      <c r="S36" s="175">
        <f>+S35/Q35</f>
        <v>862.5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(14*1217+16*223)/1440*G42*2.74*1440/1000000</f>
        <v>48.369247257291669</v>
      </c>
      <c r="J37" s="124">
        <f>+I37+'6'!J37</f>
        <v>309.88164064955765</v>
      </c>
      <c r="K37" s="125" t="s">
        <v>63</v>
      </c>
    </row>
    <row r="38" spans="1:19" ht="17.45" customHeight="1">
      <c r="A38" s="763" t="s">
        <v>12</v>
      </c>
      <c r="B38" s="764"/>
      <c r="C38" s="163">
        <f>SUMIF($G$7:$G$31,"Process",$F$7:$F$31)</f>
        <v>79</v>
      </c>
      <c r="D38" s="117">
        <f>+C38+'6'!D38</f>
        <v>498</v>
      </c>
      <c r="E38" s="142">
        <f t="shared" ref="E38:E51" si="22">D38/60</f>
        <v>8.3000000000000007</v>
      </c>
      <c r="F38" s="321">
        <v>1146.0416666666667</v>
      </c>
      <c r="G38" s="321">
        <v>859.53125</v>
      </c>
      <c r="H38" s="186" t="s">
        <v>64</v>
      </c>
      <c r="I38" s="244">
        <f>14.29+15.026+14.116</f>
        <v>43.432000000000002</v>
      </c>
      <c r="J38" s="126">
        <f>+I38+'6'!J38</f>
        <v>279.214</v>
      </c>
      <c r="K38" s="127" t="s">
        <v>63</v>
      </c>
      <c r="N38" s="148" t="s">
        <v>443</v>
      </c>
      <c r="O38" s="148">
        <v>1150</v>
      </c>
      <c r="P38" s="148">
        <v>862.5</v>
      </c>
      <c r="Q38" s="148">
        <v>1217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+C39+'6'!D39</f>
        <v>0</v>
      </c>
      <c r="E39" s="142">
        <f t="shared" si="22"/>
        <v>0</v>
      </c>
      <c r="F39" s="321">
        <v>1130.7291666666667</v>
      </c>
      <c r="G39" s="321">
        <v>848.046875</v>
      </c>
      <c r="H39" s="186" t="s">
        <v>65</v>
      </c>
      <c r="I39" s="141"/>
      <c r="J39" s="128">
        <f>J37/G4</f>
        <v>44.268805807079666</v>
      </c>
      <c r="K39" s="129" t="s">
        <v>63</v>
      </c>
      <c r="N39" s="148" t="s">
        <v>475</v>
      </c>
      <c r="O39" s="148">
        <v>1100</v>
      </c>
      <c r="P39" s="148">
        <v>825</v>
      </c>
      <c r="Q39" s="148">
        <v>223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+C40+'6'!D40</f>
        <v>0</v>
      </c>
      <c r="E40" s="142">
        <f t="shared" si="22"/>
        <v>0</v>
      </c>
      <c r="F40" s="321">
        <v>1150</v>
      </c>
      <c r="G40" s="321">
        <v>862.5</v>
      </c>
      <c r="H40" s="186" t="s">
        <v>67</v>
      </c>
      <c r="I40" s="117">
        <f>(K34+L34)/1000</f>
        <v>39.841000000000001</v>
      </c>
      <c r="J40" s="130">
        <f>+I40+'6'!J40</f>
        <v>269.76900000000001</v>
      </c>
      <c r="K40" s="129" t="s">
        <v>63</v>
      </c>
      <c r="Q40" s="148">
        <f>SUM(Q38:Q39)</f>
        <v>1440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+C41+'6'!D41</f>
        <v>0</v>
      </c>
      <c r="E41" s="142">
        <f t="shared" si="22"/>
        <v>0</v>
      </c>
      <c r="F41" s="321"/>
      <c r="G41" s="321"/>
      <c r="H41" s="186" t="s">
        <v>69</v>
      </c>
      <c r="I41" s="141"/>
      <c r="J41" s="128">
        <f>J40/G4</f>
        <v>38.538428571428575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+C42+'6'!D42</f>
        <v>0</v>
      </c>
      <c r="E42" s="142">
        <f t="shared" si="22"/>
        <v>0</v>
      </c>
      <c r="F42" s="321">
        <f>+(480*F38+480*F39+480*F40)/1440</f>
        <v>1142.2569444444443</v>
      </c>
      <c r="G42" s="321">
        <f>+(480*G38+480*G39+480*G40)/1440</f>
        <v>856.69270833333337</v>
      </c>
      <c r="H42" s="186" t="s">
        <v>70</v>
      </c>
      <c r="I42" s="245" t="s">
        <v>478</v>
      </c>
      <c r="J42" s="131"/>
      <c r="K42" s="129" t="s">
        <v>71</v>
      </c>
    </row>
    <row r="43" spans="1:19" ht="17.45" customHeight="1">
      <c r="A43" s="765" t="s">
        <v>72</v>
      </c>
      <c r="B43" s="766"/>
      <c r="C43" s="163">
        <f>SUMIF($G$7:$G$31,"Water",$F$7:$F$31)</f>
        <v>0</v>
      </c>
      <c r="D43" s="117">
        <f>+C43+'6'!D43</f>
        <v>0</v>
      </c>
      <c r="E43" s="142">
        <f t="shared" si="22"/>
        <v>0</v>
      </c>
      <c r="F43" s="321"/>
      <c r="G43" s="322"/>
      <c r="H43" s="187" t="s">
        <v>73</v>
      </c>
      <c r="I43" s="117">
        <f>+Report1!Z15</f>
        <v>53.2</v>
      </c>
      <c r="J43" s="132">
        <f>+I43+'6'!J43</f>
        <v>389.4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+C44+'6'!D44</f>
        <v>0</v>
      </c>
      <c r="E44" s="142">
        <f t="shared" si="22"/>
        <v>0</v>
      </c>
      <c r="F44" s="321"/>
      <c r="G44" s="322"/>
      <c r="H44" s="187" t="s">
        <v>74</v>
      </c>
      <c r="I44" s="117">
        <f>I43/I38</f>
        <v>1.2249032971081231</v>
      </c>
      <c r="J44" s="133">
        <f>J43/J38</f>
        <v>1.3946292091370776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+C45+'6'!D45</f>
        <v>0</v>
      </c>
      <c r="E45" s="142">
        <f t="shared" si="22"/>
        <v>0</v>
      </c>
      <c r="F45" s="321"/>
      <c r="G45" s="324"/>
      <c r="H45" s="187" t="s">
        <v>75</v>
      </c>
      <c r="I45" s="117">
        <f>I43/I40</f>
        <v>1.3353078486985768</v>
      </c>
      <c r="J45" s="133">
        <f>J43/J40</f>
        <v>1.4434571800318048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+C46+'6'!D46</f>
        <v>0</v>
      </c>
      <c r="E46" s="142">
        <f t="shared" si="22"/>
        <v>0</v>
      </c>
      <c r="F46" s="321"/>
      <c r="G46" s="322"/>
      <c r="H46" s="187" t="s">
        <v>77</v>
      </c>
      <c r="I46" s="139">
        <f>+SUMIF(Listrik!P14,"&gt;0")</f>
        <v>35942.300000001094</v>
      </c>
      <c r="J46" s="134">
        <f>+I46+'6'!J46</f>
        <v>265064.12000000145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+C47+'6'!D47</f>
        <v>0</v>
      </c>
      <c r="E47" s="142">
        <f t="shared" si="22"/>
        <v>0</v>
      </c>
      <c r="F47" s="321"/>
      <c r="G47" s="322"/>
      <c r="H47" s="187" t="s">
        <v>80</v>
      </c>
      <c r="I47" s="117">
        <f>I46/I38</f>
        <v>827.55341683553809</v>
      </c>
      <c r="J47" s="134">
        <f>J46/J38</f>
        <v>949.32245517775414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+C48+'6'!D48</f>
        <v>0</v>
      </c>
      <c r="E48" s="142">
        <f t="shared" si="22"/>
        <v>0</v>
      </c>
      <c r="F48" s="321"/>
      <c r="G48" s="322"/>
      <c r="H48" s="187" t="s">
        <v>81</v>
      </c>
      <c r="I48" s="117">
        <f>I46/I40</f>
        <v>902.14352049399099</v>
      </c>
      <c r="J48" s="134">
        <f>J46/J40</f>
        <v>982.55959728509004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+C49+'6'!D49</f>
        <v>0</v>
      </c>
      <c r="E49" s="142">
        <f t="shared" si="22"/>
        <v>0</v>
      </c>
      <c r="F49" s="184"/>
      <c r="H49" s="187" t="s">
        <v>269</v>
      </c>
      <c r="I49" s="117">
        <f>+Report1!T15</f>
        <v>5253.6523132636812</v>
      </c>
      <c r="J49" s="134">
        <f>+I49+'6'!J49</f>
        <v>36221.296778530872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+C50+'6'!D50</f>
        <v>0</v>
      </c>
      <c r="E50" s="142">
        <f t="shared" si="22"/>
        <v>0</v>
      </c>
      <c r="F50" s="184"/>
      <c r="H50" s="187" t="s">
        <v>83</v>
      </c>
      <c r="I50" s="139">
        <f>I49/I38</f>
        <v>120.96270752587219</v>
      </c>
      <c r="J50" s="132">
        <f>J49/J38</f>
        <v>129.72593343647122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+C51+'6'!D51</f>
        <v>0</v>
      </c>
      <c r="E51" s="142">
        <f t="shared" si="22"/>
        <v>0</v>
      </c>
      <c r="F51" s="184"/>
      <c r="H51" s="189" t="s">
        <v>85</v>
      </c>
      <c r="I51" s="140">
        <f>I49/I40</f>
        <v>131.86547308711332</v>
      </c>
      <c r="J51" s="135">
        <f>J49/J40</f>
        <v>134.26782461487744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79</v>
      </c>
      <c r="D52" s="143">
        <f>SUM(D38:D51)</f>
        <v>498</v>
      </c>
      <c r="E52" s="144">
        <f>SUM(E38:E51)</f>
        <v>8.3000000000000007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5.486111111111111E-2</v>
      </c>
      <c r="D53" s="145">
        <f>D52/(24*60*G4)</f>
        <v>4.9404761904761903E-2</v>
      </c>
      <c r="E53" s="146">
        <f>E52/(G4*24)</f>
        <v>4.940476190476191E-2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+D34+'6'!J56</f>
        <v>1097</v>
      </c>
      <c r="K56" s="200">
        <f>J56/(J40+J56/1000)/1000</f>
        <v>4.0499730494045032E-3</v>
      </c>
    </row>
    <row r="57" spans="1:11">
      <c r="A57" s="175"/>
      <c r="I57" s="198" t="s">
        <v>88</v>
      </c>
      <c r="J57" s="199">
        <f>+E34+'6'!J57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85546875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6</v>
      </c>
      <c r="H4" s="153" t="str">
        <f>+'1'!H4</f>
        <v>.04.26</v>
      </c>
      <c r="J4" s="148">
        <f>585+571+487</f>
        <v>1643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408</v>
      </c>
      <c r="O6" s="148">
        <v>1230</v>
      </c>
      <c r="P6" s="148">
        <f>+O6-(O6*0.24)</f>
        <v>934.8</v>
      </c>
      <c r="Q6" s="148">
        <f>60*2+47</f>
        <v>167</v>
      </c>
      <c r="R6" s="148">
        <f t="shared" ref="R6:R11" si="0">+O6*Q6</f>
        <v>205410</v>
      </c>
      <c r="S6" s="148">
        <f t="shared" ref="S6:S11" si="1">+P6*Q6</f>
        <v>156111.6</v>
      </c>
    </row>
    <row r="7" spans="1:19" ht="13.5" customHeight="1" thickBot="1">
      <c r="A7" s="751" t="s">
        <v>391</v>
      </c>
      <c r="B7" s="214" t="s">
        <v>418</v>
      </c>
      <c r="C7" s="215">
        <v>5658</v>
      </c>
      <c r="D7" s="216"/>
      <c r="E7" s="217"/>
      <c r="F7" s="227"/>
      <c r="G7" s="228" t="s">
        <v>12</v>
      </c>
      <c r="H7" s="229" t="s">
        <v>385</v>
      </c>
      <c r="I7" s="754" t="s">
        <v>463</v>
      </c>
      <c r="J7" s="213" t="str">
        <f>+'5'!J7</f>
        <v>F 11,5 VP OW</v>
      </c>
      <c r="K7" s="237">
        <f>+C7</f>
        <v>5658</v>
      </c>
      <c r="L7" s="241"/>
      <c r="M7" s="116">
        <f>+K7+'5'!M7+L7</f>
        <v>168614</v>
      </c>
      <c r="N7" s="148" t="s">
        <v>460</v>
      </c>
      <c r="O7" s="148">
        <v>1230</v>
      </c>
      <c r="P7" s="148">
        <f>+O7-(O7*0.24)</f>
        <v>934.8</v>
      </c>
      <c r="Q7" s="148">
        <f>60-47+180+9</f>
        <v>202</v>
      </c>
      <c r="R7" s="148">
        <f t="shared" si="0"/>
        <v>248460</v>
      </c>
      <c r="S7" s="148">
        <f t="shared" si="1"/>
        <v>188829.59999999998</v>
      </c>
    </row>
    <row r="8" spans="1:19" ht="13.5" thickBot="1">
      <c r="A8" s="752"/>
      <c r="B8" s="214" t="s">
        <v>469</v>
      </c>
      <c r="C8" s="215">
        <v>7645</v>
      </c>
      <c r="D8" s="216"/>
      <c r="E8" s="218"/>
      <c r="F8" s="230">
        <v>9</v>
      </c>
      <c r="G8" s="560" t="s">
        <v>12</v>
      </c>
      <c r="H8" s="229" t="s">
        <v>465</v>
      </c>
      <c r="I8" s="755"/>
      <c r="J8" s="213" t="str">
        <f>+'5'!J8</f>
        <v>F 14 VP OW</v>
      </c>
      <c r="K8" s="238">
        <f>+C16+C25</f>
        <v>25735</v>
      </c>
      <c r="L8" s="238"/>
      <c r="M8" s="116">
        <f>+K8+'5'!M8+L8</f>
        <v>31428</v>
      </c>
      <c r="N8" s="148" t="s">
        <v>443</v>
      </c>
      <c r="O8" s="148">
        <v>1150</v>
      </c>
      <c r="P8" s="148">
        <f>+O8-(O8*0.25)</f>
        <v>862.5</v>
      </c>
      <c r="Q8" s="148">
        <f>60-9+60</f>
        <v>111</v>
      </c>
      <c r="R8" s="148">
        <f t="shared" si="0"/>
        <v>127650</v>
      </c>
      <c r="S8" s="148">
        <f t="shared" si="1"/>
        <v>95737.5</v>
      </c>
    </row>
    <row r="9" spans="1:19" ht="13.5" thickBot="1">
      <c r="A9" s="752"/>
      <c r="B9" s="214"/>
      <c r="C9" s="215"/>
      <c r="D9" s="216"/>
      <c r="E9" s="219"/>
      <c r="F9" s="227">
        <v>10</v>
      </c>
      <c r="G9" s="560" t="s">
        <v>12</v>
      </c>
      <c r="H9" s="232" t="s">
        <v>427</v>
      </c>
      <c r="I9" s="755"/>
      <c r="J9" s="213" t="str">
        <f>+'5'!J9</f>
        <v>F 13 VP OW</v>
      </c>
      <c r="K9" s="238"/>
      <c r="L9" s="238"/>
      <c r="M9" s="116">
        <f>+K9+'5'!M9+L9</f>
        <v>22241</v>
      </c>
      <c r="P9" s="148">
        <f>+O9-(O9*0.2)</f>
        <v>0</v>
      </c>
      <c r="R9" s="148">
        <f t="shared" si="0"/>
        <v>0</v>
      </c>
      <c r="S9" s="148">
        <f t="shared" si="1"/>
        <v>0</v>
      </c>
    </row>
    <row r="10" spans="1:19" ht="39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425</v>
      </c>
      <c r="I10" s="755"/>
      <c r="J10" s="213" t="s">
        <v>469</v>
      </c>
      <c r="K10" s="238">
        <f>+C8</f>
        <v>7645</v>
      </c>
      <c r="L10" s="238"/>
      <c r="M10" s="116">
        <f>+K10+'5'!M10+L10</f>
        <v>7645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26.25" thickBot="1">
      <c r="A11" s="752"/>
      <c r="B11" s="214"/>
      <c r="C11" s="215"/>
      <c r="D11" s="216"/>
      <c r="E11" s="218"/>
      <c r="F11" s="227"/>
      <c r="G11" s="231"/>
      <c r="H11" s="232" t="s">
        <v>461</v>
      </c>
      <c r="I11" s="755"/>
      <c r="J11" s="213">
        <f>+'5'!J11</f>
        <v>0</v>
      </c>
      <c r="K11" s="238"/>
      <c r="L11" s="238"/>
      <c r="M11" s="116">
        <f>+K11+'5'!M11+L11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>
        <f>+'5'!J12</f>
        <v>0</v>
      </c>
      <c r="K12" s="238"/>
      <c r="L12" s="238"/>
      <c r="M12" s="116">
        <f>+K12+'5'!M12+L12</f>
        <v>0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>
        <f>+'5'!J13</f>
        <v>0</v>
      </c>
      <c r="K13" s="238"/>
      <c r="L13" s="238"/>
      <c r="M13" s="116">
        <f>+K13+'5'!M13+L13</f>
        <v>0</v>
      </c>
    </row>
    <row r="14" spans="1:19" ht="13.5" thickBot="1">
      <c r="A14" s="753"/>
      <c r="B14" s="164" t="s">
        <v>2</v>
      </c>
      <c r="C14" s="98">
        <f>SUM(C7:C13)</f>
        <v>13303</v>
      </c>
      <c r="D14" s="110">
        <f>SUM(D7:D13)</f>
        <v>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>
        <f>+'5'!J14</f>
        <v>0</v>
      </c>
      <c r="K14" s="238"/>
      <c r="L14" s="238"/>
      <c r="M14" s="116">
        <f>+K14+'5'!M14+L14</f>
        <v>0</v>
      </c>
      <c r="Q14" s="175">
        <f>SUM(Q6:Q11)</f>
        <v>480</v>
      </c>
      <c r="R14" s="175">
        <f>SUM(R6:R11)</f>
        <v>581520</v>
      </c>
      <c r="S14" s="175">
        <f>SUM(S6:S11)</f>
        <v>440678.69999999995</v>
      </c>
    </row>
    <row r="15" spans="1:19" ht="13.5" customHeight="1" thickBot="1">
      <c r="A15" s="751" t="s">
        <v>389</v>
      </c>
      <c r="B15" s="164"/>
      <c r="C15" s="112">
        <f>C14/($C$23+$D$23+$E$23)</f>
        <v>1.042881781122609</v>
      </c>
      <c r="D15" s="113">
        <f>D14/($C$23+$D$23+$E$23)</f>
        <v>0</v>
      </c>
      <c r="E15" s="114">
        <f>E14/($C$23+$D$23+$E$23)</f>
        <v>0</v>
      </c>
      <c r="F15" s="227">
        <v>5</v>
      </c>
      <c r="G15" s="228" t="s">
        <v>12</v>
      </c>
      <c r="H15" s="229" t="s">
        <v>400</v>
      </c>
      <c r="I15" s="754" t="s">
        <v>462</v>
      </c>
      <c r="J15" s="213">
        <f>+'5'!J15</f>
        <v>0</v>
      </c>
      <c r="K15" s="238"/>
      <c r="L15" s="238"/>
      <c r="M15" s="116">
        <f>+K15+'5'!M15+L15</f>
        <v>0</v>
      </c>
      <c r="R15" s="175">
        <f>+R14/Q14</f>
        <v>1211.5</v>
      </c>
      <c r="S15" s="175">
        <f>+S14/Q14</f>
        <v>918.08062499999994</v>
      </c>
    </row>
    <row r="16" spans="1:19" ht="13.5" thickBot="1">
      <c r="A16" s="757"/>
      <c r="B16" s="214" t="s">
        <v>457</v>
      </c>
      <c r="C16" s="221">
        <v>12756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+'5'!J16</f>
        <v>0</v>
      </c>
      <c r="K16" s="228"/>
      <c r="L16" s="228"/>
      <c r="M16" s="116">
        <f>+K16+'5'!M16+L16</f>
        <v>0</v>
      </c>
      <c r="N16" s="148" t="s">
        <v>443</v>
      </c>
      <c r="O16" s="148">
        <v>1150</v>
      </c>
      <c r="P16" s="148">
        <f>+O16-(O16*0.25)</f>
        <v>862.5</v>
      </c>
      <c r="Q16" s="148">
        <v>480</v>
      </c>
      <c r="R16" s="148">
        <f t="shared" ref="R16:R21" si="2">+O16*Q16</f>
        <v>552000</v>
      </c>
      <c r="S16" s="148">
        <f t="shared" ref="S16:S21" si="3">+P16*Q16</f>
        <v>414000</v>
      </c>
    </row>
    <row r="17" spans="1:19" ht="13.5" thickBot="1">
      <c r="A17" s="757"/>
      <c r="B17" s="214"/>
      <c r="C17" s="215"/>
      <c r="D17" s="216"/>
      <c r="E17" s="224"/>
      <c r="F17" s="227">
        <v>20</v>
      </c>
      <c r="G17" s="560" t="s">
        <v>12</v>
      </c>
      <c r="H17" s="232" t="s">
        <v>413</v>
      </c>
      <c r="I17" s="755"/>
      <c r="J17" s="213">
        <f>+'5'!J17</f>
        <v>0</v>
      </c>
      <c r="K17" s="228"/>
      <c r="L17" s="228"/>
      <c r="M17" s="116">
        <f>+K17+'5'!M17+L17</f>
        <v>0</v>
      </c>
    </row>
    <row r="18" spans="1:19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459</v>
      </c>
      <c r="I18" s="755"/>
      <c r="J18" s="213">
        <f>+'5'!J18</f>
        <v>0</v>
      </c>
      <c r="K18" s="238"/>
      <c r="L18" s="238"/>
      <c r="M18" s="116">
        <f>+K18+'5'!M18+L18</f>
        <v>0</v>
      </c>
    </row>
    <row r="19" spans="1:19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+'5'!J19</f>
        <v>0</v>
      </c>
      <c r="K19" s="238"/>
      <c r="L19" s="238"/>
      <c r="M19" s="116">
        <f>+K19+'5'!M19+L19</f>
        <v>0</v>
      </c>
    </row>
    <row r="20" spans="1:1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+'5'!J20</f>
        <v>0</v>
      </c>
      <c r="K20" s="239"/>
      <c r="L20" s="239"/>
      <c r="M20" s="116">
        <f>+K20+'5'!M20+L20</f>
        <v>0</v>
      </c>
      <c r="P20" s="148">
        <f>+O20-(O20*0.23)</f>
        <v>0</v>
      </c>
      <c r="R20" s="148">
        <f t="shared" si="2"/>
        <v>0</v>
      </c>
      <c r="S20" s="148">
        <f t="shared" si="3"/>
        <v>0</v>
      </c>
    </row>
    <row r="21" spans="1:1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+'5'!J21</f>
        <v>0</v>
      </c>
      <c r="K21" s="238"/>
      <c r="L21" s="238"/>
      <c r="M21" s="116">
        <f>+K21+'5'!M21+L21</f>
        <v>0</v>
      </c>
      <c r="P21" s="148">
        <f>+O21-(O21*0.23)</f>
        <v>0</v>
      </c>
      <c r="R21" s="148">
        <f t="shared" si="2"/>
        <v>0</v>
      </c>
      <c r="S21" s="148">
        <f t="shared" si="3"/>
        <v>0</v>
      </c>
    </row>
    <row r="22" spans="1:1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+'5'!J22</f>
        <v>0</v>
      </c>
      <c r="K22" s="238"/>
      <c r="L22" s="238"/>
      <c r="M22" s="116">
        <f>+K22+'5'!M22+L22</f>
        <v>0</v>
      </c>
    </row>
    <row r="23" spans="1:19" ht="13.5" thickBot="1">
      <c r="A23" s="758"/>
      <c r="B23" s="167" t="s">
        <v>2</v>
      </c>
      <c r="C23" s="99">
        <f>SUM(C16:C22)</f>
        <v>12756</v>
      </c>
      <c r="D23" s="110">
        <f>SUM(D16:D22)</f>
        <v>0</v>
      </c>
      <c r="E23" s="111">
        <f>SUM(E18:E22)</f>
        <v>0</v>
      </c>
      <c r="F23" s="115">
        <f>SUM(F15:F22)</f>
        <v>25</v>
      </c>
      <c r="G23" s="158"/>
      <c r="H23" s="165"/>
      <c r="I23" s="168"/>
      <c r="J23" s="213">
        <f>+'5'!J23</f>
        <v>0</v>
      </c>
      <c r="K23" s="238"/>
      <c r="L23" s="238"/>
      <c r="M23" s="116">
        <f>+K23+'5'!M23+L23</f>
        <v>0</v>
      </c>
    </row>
    <row r="24" spans="1:19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462</v>
      </c>
      <c r="J24" s="213">
        <f>+'5'!J24</f>
        <v>0</v>
      </c>
      <c r="K24" s="238"/>
      <c r="L24" s="238"/>
      <c r="M24" s="116">
        <f>+K24+'5'!M24+L24</f>
        <v>0</v>
      </c>
      <c r="Q24" s="175">
        <f>SUM(Q16:Q21)</f>
        <v>480</v>
      </c>
      <c r="R24" s="175">
        <f>SUM(R16:R21)</f>
        <v>552000</v>
      </c>
      <c r="S24" s="175">
        <f>SUM(S16:S21)</f>
        <v>414000</v>
      </c>
    </row>
    <row r="25" spans="1:19" ht="13.5" thickBot="1">
      <c r="A25" s="757"/>
      <c r="B25" s="214" t="s">
        <v>457</v>
      </c>
      <c r="C25" s="225">
        <v>12979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+'5'!J25</f>
        <v>0</v>
      </c>
      <c r="K25" s="238"/>
      <c r="L25" s="238"/>
      <c r="M25" s="116">
        <f>+K25+'5'!M25+L25</f>
        <v>0</v>
      </c>
      <c r="R25" s="175">
        <f>+R24/Q24</f>
        <v>1150</v>
      </c>
      <c r="S25" s="175">
        <f>+S24/Q24</f>
        <v>862.5</v>
      </c>
    </row>
    <row r="26" spans="1:19" ht="13.5" thickBot="1">
      <c r="A26" s="757"/>
      <c r="B26" s="214"/>
      <c r="C26" s="225"/>
      <c r="D26" s="216"/>
      <c r="E26" s="226"/>
      <c r="F26" s="227">
        <v>25</v>
      </c>
      <c r="G26" s="560" t="s">
        <v>12</v>
      </c>
      <c r="H26" s="232" t="s">
        <v>413</v>
      </c>
      <c r="I26" s="755"/>
      <c r="J26" s="213">
        <f>+'5'!J26</f>
        <v>0</v>
      </c>
      <c r="K26" s="238"/>
      <c r="L26" s="238"/>
      <c r="M26" s="116">
        <f>+K26+'5'!M26+L26</f>
        <v>0</v>
      </c>
    </row>
    <row r="27" spans="1:19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458</v>
      </c>
      <c r="I27" s="755"/>
      <c r="J27" s="213">
        <f>+'5'!J27</f>
        <v>0</v>
      </c>
      <c r="K27" s="238"/>
      <c r="L27" s="238"/>
      <c r="M27" s="116">
        <f>+K27+'5'!M27+L27</f>
        <v>0</v>
      </c>
      <c r="N27" s="148" t="s">
        <v>443</v>
      </c>
      <c r="O27" s="148">
        <v>1150</v>
      </c>
      <c r="P27" s="148">
        <f>+O27-(O27*0.25)</f>
        <v>862.5</v>
      </c>
      <c r="Q27" s="148">
        <v>480</v>
      </c>
      <c r="R27" s="148">
        <f t="shared" ref="R27" si="4">+O27*Q27</f>
        <v>552000</v>
      </c>
      <c r="S27" s="148">
        <f t="shared" ref="S27" si="5">+P27*Q27</f>
        <v>414000</v>
      </c>
    </row>
    <row r="28" spans="1:19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+'5'!J28</f>
        <v>0</v>
      </c>
      <c r="K28" s="238"/>
      <c r="L28" s="238"/>
      <c r="M28" s="116">
        <f>+K28+'5'!M28+L28</f>
        <v>0</v>
      </c>
    </row>
    <row r="29" spans="1:1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+'5'!J29</f>
        <v>0</v>
      </c>
      <c r="K29" s="238"/>
      <c r="L29" s="238"/>
      <c r="M29" s="116">
        <f>+K29+'5'!M29+L29</f>
        <v>0</v>
      </c>
    </row>
    <row r="30" spans="1:1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+'5'!J30</f>
        <v>0</v>
      </c>
      <c r="K30" s="238"/>
      <c r="L30" s="238"/>
      <c r="M30" s="116">
        <f>+K30+'5'!M30+L30</f>
        <v>0</v>
      </c>
    </row>
    <row r="31" spans="1:1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+'5'!J31</f>
        <v>0</v>
      </c>
      <c r="K31" s="238"/>
      <c r="L31" s="238"/>
      <c r="M31" s="116">
        <f>+K31+'5'!M31+L31</f>
        <v>0</v>
      </c>
      <c r="P31" s="148">
        <f>+O31-(O31*0.23)</f>
        <v>0</v>
      </c>
      <c r="R31" s="148">
        <f t="shared" ref="R31:R32" si="6">+O31*Q31</f>
        <v>0</v>
      </c>
      <c r="S31" s="148">
        <f t="shared" ref="S31:S32" si="7">+P31*Q31</f>
        <v>0</v>
      </c>
    </row>
    <row r="32" spans="1:19" ht="13.5" thickBot="1">
      <c r="A32" s="758"/>
      <c r="B32" s="164" t="s">
        <v>2</v>
      </c>
      <c r="C32" s="98">
        <f>SUM(C25:C31)</f>
        <v>12979</v>
      </c>
      <c r="D32" s="99">
        <f>SUM(D25:D31)</f>
        <v>0</v>
      </c>
      <c r="E32" s="100">
        <f>SUM(E25:E31)</f>
        <v>0</v>
      </c>
      <c r="F32" s="101">
        <f>SUM(F24:F31)</f>
        <v>29</v>
      </c>
      <c r="G32" s="170"/>
      <c r="H32" s="171"/>
      <c r="I32" s="168"/>
      <c r="J32" s="213">
        <f>+'5'!J32</f>
        <v>0</v>
      </c>
      <c r="K32" s="240"/>
      <c r="L32" s="242"/>
      <c r="M32" s="116">
        <f>+K32+'5'!M32+L32</f>
        <v>0</v>
      </c>
      <c r="P32" s="148">
        <f>+O32-(O32*0.23)</f>
        <v>0</v>
      </c>
      <c r="R32" s="148">
        <f t="shared" si="6"/>
        <v>0</v>
      </c>
      <c r="S32" s="148">
        <f t="shared" si="7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39038</v>
      </c>
      <c r="D34" s="106">
        <f>D14+D23+D32</f>
        <v>0</v>
      </c>
      <c r="E34" s="106">
        <f>E14+E23+E32</f>
        <v>0</v>
      </c>
      <c r="F34" s="107">
        <f>F14+F23+F32</f>
        <v>73</v>
      </c>
      <c r="H34" s="177"/>
      <c r="I34" s="177"/>
      <c r="J34" s="122" t="s">
        <v>28</v>
      </c>
      <c r="K34" s="123">
        <f>SUM(K7:K32)</f>
        <v>39038</v>
      </c>
      <c r="L34" s="211">
        <f>SUM(L7:L32)</f>
        <v>0</v>
      </c>
      <c r="M34" s="119">
        <f>SUM(M7:M32)</f>
        <v>229928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552000</v>
      </c>
      <c r="S35" s="175">
        <f>SUM(S27:S32)</f>
        <v>414000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R36" s="175">
        <f>+R35/Q35</f>
        <v>1150</v>
      </c>
      <c r="S36" s="175">
        <f>+S35/Q35</f>
        <v>862.5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(11.5*167+12*202+14*1071)/1440*G42*2.74*1440/1000000</f>
        <v>46.683402728793752</v>
      </c>
      <c r="J37" s="124">
        <f>+I37+'5'!J37</f>
        <v>261.51239339226601</v>
      </c>
      <c r="K37" s="125" t="s">
        <v>63</v>
      </c>
      <c r="N37" s="148" t="s">
        <v>408</v>
      </c>
      <c r="O37" s="148">
        <v>1230</v>
      </c>
      <c r="P37" s="148">
        <v>934.8</v>
      </c>
      <c r="Q37" s="148">
        <v>167</v>
      </c>
    </row>
    <row r="38" spans="1:19" ht="17.45" customHeight="1">
      <c r="A38" s="763" t="s">
        <v>12</v>
      </c>
      <c r="B38" s="764"/>
      <c r="C38" s="163">
        <f>SUMIF($G$7:$G$31,"Process",$F$7:$F$31)</f>
        <v>73</v>
      </c>
      <c r="D38" s="117">
        <f>+C38+'5'!D38</f>
        <v>419</v>
      </c>
      <c r="E38" s="142">
        <f t="shared" ref="E38:E51" si="8">D38/60</f>
        <v>6.9833333333333334</v>
      </c>
      <c r="F38" s="321">
        <v>1211.5</v>
      </c>
      <c r="G38" s="321">
        <v>918.08062499999994</v>
      </c>
      <c r="H38" s="186" t="s">
        <v>64</v>
      </c>
      <c r="I38" s="244">
        <f>13.601+13.612+14.329</f>
        <v>41.542000000000002</v>
      </c>
      <c r="J38" s="126">
        <f>+I38+'5'!J38</f>
        <v>235.78200000000001</v>
      </c>
      <c r="K38" s="127" t="s">
        <v>63</v>
      </c>
      <c r="N38" s="148" t="s">
        <v>460</v>
      </c>
      <c r="O38" s="148">
        <v>1230</v>
      </c>
      <c r="P38" s="148">
        <v>934.8</v>
      </c>
      <c r="Q38" s="148">
        <v>202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+C39+'5'!D39</f>
        <v>0</v>
      </c>
      <c r="E39" s="142">
        <f t="shared" si="8"/>
        <v>0</v>
      </c>
      <c r="F39" s="321">
        <v>1150</v>
      </c>
      <c r="G39" s="321">
        <v>862.5</v>
      </c>
      <c r="H39" s="186" t="s">
        <v>65</v>
      </c>
      <c r="I39" s="141"/>
      <c r="J39" s="128">
        <f>J37/G4</f>
        <v>43.585398898710999</v>
      </c>
      <c r="K39" s="129" t="s">
        <v>63</v>
      </c>
      <c r="N39" s="148" t="s">
        <v>443</v>
      </c>
      <c r="O39" s="148">
        <v>1150</v>
      </c>
      <c r="P39" s="148">
        <v>862.5</v>
      </c>
      <c r="Q39" s="148">
        <f>111+480+480</f>
        <v>1071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+C40+'5'!D40</f>
        <v>0</v>
      </c>
      <c r="E40" s="142">
        <f t="shared" si="8"/>
        <v>0</v>
      </c>
      <c r="F40" s="321">
        <v>1150</v>
      </c>
      <c r="G40" s="321">
        <v>862.5</v>
      </c>
      <c r="H40" s="186" t="s">
        <v>67</v>
      </c>
      <c r="I40" s="117">
        <f>(K34+L34)/1000</f>
        <v>39.037999999999997</v>
      </c>
      <c r="J40" s="130">
        <f>+I40+'5'!J40</f>
        <v>229.928</v>
      </c>
      <c r="K40" s="129" t="s">
        <v>63</v>
      </c>
      <c r="Q40" s="148">
        <f>+Q37+Q38+Q39</f>
        <v>1440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+C41+'5'!D41</f>
        <v>0</v>
      </c>
      <c r="E41" s="142">
        <f t="shared" si="8"/>
        <v>0</v>
      </c>
      <c r="F41" s="321"/>
      <c r="G41" s="321"/>
      <c r="H41" s="186" t="s">
        <v>69</v>
      </c>
      <c r="I41" s="141"/>
      <c r="J41" s="128">
        <f>J40/G4</f>
        <v>38.321333333333335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+C42+'5'!D42</f>
        <v>0</v>
      </c>
      <c r="E42" s="142">
        <f t="shared" si="8"/>
        <v>0</v>
      </c>
      <c r="F42" s="321">
        <f>+(F38*480+F39*480+F40*480)/1440</f>
        <v>1170.5</v>
      </c>
      <c r="G42" s="321">
        <f>+(G38*480+G39*480+G40*480)/1440</f>
        <v>881.02687500000002</v>
      </c>
      <c r="H42" s="186" t="s">
        <v>70</v>
      </c>
      <c r="I42" s="245" t="s">
        <v>464</v>
      </c>
      <c r="J42" s="131"/>
      <c r="K42" s="129" t="s">
        <v>71</v>
      </c>
    </row>
    <row r="43" spans="1:19" ht="17.45" customHeight="1">
      <c r="A43" s="765" t="s">
        <v>221</v>
      </c>
      <c r="B43" s="766"/>
      <c r="C43" s="163">
        <f>SUMIF($G$7:$G$31,"Change Grade",$F$7:$F$31)</f>
        <v>0</v>
      </c>
      <c r="D43" s="117">
        <f>+C43+'5'!D43</f>
        <v>0</v>
      </c>
      <c r="E43" s="142">
        <f t="shared" si="8"/>
        <v>0</v>
      </c>
      <c r="F43" s="321"/>
      <c r="G43" s="322"/>
      <c r="H43" s="187" t="s">
        <v>73</v>
      </c>
      <c r="I43" s="117">
        <f>+Report1!Z14</f>
        <v>55.5</v>
      </c>
      <c r="J43" s="132">
        <f>+I43+'5'!J43</f>
        <v>336.2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+C44+'5'!D44</f>
        <v>0</v>
      </c>
      <c r="E44" s="142">
        <f t="shared" si="8"/>
        <v>0</v>
      </c>
      <c r="F44" s="321"/>
      <c r="G44" s="322"/>
      <c r="H44" s="187" t="s">
        <v>74</v>
      </c>
      <c r="I44" s="117">
        <f>I43/I38</f>
        <v>1.3359973039333686</v>
      </c>
      <c r="J44" s="133">
        <f>J43/J38</f>
        <v>1.4258934100143352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+C45+'5'!D45</f>
        <v>0</v>
      </c>
      <c r="E45" s="142">
        <f t="shared" si="8"/>
        <v>0</v>
      </c>
      <c r="F45" s="321"/>
      <c r="G45" s="324"/>
      <c r="H45" s="187" t="s">
        <v>75</v>
      </c>
      <c r="I45" s="117">
        <f>I43/I40</f>
        <v>1.4216916850248478</v>
      </c>
      <c r="J45" s="133">
        <f>J43/J40</f>
        <v>1.4621968616262482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+C46+'5'!D46</f>
        <v>0</v>
      </c>
      <c r="E46" s="142">
        <f t="shared" si="8"/>
        <v>0</v>
      </c>
      <c r="F46" s="321"/>
      <c r="G46" s="322"/>
      <c r="H46" s="187" t="s">
        <v>77</v>
      </c>
      <c r="I46" s="139">
        <f>+SUMIF(Listrik!P13,"&gt;0")</f>
        <v>37800.899999999274</v>
      </c>
      <c r="J46" s="134">
        <f>+I46+'5'!J46</f>
        <v>229121.82000000036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+C47+'5'!D47</f>
        <v>0</v>
      </c>
      <c r="E47" s="142">
        <f t="shared" si="8"/>
        <v>0</v>
      </c>
      <c r="F47" s="321"/>
      <c r="G47" s="322"/>
      <c r="H47" s="187" t="s">
        <v>80</v>
      </c>
      <c r="I47" s="117">
        <f>I46/I38</f>
        <v>909.94415290547568</v>
      </c>
      <c r="J47" s="134">
        <f>J46/J38</f>
        <v>971.75280555767768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+C48+'5'!D48</f>
        <v>0</v>
      </c>
      <c r="E48" s="142">
        <f t="shared" si="8"/>
        <v>0</v>
      </c>
      <c r="F48" s="321"/>
      <c r="G48" s="322"/>
      <c r="H48" s="187" t="s">
        <v>81</v>
      </c>
      <c r="I48" s="117">
        <f>I46/I40</f>
        <v>968.31036426044568</v>
      </c>
      <c r="J48" s="134">
        <f>J46/J40</f>
        <v>996.49377196339879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+C49+'5'!D49</f>
        <v>0</v>
      </c>
      <c r="E49" s="142">
        <f t="shared" si="8"/>
        <v>0</v>
      </c>
      <c r="F49" s="184"/>
      <c r="H49" s="187" t="s">
        <v>269</v>
      </c>
      <c r="I49" s="117">
        <f>+Report1!T14</f>
        <v>5263.1642940102865</v>
      </c>
      <c r="J49" s="134">
        <f>+I49+'5'!J49</f>
        <v>30967.644465267193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+C50+'5'!D50</f>
        <v>0</v>
      </c>
      <c r="E50" s="142">
        <f t="shared" si="8"/>
        <v>0</v>
      </c>
      <c r="F50" s="184"/>
      <c r="H50" s="187" t="s">
        <v>83</v>
      </c>
      <c r="I50" s="139">
        <f>I49/I38</f>
        <v>126.69501453974981</v>
      </c>
      <c r="J50" s="132">
        <f>J49/J38</f>
        <v>131.34015516564958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+C51+'5'!D51</f>
        <v>0</v>
      </c>
      <c r="E51" s="142">
        <f t="shared" si="8"/>
        <v>0</v>
      </c>
      <c r="F51" s="184"/>
      <c r="H51" s="189" t="s">
        <v>85</v>
      </c>
      <c r="I51" s="140">
        <f>I49/I40</f>
        <v>134.82156601286661</v>
      </c>
      <c r="J51" s="135">
        <f>J49/J40</f>
        <v>134.68409443507181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73</v>
      </c>
      <c r="D52" s="143">
        <f>SUM(D38:D51)</f>
        <v>419</v>
      </c>
      <c r="E52" s="144">
        <f>SUM(E38:E51)</f>
        <v>6.9833333333333334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5.0694444444444445E-2</v>
      </c>
      <c r="D53" s="145">
        <f>D52/(24*60*G4)</f>
        <v>4.8495370370370369E-2</v>
      </c>
      <c r="E53" s="146">
        <f>E52/(G4*24)</f>
        <v>4.8495370370370369E-2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+D34+'5'!J56</f>
        <v>700</v>
      </c>
      <c r="K56" s="200">
        <f>J56/(J40+J56/1000)/1000</f>
        <v>3.035190870145863E-3</v>
      </c>
    </row>
    <row r="57" spans="1:11">
      <c r="A57" s="175"/>
      <c r="I57" s="198" t="s">
        <v>88</v>
      </c>
      <c r="J57" s="199">
        <f>+E34+'5'!J57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9513888888888889" right="0.19513888888888889" top="0.17" bottom="0.16" header="0" footer="0"/>
  <pageSetup paperSize="9" scale="60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F40" zoomScale="80" zoomScaleNormal="75" zoomScaleSheetLayoutView="80" workbookViewId="0">
      <selection activeCell="H49" sqref="H49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customWidth="1"/>
    <col min="12" max="12" width="8.28515625" style="148" customWidth="1"/>
    <col min="13" max="13" width="15.5703125" style="148" bestFit="1" customWidth="1"/>
    <col min="14" max="16384" width="9.140625" style="148"/>
  </cols>
  <sheetData>
    <row r="1" spans="1:18" ht="15.75">
      <c r="A1" s="147"/>
    </row>
    <row r="2" spans="1:18" ht="15.75">
      <c r="A2" s="147" t="s">
        <v>183</v>
      </c>
    </row>
    <row r="3" spans="1:18" ht="15">
      <c r="A3" s="149"/>
    </row>
    <row r="4" spans="1:18" ht="20.25">
      <c r="A4" s="150" t="s">
        <v>3</v>
      </c>
      <c r="B4" s="151"/>
      <c r="F4" s="152" t="s">
        <v>29</v>
      </c>
      <c r="G4" s="153">
        <v>5</v>
      </c>
      <c r="H4" s="153" t="str">
        <f>+'1'!H4</f>
        <v>.04.26</v>
      </c>
      <c r="J4" s="148">
        <f>359+495+566</f>
        <v>1420</v>
      </c>
    </row>
    <row r="5" spans="1:18" ht="13.5" thickBot="1">
      <c r="C5" s="154"/>
      <c r="D5" s="154"/>
    </row>
    <row r="6" spans="1:18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</row>
    <row r="7" spans="1:18" ht="13.5" customHeight="1" thickBot="1">
      <c r="A7" s="751" t="s">
        <v>390</v>
      </c>
      <c r="B7" s="214" t="s">
        <v>418</v>
      </c>
      <c r="C7" s="215">
        <v>13743</v>
      </c>
      <c r="D7" s="216"/>
      <c r="E7" s="217"/>
      <c r="F7" s="227"/>
      <c r="G7" s="228" t="s">
        <v>12</v>
      </c>
      <c r="H7" s="229" t="s">
        <v>400</v>
      </c>
      <c r="I7" s="754" t="s">
        <v>409</v>
      </c>
      <c r="J7" s="213" t="str">
        <f>+'4'!J7</f>
        <v>F 11,5 VP OW</v>
      </c>
      <c r="K7" s="237">
        <f>+C34</f>
        <v>39289</v>
      </c>
      <c r="L7" s="241"/>
      <c r="M7" s="116">
        <f>+K7+'4'!M7+L7</f>
        <v>162956</v>
      </c>
      <c r="N7" s="148">
        <v>1200</v>
      </c>
      <c r="O7" s="148">
        <f>+N7-(N7*0.25)</f>
        <v>900</v>
      </c>
      <c r="P7" s="148">
        <v>240</v>
      </c>
      <c r="Q7" s="148">
        <f t="shared" ref="Q7:Q12" si="0">+N7*P7</f>
        <v>288000</v>
      </c>
      <c r="R7" s="148">
        <f t="shared" ref="R7:R12" si="1">+O7*P7</f>
        <v>216000</v>
      </c>
    </row>
    <row r="8" spans="1:18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 t="str">
        <f>+'4'!J8</f>
        <v>F 14 VP OW</v>
      </c>
      <c r="K8" s="238"/>
      <c r="L8" s="238"/>
      <c r="M8" s="116">
        <f>+K8+'4'!M8+L8</f>
        <v>5693</v>
      </c>
      <c r="N8" s="148">
        <v>1230</v>
      </c>
      <c r="O8" s="148">
        <f>+N8-(N8*0.25)</f>
        <v>922.5</v>
      </c>
      <c r="P8" s="148">
        <v>240</v>
      </c>
      <c r="Q8" s="148">
        <f t="shared" si="0"/>
        <v>295200</v>
      </c>
      <c r="R8" s="148">
        <f t="shared" si="1"/>
        <v>221400</v>
      </c>
    </row>
    <row r="9" spans="1:18" ht="13.5" thickBot="1">
      <c r="A9" s="752"/>
      <c r="B9" s="214"/>
      <c r="C9" s="215"/>
      <c r="D9" s="216"/>
      <c r="E9" s="219"/>
      <c r="F9" s="227">
        <v>22</v>
      </c>
      <c r="G9" s="560" t="s">
        <v>12</v>
      </c>
      <c r="H9" s="232" t="s">
        <v>427</v>
      </c>
      <c r="I9" s="755"/>
      <c r="J9" s="213" t="str">
        <f>+'4'!J9</f>
        <v>F 13 VP OW</v>
      </c>
      <c r="K9" s="238"/>
      <c r="L9" s="238"/>
      <c r="M9" s="116">
        <f>+K9+'4'!M9+L9</f>
        <v>22241</v>
      </c>
      <c r="O9" s="148">
        <f>+N9-(N9*0.2)</f>
        <v>0</v>
      </c>
      <c r="Q9" s="148">
        <f t="shared" si="0"/>
        <v>0</v>
      </c>
      <c r="R9" s="148">
        <f t="shared" si="1"/>
        <v>0</v>
      </c>
    </row>
    <row r="10" spans="1:18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406</v>
      </c>
      <c r="I10" s="755"/>
      <c r="J10" s="213">
        <f>+'4'!J10</f>
        <v>0</v>
      </c>
      <c r="K10" s="238"/>
      <c r="L10" s="238"/>
      <c r="M10" s="116">
        <f>+K10+'4'!M10+L10</f>
        <v>0</v>
      </c>
      <c r="O10" s="148">
        <f>+N10-(N10*0.2)</f>
        <v>0</v>
      </c>
      <c r="Q10" s="148">
        <f t="shared" si="0"/>
        <v>0</v>
      </c>
      <c r="R10" s="148">
        <f t="shared" si="1"/>
        <v>0</v>
      </c>
    </row>
    <row r="11" spans="1:18" ht="13.5" thickBot="1">
      <c r="A11" s="752"/>
      <c r="B11" s="214"/>
      <c r="C11" s="215"/>
      <c r="D11" s="216"/>
      <c r="E11" s="218"/>
      <c r="F11" s="227"/>
      <c r="G11" s="231"/>
      <c r="H11" s="232"/>
      <c r="I11" s="755"/>
      <c r="J11" s="213">
        <f>+'4'!J11</f>
        <v>0</v>
      </c>
      <c r="K11" s="238"/>
      <c r="L11" s="238"/>
      <c r="M11" s="116">
        <f>+K11+'4'!M11+L11</f>
        <v>0</v>
      </c>
      <c r="O11" s="148">
        <f>+N11-(N11*0.23)</f>
        <v>0</v>
      </c>
      <c r="Q11" s="148">
        <f t="shared" si="0"/>
        <v>0</v>
      </c>
      <c r="R11" s="148">
        <f t="shared" si="1"/>
        <v>0</v>
      </c>
    </row>
    <row r="12" spans="1:18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>
        <f>+'4'!J12</f>
        <v>0</v>
      </c>
      <c r="K12" s="238"/>
      <c r="L12" s="238"/>
      <c r="M12" s="116">
        <f>+K12+'4'!M12+L12</f>
        <v>0</v>
      </c>
      <c r="O12" s="148">
        <f>+N12-(N12*0.23)</f>
        <v>0</v>
      </c>
      <c r="Q12" s="148">
        <f t="shared" si="0"/>
        <v>0</v>
      </c>
      <c r="R12" s="148">
        <f t="shared" si="1"/>
        <v>0</v>
      </c>
    </row>
    <row r="13" spans="1:18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>
        <f>+'4'!J13</f>
        <v>0</v>
      </c>
      <c r="K13" s="238"/>
      <c r="L13" s="238"/>
      <c r="M13" s="116">
        <f>+K13+'4'!M13+L13</f>
        <v>0</v>
      </c>
    </row>
    <row r="14" spans="1:18" ht="13.5" thickBot="1">
      <c r="A14" s="753"/>
      <c r="B14" s="164" t="s">
        <v>2</v>
      </c>
      <c r="C14" s="98">
        <f>SUM(C7:C13)</f>
        <v>13743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>
        <f>+'4'!J14</f>
        <v>0</v>
      </c>
      <c r="K14" s="238"/>
      <c r="L14" s="238"/>
      <c r="M14" s="116">
        <f>+K14+'4'!M14+L14</f>
        <v>0</v>
      </c>
    </row>
    <row r="15" spans="1:18" ht="13.5" customHeight="1" thickBot="1">
      <c r="A15" s="751" t="s">
        <v>389</v>
      </c>
      <c r="B15" s="164"/>
      <c r="C15" s="112">
        <f>C14/($C$23+$D$23+$E$23)</f>
        <v>1.1879159823666696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400</v>
      </c>
      <c r="I15" s="754" t="s">
        <v>409</v>
      </c>
      <c r="J15" s="213">
        <f>+'4'!J15</f>
        <v>0</v>
      </c>
      <c r="K15" s="238"/>
      <c r="L15" s="238"/>
      <c r="M15" s="116">
        <f>+K15+'4'!M15+L15</f>
        <v>0</v>
      </c>
      <c r="P15" s="175">
        <f>SUM(P7:P12)</f>
        <v>480</v>
      </c>
      <c r="Q15" s="175">
        <f>SUM(Q7:Q12)</f>
        <v>583200</v>
      </c>
      <c r="R15" s="175">
        <f>SUM(R7:R12)</f>
        <v>437400</v>
      </c>
    </row>
    <row r="16" spans="1:18" ht="13.5" thickBot="1">
      <c r="A16" s="757"/>
      <c r="B16" s="214" t="s">
        <v>418</v>
      </c>
      <c r="C16" s="221">
        <v>11569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+'4'!J16</f>
        <v>0</v>
      </c>
      <c r="K16" s="228"/>
      <c r="L16" s="228"/>
      <c r="M16" s="116">
        <f>+K16+'4'!M16+L16</f>
        <v>0</v>
      </c>
      <c r="Q16" s="175">
        <f>+Q15/P15</f>
        <v>1215</v>
      </c>
      <c r="R16" s="175">
        <f>+R15/P15</f>
        <v>911.25</v>
      </c>
    </row>
    <row r="17" spans="1:13" ht="13.5" thickBot="1">
      <c r="A17" s="757"/>
      <c r="B17" s="214"/>
      <c r="C17" s="215"/>
      <c r="D17" s="216"/>
      <c r="E17" s="224"/>
      <c r="F17" s="227">
        <v>20</v>
      </c>
      <c r="G17" s="560" t="s">
        <v>12</v>
      </c>
      <c r="H17" s="232" t="s">
        <v>427</v>
      </c>
      <c r="I17" s="755"/>
      <c r="J17" s="213">
        <f>+'4'!J17</f>
        <v>0</v>
      </c>
      <c r="K17" s="228"/>
      <c r="L17" s="228"/>
      <c r="M17" s="116">
        <f>+K17+'4'!M17+L17</f>
        <v>0</v>
      </c>
    </row>
    <row r="18" spans="1:13" ht="26.25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426</v>
      </c>
      <c r="I18" s="755"/>
      <c r="J18" s="213">
        <f>+'4'!J18</f>
        <v>0</v>
      </c>
      <c r="K18" s="238"/>
      <c r="L18" s="238"/>
      <c r="M18" s="116">
        <f>+K18+'4'!M18+L18</f>
        <v>0</v>
      </c>
    </row>
    <row r="19" spans="1:13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+'4'!J19</f>
        <v>0</v>
      </c>
      <c r="K19" s="238"/>
      <c r="L19" s="238"/>
      <c r="M19" s="116">
        <f>+K19+'4'!M19+L19</f>
        <v>0</v>
      </c>
    </row>
    <row r="20" spans="1:13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+'4'!J20</f>
        <v>0</v>
      </c>
      <c r="K20" s="239"/>
      <c r="L20" s="239"/>
      <c r="M20" s="116">
        <f>+K20+'4'!M20+L20</f>
        <v>0</v>
      </c>
    </row>
    <row r="21" spans="1:13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+'4'!J21</f>
        <v>0</v>
      </c>
      <c r="K21" s="238"/>
      <c r="L21" s="238"/>
      <c r="M21" s="116">
        <f>+K21+'4'!M21+L21</f>
        <v>0</v>
      </c>
    </row>
    <row r="22" spans="1:13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+'4'!J22</f>
        <v>0</v>
      </c>
      <c r="K22" s="238"/>
      <c r="L22" s="238"/>
      <c r="M22" s="116">
        <f>+K22+'4'!M22+L22</f>
        <v>0</v>
      </c>
    </row>
    <row r="23" spans="1:13" ht="13.5" thickBot="1">
      <c r="A23" s="758"/>
      <c r="B23" s="167" t="s">
        <v>2</v>
      </c>
      <c r="C23" s="99">
        <f>SUM(C16:C22)</f>
        <v>11569</v>
      </c>
      <c r="D23" s="110">
        <f>SUM(D16:D22)</f>
        <v>0</v>
      </c>
      <c r="E23" s="111">
        <f>SUM(E18:E22)</f>
        <v>0</v>
      </c>
      <c r="F23" s="115">
        <f>SUM(F15:F22)</f>
        <v>20</v>
      </c>
      <c r="G23" s="158"/>
      <c r="H23" s="165"/>
      <c r="I23" s="168"/>
      <c r="J23" s="213">
        <f>+'4'!J23</f>
        <v>0</v>
      </c>
      <c r="K23" s="238"/>
      <c r="L23" s="238"/>
      <c r="M23" s="116">
        <f>+K23+'4'!M23+L23</f>
        <v>0</v>
      </c>
    </row>
    <row r="24" spans="1:13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400</v>
      </c>
      <c r="I24" s="754" t="s">
        <v>409</v>
      </c>
      <c r="J24" s="213">
        <f>+'4'!J24</f>
        <v>0</v>
      </c>
      <c r="K24" s="238"/>
      <c r="L24" s="238"/>
      <c r="M24" s="116">
        <f>+K24+'4'!M24+L24</f>
        <v>0</v>
      </c>
    </row>
    <row r="25" spans="1:13" ht="13.5" thickBot="1">
      <c r="A25" s="757"/>
      <c r="B25" s="214" t="s">
        <v>418</v>
      </c>
      <c r="C25" s="225">
        <v>13977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+'4'!J25</f>
        <v>0</v>
      </c>
      <c r="K25" s="238"/>
      <c r="L25" s="238"/>
      <c r="M25" s="116">
        <f>+K25+'4'!M25+L25</f>
        <v>0</v>
      </c>
    </row>
    <row r="26" spans="1:13" ht="13.5" thickBot="1">
      <c r="A26" s="757"/>
      <c r="B26" s="214"/>
      <c r="C26" s="225"/>
      <c r="D26" s="216"/>
      <c r="E26" s="226"/>
      <c r="F26" s="227">
        <v>30</v>
      </c>
      <c r="G26" s="560" t="s">
        <v>12</v>
      </c>
      <c r="H26" s="232" t="s">
        <v>427</v>
      </c>
      <c r="I26" s="755"/>
      <c r="J26" s="213">
        <f>+'4'!J26</f>
        <v>0</v>
      </c>
      <c r="K26" s="238"/>
      <c r="L26" s="238"/>
      <c r="M26" s="116">
        <f>+K26+'4'!M26+L26</f>
        <v>0</v>
      </c>
    </row>
    <row r="27" spans="1:13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438</v>
      </c>
      <c r="I27" s="755"/>
      <c r="J27" s="213">
        <f>+'4'!J27</f>
        <v>0</v>
      </c>
      <c r="K27" s="238"/>
      <c r="L27" s="238"/>
      <c r="M27" s="116">
        <f>+K27+'4'!M27+L27</f>
        <v>0</v>
      </c>
    </row>
    <row r="28" spans="1:13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+'4'!J28</f>
        <v>0</v>
      </c>
      <c r="K28" s="238"/>
      <c r="L28" s="238"/>
      <c r="M28" s="116">
        <f>+K28+'4'!M28+L28</f>
        <v>0</v>
      </c>
    </row>
    <row r="29" spans="1:13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+'4'!J29</f>
        <v>0</v>
      </c>
      <c r="K29" s="238"/>
      <c r="L29" s="238"/>
      <c r="M29" s="116">
        <f>+K29+'4'!M29+L29</f>
        <v>0</v>
      </c>
    </row>
    <row r="30" spans="1:13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+'4'!J30</f>
        <v>0</v>
      </c>
      <c r="K30" s="238"/>
      <c r="L30" s="238"/>
      <c r="M30" s="116">
        <f>+K30+'4'!M30+L30</f>
        <v>0</v>
      </c>
    </row>
    <row r="31" spans="1:13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+'4'!J31</f>
        <v>0</v>
      </c>
      <c r="K31" s="238"/>
      <c r="L31" s="238"/>
      <c r="M31" s="116">
        <f>+K31+'4'!M31+L31</f>
        <v>0</v>
      </c>
    </row>
    <row r="32" spans="1:13" ht="13.5" thickBot="1">
      <c r="A32" s="758"/>
      <c r="B32" s="164" t="s">
        <v>2</v>
      </c>
      <c r="C32" s="98">
        <f>SUM(C25:C31)</f>
        <v>13977</v>
      </c>
      <c r="D32" s="99">
        <f>SUM(D25:D31)</f>
        <v>0</v>
      </c>
      <c r="E32" s="100">
        <f>SUM(E25:E31)</f>
        <v>0</v>
      </c>
      <c r="F32" s="101">
        <f>SUM(F24:F31)</f>
        <v>30</v>
      </c>
      <c r="G32" s="170"/>
      <c r="H32" s="171"/>
      <c r="I32" s="168"/>
      <c r="J32" s="213">
        <f>+'4'!J32</f>
        <v>0</v>
      </c>
      <c r="K32" s="240"/>
      <c r="L32" s="242"/>
      <c r="M32" s="116">
        <f>+K32+'4'!M32+L32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9" t="s">
        <v>57</v>
      </c>
      <c r="B34" s="760"/>
      <c r="C34" s="106">
        <f>C14+C23+C32</f>
        <v>39289</v>
      </c>
      <c r="D34" s="106">
        <f>D14+D23+D32</f>
        <v>0</v>
      </c>
      <c r="E34" s="106">
        <f>E14+E23+E32</f>
        <v>0</v>
      </c>
      <c r="F34" s="107">
        <f>F14+F23+F32</f>
        <v>72</v>
      </c>
      <c r="H34" s="177"/>
      <c r="I34" s="177"/>
      <c r="J34" s="122" t="s">
        <v>28</v>
      </c>
      <c r="K34" s="123">
        <f>SUM(K7:K32)</f>
        <v>39289</v>
      </c>
      <c r="L34" s="211">
        <f>SUM(L7:L32)</f>
        <v>0</v>
      </c>
      <c r="M34" s="119">
        <f>SUM(M7:M32)</f>
        <v>190890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(11.5*1440)/1440*G42*2.74*1440/1000000</f>
        <v>42.415989119999999</v>
      </c>
      <c r="J37" s="124">
        <f>+I37+'4'!J37</f>
        <v>214.82899066347224</v>
      </c>
      <c r="K37" s="125" t="s">
        <v>63</v>
      </c>
    </row>
    <row r="38" spans="1:13" ht="17.45" customHeight="1">
      <c r="A38" s="763" t="s">
        <v>12</v>
      </c>
      <c r="B38" s="764"/>
      <c r="C38" s="163">
        <f>SUMIF($G$7:$G$31,"Process",$F$7:$F$31)</f>
        <v>72</v>
      </c>
      <c r="D38" s="117">
        <f>+C38+'4'!D38</f>
        <v>346</v>
      </c>
      <c r="E38" s="142">
        <f t="shared" ref="E38:E51" si="2">D38/60</f>
        <v>5.7666666666666666</v>
      </c>
      <c r="F38" s="321">
        <v>1230</v>
      </c>
      <c r="G38" s="321">
        <v>934.8</v>
      </c>
      <c r="H38" s="186" t="s">
        <v>64</v>
      </c>
      <c r="I38" s="244">
        <f>12.993+13.123+12.924</f>
        <v>39.04</v>
      </c>
      <c r="J38" s="126">
        <f>+I38+'4'!J38</f>
        <v>194.24</v>
      </c>
      <c r="K38" s="127" t="s">
        <v>63</v>
      </c>
    </row>
    <row r="39" spans="1:13" ht="17.45" customHeight="1">
      <c r="A39" s="765" t="s">
        <v>13</v>
      </c>
      <c r="B39" s="766"/>
      <c r="C39" s="163">
        <f>SUMIF($G$7:$G$31,"Cleaning",$F$7:$F$31)</f>
        <v>0</v>
      </c>
      <c r="D39" s="117">
        <f>+C39+'4'!D39</f>
        <v>0</v>
      </c>
      <c r="E39" s="142">
        <f t="shared" si="2"/>
        <v>0</v>
      </c>
      <c r="F39" s="321">
        <v>1230</v>
      </c>
      <c r="G39" s="321">
        <v>934.8</v>
      </c>
      <c r="H39" s="186" t="s">
        <v>65</v>
      </c>
      <c r="I39" s="141"/>
      <c r="J39" s="128">
        <f>J37/G4</f>
        <v>42.965798132694445</v>
      </c>
      <c r="K39" s="129" t="s">
        <v>63</v>
      </c>
    </row>
    <row r="40" spans="1:13" ht="17.45" customHeight="1">
      <c r="A40" s="765" t="s">
        <v>66</v>
      </c>
      <c r="B40" s="766"/>
      <c r="C40" s="163">
        <f>SUMIF($G$7:$G$31,"Mechanical",$F$7:$F$31)</f>
        <v>0</v>
      </c>
      <c r="D40" s="117">
        <f>+C40+'4'!D40</f>
        <v>0</v>
      </c>
      <c r="E40" s="142">
        <f t="shared" si="2"/>
        <v>0</v>
      </c>
      <c r="F40" s="321">
        <v>1230</v>
      </c>
      <c r="G40" s="321">
        <v>934.8</v>
      </c>
      <c r="H40" s="186" t="s">
        <v>67</v>
      </c>
      <c r="I40" s="117">
        <f>(K34+L34)/1000</f>
        <v>39.289000000000001</v>
      </c>
      <c r="J40" s="130">
        <f>+I40+'4'!J40</f>
        <v>190.89</v>
      </c>
      <c r="K40" s="129" t="s">
        <v>63</v>
      </c>
    </row>
    <row r="41" spans="1:13" ht="17.45" customHeight="1">
      <c r="A41" s="765" t="s">
        <v>68</v>
      </c>
      <c r="B41" s="766"/>
      <c r="C41" s="163">
        <f>SUMIF($G$7:$G$31,"Electrical",$F$7:$F$31)</f>
        <v>0</v>
      </c>
      <c r="D41" s="117">
        <f>+C41+'4'!D41</f>
        <v>0</v>
      </c>
      <c r="E41" s="142">
        <f t="shared" si="2"/>
        <v>0</v>
      </c>
      <c r="F41" s="321"/>
      <c r="G41" s="321"/>
      <c r="H41" s="186" t="s">
        <v>69</v>
      </c>
      <c r="I41" s="141"/>
      <c r="J41" s="128">
        <f>J40/G4</f>
        <v>38.177999999999997</v>
      </c>
      <c r="K41" s="129" t="s">
        <v>63</v>
      </c>
    </row>
    <row r="42" spans="1:13" ht="17.45" customHeight="1">
      <c r="A42" s="765" t="s">
        <v>16</v>
      </c>
      <c r="B42" s="766"/>
      <c r="C42" s="163">
        <f>SUMIF($G$7:$G$31,"Instrument",$F$7:$F$31)</f>
        <v>0</v>
      </c>
      <c r="D42" s="117">
        <f>+C42+'4'!D42</f>
        <v>0</v>
      </c>
      <c r="E42" s="142">
        <f t="shared" si="2"/>
        <v>0</v>
      </c>
      <c r="F42" s="321">
        <f>+(480*F38+480*F39+480*F40)/1440</f>
        <v>1230</v>
      </c>
      <c r="G42" s="321">
        <f>+(480*G38+480*G39+480*G40)/1440</f>
        <v>934.8</v>
      </c>
      <c r="H42" s="186" t="s">
        <v>70</v>
      </c>
      <c r="I42" s="245" t="s">
        <v>409</v>
      </c>
      <c r="J42" s="131"/>
      <c r="K42" s="129" t="s">
        <v>71</v>
      </c>
    </row>
    <row r="43" spans="1:13" ht="17.45" customHeight="1">
      <c r="A43" s="765" t="s">
        <v>221</v>
      </c>
      <c r="B43" s="766"/>
      <c r="C43" s="163">
        <f>SUMIF($G$7:$G$31,"Change Grade",$F$7:$F$31)</f>
        <v>0</v>
      </c>
      <c r="D43" s="117">
        <f>+C43+'4'!D43</f>
        <v>0</v>
      </c>
      <c r="E43" s="142">
        <f t="shared" si="2"/>
        <v>0</v>
      </c>
      <c r="F43" s="321"/>
      <c r="G43" s="322"/>
      <c r="H43" s="187" t="s">
        <v>73</v>
      </c>
      <c r="I43" s="117">
        <f>+Report1!Z13</f>
        <v>57.5</v>
      </c>
      <c r="J43" s="132">
        <f>+I43+'4'!J43</f>
        <v>280.7</v>
      </c>
      <c r="K43" s="129" t="s">
        <v>63</v>
      </c>
      <c r="L43" s="188"/>
    </row>
    <row r="44" spans="1:13" ht="17.45" customHeight="1">
      <c r="A44" s="765" t="s">
        <v>17</v>
      </c>
      <c r="B44" s="766"/>
      <c r="C44" s="163">
        <f>SUMIF($G$7:$G$31,"PLN",$F$7:$F$31)</f>
        <v>0</v>
      </c>
      <c r="D44" s="117">
        <f>+C44+'4'!D44</f>
        <v>0</v>
      </c>
      <c r="E44" s="142">
        <f t="shared" si="2"/>
        <v>0</v>
      </c>
      <c r="F44" s="321"/>
      <c r="G44" s="322"/>
      <c r="H44" s="187" t="s">
        <v>74</v>
      </c>
      <c r="I44" s="117">
        <f>I43/I38</f>
        <v>1.4728483606557377</v>
      </c>
      <c r="J44" s="133">
        <f>J43/J38</f>
        <v>1.4451194398682041</v>
      </c>
      <c r="K44" s="129" t="s">
        <v>63</v>
      </c>
    </row>
    <row r="45" spans="1:13" ht="17.45" customHeight="1">
      <c r="A45" s="765" t="s">
        <v>18</v>
      </c>
      <c r="B45" s="766"/>
      <c r="C45" s="163">
        <f>SUMIF($G$7:$G$31,"Boiler",$F$7:$F$31)</f>
        <v>0</v>
      </c>
      <c r="D45" s="117">
        <f>+C45+'4'!D45</f>
        <v>0</v>
      </c>
      <c r="E45" s="142">
        <f t="shared" si="2"/>
        <v>0</v>
      </c>
      <c r="F45" s="321"/>
      <c r="G45" s="324"/>
      <c r="H45" s="187" t="s">
        <v>75</v>
      </c>
      <c r="I45" s="117">
        <f>I43/I40</f>
        <v>1.4635139606505636</v>
      </c>
      <c r="J45" s="133">
        <f>J43/J40</f>
        <v>1.4704803813714706</v>
      </c>
      <c r="K45" s="129" t="s">
        <v>63</v>
      </c>
    </row>
    <row r="46" spans="1:13" ht="17.45" customHeight="1">
      <c r="A46" s="765" t="s">
        <v>76</v>
      </c>
      <c r="B46" s="766"/>
      <c r="C46" s="163">
        <f>SUMIF($G$7:$G$31,"Gas",$F$7:$F$31)</f>
        <v>0</v>
      </c>
      <c r="D46" s="117">
        <f>+C46+'4'!D46</f>
        <v>0</v>
      </c>
      <c r="E46" s="142">
        <f t="shared" si="2"/>
        <v>0</v>
      </c>
      <c r="F46" s="321"/>
      <c r="G46" s="322"/>
      <c r="H46" s="187" t="s">
        <v>77</v>
      </c>
      <c r="I46" s="139">
        <f>+SUMIF(Listrik!P12,"&gt;0")</f>
        <v>38874.880000001089</v>
      </c>
      <c r="J46" s="134">
        <f>+I46+'4'!J46</f>
        <v>191320.92000000109</v>
      </c>
      <c r="K46" s="129" t="s">
        <v>78</v>
      </c>
    </row>
    <row r="47" spans="1:13" ht="17.45" customHeight="1">
      <c r="A47" s="765" t="s">
        <v>79</v>
      </c>
      <c r="B47" s="766"/>
      <c r="C47" s="163">
        <f>SUMIF($G$7:$G$31,"Gas",$F$7:$F$31)</f>
        <v>0</v>
      </c>
      <c r="D47" s="117">
        <f>+C47+'4'!D47</f>
        <v>0</v>
      </c>
      <c r="E47" s="142">
        <f t="shared" si="2"/>
        <v>0</v>
      </c>
      <c r="F47" s="321"/>
      <c r="G47" s="322"/>
      <c r="H47" s="187" t="s">
        <v>80</v>
      </c>
      <c r="I47" s="117">
        <f>I46/I38</f>
        <v>995.77049180330664</v>
      </c>
      <c r="J47" s="134">
        <f>J46/J38</f>
        <v>984.97178747941246</v>
      </c>
      <c r="K47" s="129" t="s">
        <v>24</v>
      </c>
    </row>
    <row r="48" spans="1:13" ht="17.45" customHeight="1">
      <c r="A48" s="765" t="s">
        <v>14</v>
      </c>
      <c r="B48" s="766"/>
      <c r="C48" s="163">
        <f>SUMIF($G$7:$G$31,"Start Up",$F$7:$F$31)</f>
        <v>0</v>
      </c>
      <c r="D48" s="117">
        <f>+C48+'4'!D48</f>
        <v>0</v>
      </c>
      <c r="E48" s="142">
        <f t="shared" si="2"/>
        <v>0</v>
      </c>
      <c r="F48" s="321"/>
      <c r="G48" s="322"/>
      <c r="H48" s="187" t="s">
        <v>81</v>
      </c>
      <c r="I48" s="117">
        <f>I46/I40</f>
        <v>989.45964519333882</v>
      </c>
      <c r="J48" s="134">
        <f>J46/J40</f>
        <v>1002.25742574258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+C49+'4'!D49</f>
        <v>0</v>
      </c>
      <c r="E49" s="142">
        <f t="shared" si="2"/>
        <v>0</v>
      </c>
      <c r="F49" s="184"/>
      <c r="H49" s="187" t="s">
        <v>269</v>
      </c>
      <c r="I49" s="117">
        <f>+Report1!T13</f>
        <v>5122.2748482041707</v>
      </c>
      <c r="J49" s="134">
        <f>+I49+'4'!J49</f>
        <v>25704.480171256906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+C50+'4'!D50</f>
        <v>0</v>
      </c>
      <c r="E50" s="142">
        <f t="shared" si="2"/>
        <v>0</v>
      </c>
      <c r="F50" s="184"/>
      <c r="H50" s="187" t="s">
        <v>83</v>
      </c>
      <c r="I50" s="139">
        <f>I49/I38</f>
        <v>131.2058106609675</v>
      </c>
      <c r="J50" s="132">
        <f>J49/J38</f>
        <v>132.33360878941983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+C51+'4'!D51</f>
        <v>0</v>
      </c>
      <c r="E51" s="142">
        <f t="shared" si="2"/>
        <v>0</v>
      </c>
      <c r="F51" s="184"/>
      <c r="H51" s="189" t="s">
        <v>85</v>
      </c>
      <c r="I51" s="140">
        <f>I49/I40</f>
        <v>130.37427392410524</v>
      </c>
      <c r="J51" s="135">
        <f>J49/J40</f>
        <v>134.65598078085236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72</v>
      </c>
      <c r="D52" s="143">
        <f>SUM(D38:D51)</f>
        <v>346</v>
      </c>
      <c r="E52" s="144">
        <f>SUM(E38:E51)</f>
        <v>5.7666666666666666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0.05</v>
      </c>
      <c r="D53" s="145">
        <f>D52/(24*60*G4)</f>
        <v>4.8055555555555553E-2</v>
      </c>
      <c r="E53" s="146">
        <f>E52/(G4*24)</f>
        <v>4.8055555555555553E-2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+D34+'4'!J56</f>
        <v>700</v>
      </c>
      <c r="K56" s="200">
        <f>J56/(J40+J56/1000)/1000</f>
        <v>3.6536353671903551E-3</v>
      </c>
    </row>
    <row r="57" spans="1:11">
      <c r="A57" s="175"/>
      <c r="I57" s="198" t="s">
        <v>88</v>
      </c>
      <c r="J57" s="199">
        <f>+E34+'4'!J57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4027777777777778" header="0" footer="0"/>
  <pageSetup paperSize="9" scale="60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29</v>
      </c>
      <c r="G4" s="153">
        <v>4</v>
      </c>
      <c r="H4" s="153" t="str">
        <f>+'1'!H4</f>
        <v>.04.26</v>
      </c>
      <c r="J4" s="148">
        <f>605+513+485</f>
        <v>1603</v>
      </c>
    </row>
    <row r="5" spans="1:26" ht="13.5" thickBot="1">
      <c r="C5" s="154"/>
      <c r="D5" s="154"/>
    </row>
    <row r="6" spans="1:26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408</v>
      </c>
      <c r="O6" s="148">
        <v>1230</v>
      </c>
      <c r="P6" s="148">
        <f>+O6-(O6*0.24)</f>
        <v>934.8</v>
      </c>
      <c r="Q6" s="148">
        <f>60*3+10</f>
        <v>190</v>
      </c>
      <c r="R6" s="148">
        <f t="shared" ref="R6:R8" si="0">+O6*Q6</f>
        <v>233700</v>
      </c>
      <c r="S6" s="148">
        <f t="shared" ref="S6:S8" si="1">+P6*Q6</f>
        <v>177612</v>
      </c>
      <c r="U6" s="148" t="s">
        <v>408</v>
      </c>
      <c r="V6" s="148">
        <v>1230</v>
      </c>
      <c r="W6" s="148">
        <v>934.8</v>
      </c>
      <c r="X6" s="148">
        <v>190</v>
      </c>
      <c r="Y6" s="148">
        <f t="shared" ref="Y6:Y7" si="2">+V6*X6</f>
        <v>233700</v>
      </c>
      <c r="Z6" s="148">
        <f t="shared" ref="Z6:Z7" si="3">+W6*X6</f>
        <v>177612</v>
      </c>
    </row>
    <row r="7" spans="1:26" ht="13.5" customHeight="1" thickBot="1">
      <c r="A7" s="751" t="s">
        <v>390</v>
      </c>
      <c r="B7" s="214" t="s">
        <v>418</v>
      </c>
      <c r="C7" s="215">
        <f>7953+1934</f>
        <v>9887</v>
      </c>
      <c r="D7" s="216"/>
      <c r="E7" s="217"/>
      <c r="F7" s="227"/>
      <c r="G7" s="228" t="s">
        <v>12</v>
      </c>
      <c r="H7" s="229" t="s">
        <v>385</v>
      </c>
      <c r="I7" s="754" t="s">
        <v>448</v>
      </c>
      <c r="J7" s="213" t="str">
        <f>+'3'!J7</f>
        <v>F 11,5 VP OW</v>
      </c>
      <c r="K7" s="237">
        <f>+C7+C26</f>
        <v>14036</v>
      </c>
      <c r="L7" s="241"/>
      <c r="M7" s="116">
        <f>+K7+'3'!M7+L7</f>
        <v>123667</v>
      </c>
      <c r="N7" s="148" t="s">
        <v>443</v>
      </c>
      <c r="O7" s="148">
        <v>1180</v>
      </c>
      <c r="P7" s="148">
        <f>+O7-(O7*0.28)</f>
        <v>849.59999999999991</v>
      </c>
      <c r="Q7" s="148">
        <f>60-10+120+11</f>
        <v>181</v>
      </c>
      <c r="R7" s="148">
        <f t="shared" si="0"/>
        <v>213580</v>
      </c>
      <c r="S7" s="148">
        <f t="shared" si="1"/>
        <v>153777.59999999998</v>
      </c>
      <c r="U7" s="148" t="s">
        <v>408</v>
      </c>
      <c r="V7" s="148">
        <v>1230</v>
      </c>
      <c r="W7" s="148">
        <v>934.8</v>
      </c>
      <c r="X7" s="148">
        <v>290</v>
      </c>
      <c r="Y7" s="148">
        <f t="shared" si="2"/>
        <v>356700</v>
      </c>
      <c r="Z7" s="148">
        <f t="shared" si="3"/>
        <v>271092</v>
      </c>
    </row>
    <row r="8" spans="1:26" ht="13.5" thickBot="1">
      <c r="A8" s="752"/>
      <c r="B8" s="214" t="s">
        <v>457</v>
      </c>
      <c r="C8" s="215">
        <v>5693</v>
      </c>
      <c r="D8" s="216"/>
      <c r="E8" s="218"/>
      <c r="F8" s="230"/>
      <c r="G8" s="560" t="s">
        <v>12</v>
      </c>
      <c r="H8" s="229" t="s">
        <v>412</v>
      </c>
      <c r="I8" s="755"/>
      <c r="J8" s="213" t="s">
        <v>457</v>
      </c>
      <c r="K8" s="238">
        <f>+C8</f>
        <v>5693</v>
      </c>
      <c r="L8" s="238"/>
      <c r="M8" s="116">
        <f>+K8+'3'!M8+L8</f>
        <v>5693</v>
      </c>
      <c r="N8" s="148" t="s">
        <v>444</v>
      </c>
      <c r="O8" s="148">
        <v>1210</v>
      </c>
      <c r="P8" s="148">
        <f>+O8-(O8*0.24)</f>
        <v>919.6</v>
      </c>
      <c r="Q8" s="148">
        <f>60-11+60</f>
        <v>109</v>
      </c>
      <c r="R8" s="148">
        <f t="shared" si="0"/>
        <v>131890</v>
      </c>
      <c r="S8" s="148">
        <f t="shared" si="1"/>
        <v>100236.40000000001</v>
      </c>
    </row>
    <row r="9" spans="1:26" ht="13.5" thickBot="1">
      <c r="A9" s="752"/>
      <c r="B9" s="214"/>
      <c r="C9" s="215"/>
      <c r="D9" s="216"/>
      <c r="E9" s="219"/>
      <c r="F9" s="227">
        <v>20</v>
      </c>
      <c r="G9" s="560" t="s">
        <v>12</v>
      </c>
      <c r="H9" s="232" t="s">
        <v>450</v>
      </c>
      <c r="I9" s="755"/>
      <c r="J9" s="213" t="s">
        <v>456</v>
      </c>
      <c r="K9" s="238">
        <f>+C16+C25</f>
        <v>22241</v>
      </c>
      <c r="L9" s="238"/>
      <c r="M9" s="116">
        <f>+K9+'3'!M9+L9</f>
        <v>22241</v>
      </c>
    </row>
    <row r="10" spans="1:26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441</v>
      </c>
      <c r="I10" s="755"/>
      <c r="J10" s="213">
        <f>+'3'!J10</f>
        <v>0</v>
      </c>
      <c r="K10" s="238"/>
      <c r="L10" s="238"/>
      <c r="M10" s="116">
        <f>+K10+'3'!M10+L10</f>
        <v>0</v>
      </c>
    </row>
    <row r="11" spans="1:26" ht="39" thickBot="1">
      <c r="A11" s="752"/>
      <c r="B11" s="214"/>
      <c r="C11" s="215"/>
      <c r="D11" s="216"/>
      <c r="E11" s="218"/>
      <c r="F11" s="227"/>
      <c r="G11" s="231"/>
      <c r="H11" s="232" t="s">
        <v>442</v>
      </c>
      <c r="I11" s="755"/>
      <c r="J11" s="213">
        <f>+'3'!J11</f>
        <v>0</v>
      </c>
      <c r="K11" s="238"/>
      <c r="L11" s="238"/>
      <c r="M11" s="116">
        <f>+K11+'3'!M11+L11</f>
        <v>0</v>
      </c>
    </row>
    <row r="12" spans="1:26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>
        <f>+'3'!J12</f>
        <v>0</v>
      </c>
      <c r="K12" s="238"/>
      <c r="L12" s="238"/>
      <c r="M12" s="116">
        <f>+K12+'3'!M12+L12</f>
        <v>0</v>
      </c>
    </row>
    <row r="13" spans="1:26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>
        <f>+'3'!J13</f>
        <v>0</v>
      </c>
      <c r="K13" s="238"/>
      <c r="L13" s="238"/>
      <c r="M13" s="116">
        <f>+K13+'3'!M13+L13</f>
        <v>0</v>
      </c>
      <c r="Q13" s="175">
        <f>SUM(Q6:Q12)</f>
        <v>480</v>
      </c>
      <c r="R13" s="175">
        <f>SUM(R6:R12)</f>
        <v>579170</v>
      </c>
      <c r="S13" s="175">
        <f>SUM(S6:S12)</f>
        <v>431626</v>
      </c>
      <c r="X13" s="175">
        <f>SUM(X6:X12)</f>
        <v>480</v>
      </c>
      <c r="Y13" s="175">
        <f>SUM(Y6:Y12)</f>
        <v>590400</v>
      </c>
      <c r="Z13" s="175">
        <f>SUM(Z6:Z12)</f>
        <v>448704</v>
      </c>
    </row>
    <row r="14" spans="1:26" ht="13.5" thickBot="1">
      <c r="A14" s="753"/>
      <c r="B14" s="164" t="s">
        <v>2</v>
      </c>
      <c r="C14" s="98">
        <f>SUM(C7:C13)</f>
        <v>15580</v>
      </c>
      <c r="D14" s="110">
        <f>SUM(D7:D13)</f>
        <v>0</v>
      </c>
      <c r="E14" s="111">
        <f>SUM(E5:E13)</f>
        <v>0</v>
      </c>
      <c r="F14" s="115">
        <f>SUM(F7:F13)</f>
        <v>20</v>
      </c>
      <c r="G14" s="158"/>
      <c r="H14" s="165"/>
      <c r="I14" s="166"/>
      <c r="J14" s="213">
        <f>+'3'!J14</f>
        <v>0</v>
      </c>
      <c r="K14" s="238"/>
      <c r="L14" s="238"/>
      <c r="M14" s="116">
        <f>+K14+'3'!M14+L14</f>
        <v>0</v>
      </c>
      <c r="Q14" s="148">
        <f>480-Q13</f>
        <v>0</v>
      </c>
      <c r="R14" s="175">
        <f>+R13/Q13</f>
        <v>1206.6041666666667</v>
      </c>
      <c r="S14" s="175">
        <f>+S13/Q13</f>
        <v>899.2208333333333</v>
      </c>
      <c r="X14" s="148">
        <f>480-X13</f>
        <v>0</v>
      </c>
      <c r="Y14" s="175">
        <f>+Y13/X13</f>
        <v>1230</v>
      </c>
      <c r="Z14" s="175">
        <f>+Z13/X13</f>
        <v>934.8</v>
      </c>
    </row>
    <row r="15" spans="1:26" ht="13.5" customHeight="1" thickBot="1">
      <c r="A15" s="751" t="s">
        <v>389</v>
      </c>
      <c r="B15" s="164"/>
      <c r="C15" s="112">
        <f>C14/($C$23+$D$23+$E$23)</f>
        <v>1.1894945793250877</v>
      </c>
      <c r="D15" s="113">
        <f>D14/($C$23+$D$23+$E$23)</f>
        <v>0</v>
      </c>
      <c r="E15" s="114">
        <f>E14/($C$23+$D$23+$E$23)</f>
        <v>0</v>
      </c>
      <c r="F15" s="227">
        <v>4</v>
      </c>
      <c r="G15" s="228" t="s">
        <v>12</v>
      </c>
      <c r="H15" s="229" t="s">
        <v>400</v>
      </c>
      <c r="I15" s="754" t="s">
        <v>447</v>
      </c>
      <c r="J15" s="213">
        <f>+'3'!J15</f>
        <v>0</v>
      </c>
      <c r="K15" s="238"/>
      <c r="L15" s="238"/>
      <c r="M15" s="116">
        <f>+K15+'3'!M15+L15</f>
        <v>0</v>
      </c>
      <c r="P15" s="175"/>
      <c r="Q15" s="175"/>
      <c r="R15" s="175"/>
    </row>
    <row r="16" spans="1:26" ht="13.5" thickBot="1">
      <c r="A16" s="757"/>
      <c r="B16" s="214" t="s">
        <v>456</v>
      </c>
      <c r="C16" s="221">
        <v>13098</v>
      </c>
      <c r="D16" s="222"/>
      <c r="E16" s="223"/>
      <c r="F16" s="230"/>
      <c r="G16" s="560" t="s">
        <v>12</v>
      </c>
      <c r="H16" s="229" t="s">
        <v>412</v>
      </c>
      <c r="I16" s="755"/>
      <c r="J16" s="213">
        <f>+'3'!J16</f>
        <v>0</v>
      </c>
      <c r="K16" s="228"/>
      <c r="L16" s="228"/>
      <c r="M16" s="116">
        <f>+K16+'3'!M16+L16</f>
        <v>0</v>
      </c>
      <c r="N16" s="148" t="s">
        <v>444</v>
      </c>
      <c r="O16" s="148">
        <v>1210</v>
      </c>
      <c r="P16" s="148">
        <f>+O16-(O16*0.24)</f>
        <v>919.6</v>
      </c>
      <c r="Q16" s="148">
        <v>480</v>
      </c>
      <c r="R16" s="148">
        <f t="shared" ref="R16" si="4">+O16*Q16</f>
        <v>580800</v>
      </c>
      <c r="S16" s="148">
        <f t="shared" ref="S16" si="5">+P16*Q16</f>
        <v>441408</v>
      </c>
    </row>
    <row r="17" spans="1:26" ht="13.5" thickBot="1">
      <c r="A17" s="757"/>
      <c r="B17" s="214"/>
      <c r="C17" s="215"/>
      <c r="D17" s="216"/>
      <c r="E17" s="224"/>
      <c r="F17" s="227">
        <v>16</v>
      </c>
      <c r="G17" s="560" t="s">
        <v>12</v>
      </c>
      <c r="H17" s="232" t="s">
        <v>386</v>
      </c>
      <c r="I17" s="755"/>
      <c r="J17" s="213">
        <f>+'3'!J17</f>
        <v>0</v>
      </c>
      <c r="K17" s="228"/>
      <c r="L17" s="228"/>
      <c r="M17" s="116">
        <f>+K17+'3'!M17+L17</f>
        <v>0</v>
      </c>
      <c r="U17" s="148" t="s">
        <v>443</v>
      </c>
      <c r="V17" s="148">
        <v>1180</v>
      </c>
      <c r="W17" s="148">
        <v>849.59999999999991</v>
      </c>
      <c r="X17" s="148">
        <v>181</v>
      </c>
      <c r="Y17" s="148">
        <v>213580</v>
      </c>
      <c r="Z17" s="148">
        <v>153777.59999999998</v>
      </c>
    </row>
    <row r="18" spans="1:26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445</v>
      </c>
      <c r="I18" s="755"/>
      <c r="J18" s="213">
        <f>+'3'!J18</f>
        <v>0</v>
      </c>
      <c r="K18" s="238"/>
      <c r="L18" s="238"/>
      <c r="M18" s="116">
        <f>+K18+'3'!M18+L18</f>
        <v>0</v>
      </c>
      <c r="U18" s="148" t="s">
        <v>444</v>
      </c>
      <c r="V18" s="148">
        <v>1210</v>
      </c>
      <c r="W18" s="148">
        <v>919.6</v>
      </c>
      <c r="X18" s="148">
        <v>109</v>
      </c>
      <c r="Y18" s="148">
        <f t="shared" ref="Y18" si="6">+V18*X18</f>
        <v>131890</v>
      </c>
      <c r="Z18" s="148">
        <f t="shared" ref="Z18" si="7">+W18*X18</f>
        <v>100236.40000000001</v>
      </c>
    </row>
    <row r="19" spans="1:26" ht="13.5" thickBot="1">
      <c r="A19" s="757"/>
      <c r="B19" s="214"/>
      <c r="C19" s="215"/>
      <c r="D19" s="216"/>
      <c r="E19" s="224"/>
      <c r="F19" s="234"/>
      <c r="G19" s="236"/>
      <c r="H19" s="232"/>
      <c r="I19" s="755"/>
      <c r="J19" s="213">
        <f>+'3'!J19</f>
        <v>0</v>
      </c>
      <c r="K19" s="238"/>
      <c r="L19" s="238"/>
      <c r="M19" s="116">
        <f>+K19+'3'!M19+L19</f>
        <v>0</v>
      </c>
      <c r="U19" s="148" t="s">
        <v>444</v>
      </c>
      <c r="V19" s="148">
        <v>1210</v>
      </c>
      <c r="W19" s="148">
        <v>919.6</v>
      </c>
      <c r="X19" s="148">
        <v>480</v>
      </c>
      <c r="Y19" s="148">
        <f t="shared" ref="Y19:Y21" si="8">+V19*X19</f>
        <v>580800</v>
      </c>
      <c r="Z19" s="148">
        <f t="shared" ref="Z19:Z21" si="9">+W19*X19</f>
        <v>441408</v>
      </c>
    </row>
    <row r="20" spans="1:26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+'3'!J20</f>
        <v>0</v>
      </c>
      <c r="K20" s="239"/>
      <c r="L20" s="239"/>
      <c r="M20" s="116">
        <f>+K20+'3'!M20+L20</f>
        <v>0</v>
      </c>
      <c r="U20" s="148" t="s">
        <v>444</v>
      </c>
      <c r="V20" s="148">
        <v>1210</v>
      </c>
      <c r="W20" s="148">
        <v>919.6</v>
      </c>
      <c r="X20" s="148">
        <v>190</v>
      </c>
      <c r="Y20" s="148">
        <f t="shared" si="8"/>
        <v>229900</v>
      </c>
      <c r="Z20" s="148">
        <f t="shared" si="9"/>
        <v>174724</v>
      </c>
    </row>
    <row r="21" spans="1:26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+'3'!J21</f>
        <v>0</v>
      </c>
      <c r="K21" s="238"/>
      <c r="L21" s="238"/>
      <c r="M21" s="116">
        <f>+K21+'3'!M21+L21</f>
        <v>0</v>
      </c>
      <c r="Y21" s="148">
        <f t="shared" si="8"/>
        <v>0</v>
      </c>
      <c r="Z21" s="148">
        <f t="shared" si="9"/>
        <v>0</v>
      </c>
    </row>
    <row r="22" spans="1:26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+'3'!J22</f>
        <v>0</v>
      </c>
      <c r="K22" s="238"/>
      <c r="L22" s="238"/>
      <c r="M22" s="116">
        <f>+K22+'3'!M22+L22</f>
        <v>0</v>
      </c>
    </row>
    <row r="23" spans="1:26" ht="13.5" thickBot="1">
      <c r="A23" s="758"/>
      <c r="B23" s="167" t="s">
        <v>2</v>
      </c>
      <c r="C23" s="99">
        <f>SUM(C16:C22)</f>
        <v>13098</v>
      </c>
      <c r="D23" s="110">
        <f>SUM(D16:D22)</f>
        <v>0</v>
      </c>
      <c r="E23" s="111">
        <f>SUM(E18:E22)</f>
        <v>0</v>
      </c>
      <c r="F23" s="115">
        <f>SUM(F15:F22)</f>
        <v>20</v>
      </c>
      <c r="G23" s="158"/>
      <c r="H23" s="165"/>
      <c r="I23" s="168"/>
      <c r="J23" s="213">
        <f>+'3'!J23</f>
        <v>0</v>
      </c>
      <c r="K23" s="238"/>
      <c r="L23" s="238"/>
      <c r="M23" s="116">
        <f>+K23+'3'!M23+L23</f>
        <v>0</v>
      </c>
      <c r="Q23" s="175">
        <f>SUM(Q16:Q22)</f>
        <v>480</v>
      </c>
      <c r="R23" s="175">
        <f>SUM(R16:R22)</f>
        <v>580800</v>
      </c>
      <c r="S23" s="175">
        <f>SUM(S16:S22)</f>
        <v>441408</v>
      </c>
    </row>
    <row r="24" spans="1:26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446</v>
      </c>
      <c r="J24" s="213">
        <f>+'3'!J24</f>
        <v>0</v>
      </c>
      <c r="K24" s="238"/>
      <c r="L24" s="238"/>
      <c r="M24" s="116">
        <f>+K24+'3'!M24+L24</f>
        <v>0</v>
      </c>
      <c r="Q24" s="148">
        <f>480-Q23</f>
        <v>0</v>
      </c>
      <c r="R24" s="175">
        <f>+R23/Q23</f>
        <v>1210</v>
      </c>
      <c r="S24" s="175">
        <f>+S23/Q23</f>
        <v>919.6</v>
      </c>
    </row>
    <row r="25" spans="1:26" ht="13.5" thickBot="1">
      <c r="A25" s="757"/>
      <c r="B25" s="214" t="s">
        <v>456</v>
      </c>
      <c r="C25" s="225">
        <v>9143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+'3'!J25</f>
        <v>0</v>
      </c>
      <c r="K25" s="238"/>
      <c r="L25" s="238"/>
      <c r="M25" s="116">
        <f>+K25+'3'!M25+L25</f>
        <v>0</v>
      </c>
      <c r="P25" s="175"/>
      <c r="Q25" s="175"/>
      <c r="R25" s="175"/>
      <c r="X25" s="175">
        <f>SUM(X18:X24)</f>
        <v>779</v>
      </c>
      <c r="Y25" s="175">
        <f>SUM(Y18:Y24)</f>
        <v>942590</v>
      </c>
      <c r="Z25" s="175">
        <f>SUM(Z18:Z24)</f>
        <v>716368.4</v>
      </c>
    </row>
    <row r="26" spans="1:26" ht="13.5" thickBot="1">
      <c r="A26" s="757"/>
      <c r="B26" s="214" t="s">
        <v>418</v>
      </c>
      <c r="C26" s="225">
        <v>4149</v>
      </c>
      <c r="D26" s="216"/>
      <c r="E26" s="226"/>
      <c r="F26" s="227">
        <v>24</v>
      </c>
      <c r="G26" s="560" t="s">
        <v>12</v>
      </c>
      <c r="H26" s="232" t="s">
        <v>450</v>
      </c>
      <c r="I26" s="755"/>
      <c r="J26" s="213">
        <f>+'3'!J26</f>
        <v>0</v>
      </c>
      <c r="K26" s="238"/>
      <c r="L26" s="238"/>
      <c r="M26" s="116">
        <f>+K26+'3'!M26+L26</f>
        <v>0</v>
      </c>
      <c r="N26" s="148" t="s">
        <v>444</v>
      </c>
      <c r="O26" s="148">
        <v>1210</v>
      </c>
      <c r="P26" s="148">
        <f>+O26-(O26*0.24)</f>
        <v>919.6</v>
      </c>
      <c r="Q26" s="148">
        <f>60*3+10</f>
        <v>190</v>
      </c>
      <c r="R26" s="148">
        <f t="shared" ref="R26:R27" si="10">+O26*Q26</f>
        <v>229900</v>
      </c>
      <c r="S26" s="148">
        <f t="shared" ref="S26:S27" si="11">+P26*Q26</f>
        <v>174724</v>
      </c>
      <c r="X26" s="148">
        <f>480-X25</f>
        <v>-299</v>
      </c>
      <c r="Y26" s="175">
        <f>+Y25/X25</f>
        <v>1210</v>
      </c>
      <c r="Z26" s="175">
        <f>+Z25/X25</f>
        <v>919.6</v>
      </c>
    </row>
    <row r="27" spans="1:26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439</v>
      </c>
      <c r="I27" s="755"/>
      <c r="J27" s="213">
        <f>+'3'!J27</f>
        <v>0</v>
      </c>
      <c r="K27" s="238"/>
      <c r="L27" s="238"/>
      <c r="M27" s="116">
        <f>+K27+'3'!M27+L27</f>
        <v>0</v>
      </c>
      <c r="N27" s="148" t="s">
        <v>408</v>
      </c>
      <c r="O27" s="148">
        <v>1230</v>
      </c>
      <c r="P27" s="148">
        <f>+O27-(O27*0.24)</f>
        <v>934.8</v>
      </c>
      <c r="Q27" s="148">
        <f>480-Q26</f>
        <v>290</v>
      </c>
      <c r="R27" s="148">
        <f t="shared" si="10"/>
        <v>356700</v>
      </c>
      <c r="S27" s="148">
        <f t="shared" si="11"/>
        <v>271092</v>
      </c>
    </row>
    <row r="28" spans="1:26" ht="39" thickBot="1">
      <c r="A28" s="757"/>
      <c r="B28" s="214"/>
      <c r="C28" s="215"/>
      <c r="D28" s="216"/>
      <c r="E28" s="224"/>
      <c r="F28" s="230"/>
      <c r="G28" s="231"/>
      <c r="H28" s="232" t="s">
        <v>440</v>
      </c>
      <c r="I28" s="755"/>
      <c r="J28" s="213">
        <f>+'3'!J28</f>
        <v>0</v>
      </c>
      <c r="K28" s="238"/>
      <c r="L28" s="238"/>
      <c r="M28" s="116">
        <f>+K28+'3'!M28+L28</f>
        <v>0</v>
      </c>
    </row>
    <row r="29" spans="1:26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+'3'!J29</f>
        <v>0</v>
      </c>
      <c r="K29" s="238"/>
      <c r="L29" s="238"/>
      <c r="M29" s="116">
        <f>+K29+'3'!M29+L29</f>
        <v>0</v>
      </c>
    </row>
    <row r="30" spans="1:26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+'3'!J30</f>
        <v>0</v>
      </c>
      <c r="K30" s="238"/>
      <c r="L30" s="238"/>
      <c r="M30" s="116">
        <f>+K30+'3'!M30+L30</f>
        <v>0</v>
      </c>
    </row>
    <row r="31" spans="1:26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+'3'!J31</f>
        <v>0</v>
      </c>
      <c r="K31" s="238"/>
      <c r="L31" s="238"/>
      <c r="M31" s="116">
        <f>+K31+'3'!M31+L31</f>
        <v>0</v>
      </c>
    </row>
    <row r="32" spans="1:26" ht="13.5" thickBot="1">
      <c r="A32" s="758"/>
      <c r="B32" s="164" t="s">
        <v>2</v>
      </c>
      <c r="C32" s="98">
        <f>SUM(C25:C31)</f>
        <v>13292</v>
      </c>
      <c r="D32" s="99">
        <f>SUM(D25:D31)</f>
        <v>0</v>
      </c>
      <c r="E32" s="100">
        <f>SUM(E25:E31)</f>
        <v>0</v>
      </c>
      <c r="F32" s="101">
        <f>SUM(F24:F31)</f>
        <v>28</v>
      </c>
      <c r="G32" s="170"/>
      <c r="H32" s="171"/>
      <c r="I32" s="168"/>
      <c r="J32" s="213">
        <f>+'3'!J32</f>
        <v>0</v>
      </c>
      <c r="K32" s="240"/>
      <c r="L32" s="242"/>
      <c r="M32" s="116">
        <f>+K32+'3'!M32+L32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  <c r="Q33" s="175">
        <f>SUM(Q26:Q32)</f>
        <v>480</v>
      </c>
      <c r="R33" s="175">
        <f>SUM(R26:R32)</f>
        <v>586600</v>
      </c>
      <c r="S33" s="175">
        <f>SUM(S26:S32)</f>
        <v>445816</v>
      </c>
    </row>
    <row r="34" spans="1:19" ht="13.5" thickBot="1">
      <c r="A34" s="759" t="s">
        <v>57</v>
      </c>
      <c r="B34" s="760"/>
      <c r="C34" s="106">
        <f>C14+C23+C32</f>
        <v>41970</v>
      </c>
      <c r="D34" s="106">
        <f>D14+D23+D32</f>
        <v>0</v>
      </c>
      <c r="E34" s="106">
        <f>E14+E23+E32</f>
        <v>0</v>
      </c>
      <c r="F34" s="107">
        <f>F14+F23+F32</f>
        <v>68</v>
      </c>
      <c r="H34" s="177"/>
      <c r="I34" s="177"/>
      <c r="J34" s="122" t="s">
        <v>28</v>
      </c>
      <c r="K34" s="123">
        <f>SUM(K7:K32)</f>
        <v>41970</v>
      </c>
      <c r="L34" s="211">
        <f>SUM(L7:L32)</f>
        <v>0</v>
      </c>
      <c r="M34" s="119">
        <f>SUM(M7:M32)</f>
        <v>151601</v>
      </c>
      <c r="Q34" s="148">
        <f>480-Q33</f>
        <v>0</v>
      </c>
      <c r="R34" s="175">
        <f>+R33/Q33</f>
        <v>1222.0833333333333</v>
      </c>
      <c r="S34" s="175">
        <f>+S33/Q33</f>
        <v>928.7833333333333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  <c r="N36" s="148" t="s">
        <v>408</v>
      </c>
      <c r="O36" s="148">
        <v>1230</v>
      </c>
      <c r="P36" s="148">
        <v>934.8</v>
      </c>
      <c r="Q36" s="148">
        <v>480</v>
      </c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(11.5*480+14*181+13*779)/1440*G42*2.74*1440/1000000</f>
        <v>45.624828103472225</v>
      </c>
      <c r="J37" s="124">
        <f>+I37+'3'!J37</f>
        <v>172.41300154347223</v>
      </c>
      <c r="K37" s="125" t="s">
        <v>63</v>
      </c>
      <c r="N37" s="148" t="s">
        <v>443</v>
      </c>
      <c r="O37" s="148">
        <v>1180</v>
      </c>
      <c r="P37" s="148">
        <v>849.59999999999991</v>
      </c>
      <c r="Q37" s="148">
        <v>181</v>
      </c>
    </row>
    <row r="38" spans="1:19" ht="17.45" customHeight="1">
      <c r="A38" s="763" t="s">
        <v>12</v>
      </c>
      <c r="B38" s="764"/>
      <c r="C38" s="163">
        <f>SUMIF($G$7:$G$31,"Process",$F$7:$F$31)</f>
        <v>68</v>
      </c>
      <c r="D38" s="117">
        <f>+C38+'3'!D38</f>
        <v>274</v>
      </c>
      <c r="E38" s="142">
        <f t="shared" ref="E38:E51" si="12">D38/60</f>
        <v>4.5666666666666664</v>
      </c>
      <c r="F38" s="321">
        <v>1206.6041666666667</v>
      </c>
      <c r="G38" s="321">
        <v>899.2208333333333</v>
      </c>
      <c r="H38" s="186" t="s">
        <v>64</v>
      </c>
      <c r="I38" s="244">
        <f>6.302+5.775+1.561+13.614+15.213</f>
        <v>42.465000000000003</v>
      </c>
      <c r="J38" s="126">
        <f>+I38+'3'!J38</f>
        <v>155.20000000000002</v>
      </c>
      <c r="K38" s="127" t="s">
        <v>63</v>
      </c>
      <c r="N38" s="148" t="s">
        <v>444</v>
      </c>
      <c r="O38" s="148">
        <v>1210</v>
      </c>
      <c r="P38" s="148">
        <v>919.6</v>
      </c>
      <c r="Q38" s="148">
        <v>779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+C39+'3'!D39</f>
        <v>0</v>
      </c>
      <c r="E39" s="142">
        <f t="shared" si="12"/>
        <v>0</v>
      </c>
      <c r="F39" s="321">
        <v>1210</v>
      </c>
      <c r="G39" s="321">
        <v>919.6</v>
      </c>
      <c r="H39" s="186" t="s">
        <v>65</v>
      </c>
      <c r="I39" s="141"/>
      <c r="J39" s="128">
        <f>J37/G4</f>
        <v>43.103250385868058</v>
      </c>
      <c r="K39" s="129" t="s">
        <v>63</v>
      </c>
      <c r="Q39" s="148">
        <f>SUM(Q36:Q38)</f>
        <v>1440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+C40+'3'!D40</f>
        <v>0</v>
      </c>
      <c r="E40" s="142">
        <f t="shared" si="12"/>
        <v>0</v>
      </c>
      <c r="F40" s="321">
        <v>1222.0833333333333</v>
      </c>
      <c r="G40" s="321">
        <v>928.7833333333333</v>
      </c>
      <c r="H40" s="186" t="s">
        <v>67</v>
      </c>
      <c r="I40" s="117">
        <f>(K34+L34)/1000</f>
        <v>41.97</v>
      </c>
      <c r="J40" s="130">
        <f>+I40+'3'!J40</f>
        <v>151.601</v>
      </c>
      <c r="K40" s="129" t="s">
        <v>63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+C41+'3'!D41</f>
        <v>0</v>
      </c>
      <c r="E41" s="142">
        <f t="shared" si="12"/>
        <v>0</v>
      </c>
      <c r="F41" s="321"/>
      <c r="G41" s="321"/>
      <c r="H41" s="186" t="s">
        <v>69</v>
      </c>
      <c r="I41" s="141"/>
      <c r="J41" s="128">
        <f>J40/G4</f>
        <v>37.90025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+C42+'3'!D42</f>
        <v>0</v>
      </c>
      <c r="E42" s="142">
        <f t="shared" si="12"/>
        <v>0</v>
      </c>
      <c r="F42" s="321">
        <f>+(480*F38+480*F39+480*F40)/1440</f>
        <v>1212.8958333333333</v>
      </c>
      <c r="G42" s="321">
        <f>+(480*G38+480*G39+480*G40)/1440</f>
        <v>915.86805555555554</v>
      </c>
      <c r="H42" s="186" t="s">
        <v>70</v>
      </c>
      <c r="I42" s="245" t="s">
        <v>449</v>
      </c>
      <c r="J42" s="131"/>
      <c r="K42" s="129" t="s">
        <v>71</v>
      </c>
    </row>
    <row r="43" spans="1:19" ht="17.45" customHeight="1">
      <c r="A43" s="765" t="s">
        <v>221</v>
      </c>
      <c r="B43" s="766"/>
      <c r="C43" s="163">
        <f>SUMIF($G$7:$G$31,"Change Grade",$F$7:$F$31)</f>
        <v>0</v>
      </c>
      <c r="D43" s="117">
        <f>+C43+'3'!D43</f>
        <v>0</v>
      </c>
      <c r="E43" s="142">
        <f t="shared" si="12"/>
        <v>0</v>
      </c>
      <c r="F43" s="321"/>
      <c r="G43" s="322"/>
      <c r="H43" s="187" t="s">
        <v>73</v>
      </c>
      <c r="I43" s="117">
        <f>+Report1!Z12</f>
        <v>57.8</v>
      </c>
      <c r="J43" s="132">
        <f>+I43+'3'!J43</f>
        <v>223.2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+C44+'3'!D44</f>
        <v>0</v>
      </c>
      <c r="E44" s="142">
        <f t="shared" si="12"/>
        <v>0</v>
      </c>
      <c r="F44" s="321"/>
      <c r="G44" s="322"/>
      <c r="H44" s="187" t="s">
        <v>74</v>
      </c>
      <c r="I44" s="117">
        <f>+Report1!Z12</f>
        <v>57.8</v>
      </c>
      <c r="J44" s="133">
        <f>J43/J38</f>
        <v>1.438144329896907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+C45+'3'!D45</f>
        <v>0</v>
      </c>
      <c r="E45" s="142">
        <f t="shared" si="12"/>
        <v>0</v>
      </c>
      <c r="F45" s="321"/>
      <c r="G45" s="324"/>
      <c r="H45" s="187" t="s">
        <v>75</v>
      </c>
      <c r="I45" s="117">
        <f>I43/I40</f>
        <v>1.3771741720276387</v>
      </c>
      <c r="J45" s="133">
        <f>J43/J40</f>
        <v>1.472285802864097</v>
      </c>
      <c r="K45" s="129" t="s">
        <v>63</v>
      </c>
    </row>
    <row r="46" spans="1:19" ht="17.45" customHeight="1">
      <c r="A46" s="765" t="s">
        <v>285</v>
      </c>
      <c r="B46" s="766"/>
      <c r="C46" s="163">
        <f>SUMIF($G$7:$G$31,"Sinergy",$F$7:$F$31)</f>
        <v>0</v>
      </c>
      <c r="D46" s="117">
        <f>+C46+'3'!D46</f>
        <v>0</v>
      </c>
      <c r="E46" s="142">
        <f t="shared" si="12"/>
        <v>0</v>
      </c>
      <c r="F46" s="321"/>
      <c r="G46" s="322"/>
      <c r="H46" s="187" t="s">
        <v>77</v>
      </c>
      <c r="I46" s="139">
        <f>+SUMIF(Listrik!P11,"&gt;0")</f>
        <v>37387.379999998542</v>
      </c>
      <c r="J46" s="134">
        <f>+I46+'3'!J46</f>
        <v>152446.04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+C47+'3'!D47</f>
        <v>0</v>
      </c>
      <c r="E47" s="142">
        <f t="shared" si="12"/>
        <v>0</v>
      </c>
      <c r="F47" s="321"/>
      <c r="G47" s="322"/>
      <c r="H47" s="187" t="s">
        <v>80</v>
      </c>
      <c r="I47" s="117">
        <f>I46/I38</f>
        <v>880.42811727301398</v>
      </c>
      <c r="J47" s="134">
        <f>J46/J38</f>
        <v>982.25541237113396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+C48+'3'!D48</f>
        <v>0</v>
      </c>
      <c r="E48" s="142">
        <f t="shared" si="12"/>
        <v>0</v>
      </c>
      <c r="F48" s="321"/>
      <c r="G48" s="322"/>
      <c r="H48" s="187" t="s">
        <v>81</v>
      </c>
      <c r="I48" s="117">
        <f>I46/I40</f>
        <v>890.81200857752071</v>
      </c>
      <c r="J48" s="134">
        <f>J46/J40</f>
        <v>1005.5741057117039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+C49+'3'!D49</f>
        <v>0</v>
      </c>
      <c r="E49" s="142">
        <f t="shared" si="12"/>
        <v>0</v>
      </c>
      <c r="F49" s="184"/>
      <c r="H49" s="187" t="s">
        <v>269</v>
      </c>
      <c r="I49" s="117">
        <f>+Report1!T12</f>
        <v>5076.3320903432068</v>
      </c>
      <c r="J49" s="134">
        <f>+I49+'3'!J49</f>
        <v>20582.205323052734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+C50+'3'!D50</f>
        <v>0</v>
      </c>
      <c r="E50" s="142">
        <f t="shared" si="12"/>
        <v>0</v>
      </c>
      <c r="F50" s="184"/>
      <c r="H50" s="187" t="s">
        <v>83</v>
      </c>
      <c r="I50" s="139">
        <f>I49/I38</f>
        <v>119.54155399371733</v>
      </c>
      <c r="J50" s="132">
        <f>J49/J38</f>
        <v>132.61730233925729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+C51+'3'!D51</f>
        <v>0</v>
      </c>
      <c r="E51" s="142">
        <f t="shared" si="12"/>
        <v>0</v>
      </c>
      <c r="F51" s="184"/>
      <c r="H51" s="189" t="s">
        <v>85</v>
      </c>
      <c r="I51" s="140">
        <f>I49/I40</f>
        <v>120.95144365840379</v>
      </c>
      <c r="J51" s="135">
        <f>J49/J40</f>
        <v>135.76563032600532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68</v>
      </c>
      <c r="D52" s="143">
        <f>SUM(D38:D51)</f>
        <v>274</v>
      </c>
      <c r="E52" s="144">
        <f>SUM(E38:E51)</f>
        <v>4.5666666666666664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4.7222222222222221E-2</v>
      </c>
      <c r="D53" s="145">
        <f>D52/(24*60*G4)</f>
        <v>4.7569444444444442E-2</v>
      </c>
      <c r="E53" s="146">
        <f>E52/(G4*24)</f>
        <v>4.7569444444444442E-2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+D34+'3'!J56</f>
        <v>700</v>
      </c>
      <c r="K56" s="200">
        <f>J56/(J40+J56/1000)/1000</f>
        <v>4.5961615485124859E-3</v>
      </c>
    </row>
    <row r="57" spans="1:11">
      <c r="A57" s="175"/>
      <c r="I57" s="198" t="s">
        <v>88</v>
      </c>
      <c r="J57" s="199">
        <f>+E34+'3'!J57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view="pageBreakPreview" topLeftCell="F1" zoomScale="80" zoomScaleNormal="75" zoomScaleSheetLayoutView="80" workbookViewId="0">
      <selection activeCell="N6" sqref="N6:S14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3.7109375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3</v>
      </c>
      <c r="H4" s="153" t="str">
        <f>+'1'!H4</f>
        <v>.04.26</v>
      </c>
      <c r="J4" s="148">
        <f>543+510+500</f>
        <v>1553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408</v>
      </c>
      <c r="O6" s="148">
        <v>1230</v>
      </c>
      <c r="P6" s="148">
        <f>+O6-(O6*0.24)</f>
        <v>934.8</v>
      </c>
      <c r="Q6" s="148">
        <v>480</v>
      </c>
      <c r="R6" s="148">
        <f t="shared" ref="R6" si="0">+O6*Q6</f>
        <v>590400</v>
      </c>
      <c r="S6" s="148">
        <f t="shared" ref="S6:S7" si="1">+P6*Q6</f>
        <v>448704</v>
      </c>
    </row>
    <row r="7" spans="1:19" ht="13.5" customHeight="1" thickBot="1">
      <c r="A7" s="751" t="s">
        <v>390</v>
      </c>
      <c r="B7" s="214" t="s">
        <v>418</v>
      </c>
      <c r="C7" s="215">
        <v>13307</v>
      </c>
      <c r="D7" s="216"/>
      <c r="E7" s="217"/>
      <c r="F7" s="227"/>
      <c r="G7" s="228" t="s">
        <v>12</v>
      </c>
      <c r="H7" s="229" t="s">
        <v>385</v>
      </c>
      <c r="I7" s="754" t="s">
        <v>409</v>
      </c>
      <c r="J7" s="213" t="str">
        <f>+'2'!J7</f>
        <v>F 11,5 VP OW</v>
      </c>
      <c r="K7" s="237">
        <f>+C34</f>
        <v>37431</v>
      </c>
      <c r="L7" s="241"/>
      <c r="M7" s="116">
        <f>+K7+'2'!M7+L7</f>
        <v>109631</v>
      </c>
      <c r="S7" s="148">
        <f t="shared" si="1"/>
        <v>0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>
        <f>+'2'!J8</f>
        <v>0</v>
      </c>
      <c r="K8" s="238"/>
      <c r="L8" s="238"/>
      <c r="M8" s="116">
        <f>+K8+'2'!M8+L8</f>
        <v>0</v>
      </c>
    </row>
    <row r="9" spans="1:19" ht="13.5" thickBot="1">
      <c r="A9" s="752"/>
      <c r="B9" s="214"/>
      <c r="C9" s="215"/>
      <c r="D9" s="216"/>
      <c r="E9" s="219"/>
      <c r="F9" s="227">
        <v>21</v>
      </c>
      <c r="G9" s="560" t="s">
        <v>12</v>
      </c>
      <c r="H9" s="232" t="s">
        <v>427</v>
      </c>
      <c r="I9" s="755"/>
      <c r="J9" s="213">
        <f>+'2'!J9</f>
        <v>0</v>
      </c>
      <c r="K9" s="238"/>
      <c r="L9" s="238"/>
      <c r="M9" s="116">
        <f>+K9+'2'!M9+L9</f>
        <v>0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406</v>
      </c>
      <c r="I10" s="755"/>
      <c r="J10" s="213">
        <f>+'2'!J10</f>
        <v>0</v>
      </c>
      <c r="K10" s="238"/>
      <c r="L10" s="238"/>
      <c r="M10" s="116">
        <f>+K10+'2'!M10+L10</f>
        <v>0</v>
      </c>
    </row>
    <row r="11" spans="1:19" ht="26.25" thickBot="1">
      <c r="A11" s="752"/>
      <c r="B11" s="214"/>
      <c r="C11" s="215"/>
      <c r="D11" s="216"/>
      <c r="E11" s="218"/>
      <c r="F11" s="227"/>
      <c r="G11" s="231"/>
      <c r="H11" s="232" t="s">
        <v>424</v>
      </c>
      <c r="I11" s="755"/>
      <c r="J11" s="213">
        <f>+'2'!J11</f>
        <v>0</v>
      </c>
      <c r="K11" s="238"/>
      <c r="L11" s="238"/>
      <c r="M11" s="116">
        <f>+K11+'2'!M11+L11</f>
        <v>0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>
        <f>+'2'!J12</f>
        <v>0</v>
      </c>
      <c r="K12" s="238"/>
      <c r="L12" s="238"/>
      <c r="M12" s="116">
        <f>+K12+'2'!M12+L12</f>
        <v>0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>
        <f>+'2'!J13</f>
        <v>0</v>
      </c>
      <c r="K13" s="238"/>
      <c r="L13" s="238"/>
      <c r="M13" s="116">
        <f>+K13+'2'!M13+L13</f>
        <v>0</v>
      </c>
      <c r="Q13" s="175">
        <f>SUM(Q6:Q12)</f>
        <v>480</v>
      </c>
      <c r="R13" s="175">
        <f>SUM(R6:R12)</f>
        <v>590400</v>
      </c>
      <c r="S13" s="175">
        <f>SUM(S6:S12)</f>
        <v>448704</v>
      </c>
    </row>
    <row r="14" spans="1:19" ht="13.5" thickBot="1">
      <c r="A14" s="753"/>
      <c r="B14" s="164" t="s">
        <v>2</v>
      </c>
      <c r="C14" s="98">
        <f>SUM(C7:C13)</f>
        <v>13307</v>
      </c>
      <c r="D14" s="110">
        <f>SUM(D7:D13)</f>
        <v>0</v>
      </c>
      <c r="E14" s="111">
        <f>SUM(E5:E13)</f>
        <v>0</v>
      </c>
      <c r="F14" s="115">
        <f>SUM(F7:F13)</f>
        <v>21</v>
      </c>
      <c r="G14" s="158"/>
      <c r="H14" s="165"/>
      <c r="I14" s="166"/>
      <c r="J14" s="213">
        <f>+'2'!J14</f>
        <v>0</v>
      </c>
      <c r="K14" s="238"/>
      <c r="L14" s="238"/>
      <c r="M14" s="116">
        <f>+K14+'2'!M14+L14</f>
        <v>0</v>
      </c>
      <c r="Q14" s="148">
        <f>480-Q13</f>
        <v>0</v>
      </c>
      <c r="R14" s="175">
        <f>+R13/Q13</f>
        <v>1230</v>
      </c>
      <c r="S14" s="175">
        <f>+S13/Q13</f>
        <v>934.8</v>
      </c>
    </row>
    <row r="15" spans="1:19" ht="13.5" customHeight="1" thickBot="1">
      <c r="A15" s="751" t="s">
        <v>391</v>
      </c>
      <c r="B15" s="164"/>
      <c r="C15" s="112">
        <f>C14/($C$23+$D$23+$E$23)</f>
        <v>0.99939917386406307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409</v>
      </c>
      <c r="J15" s="213">
        <f>+'2'!J15</f>
        <v>0</v>
      </c>
      <c r="K15" s="238"/>
      <c r="L15" s="238"/>
      <c r="M15" s="116">
        <f>+K15+'2'!M15+L15</f>
        <v>0</v>
      </c>
      <c r="P15" s="175"/>
      <c r="Q15" s="175"/>
      <c r="R15" s="175"/>
    </row>
    <row r="16" spans="1:19" ht="13.5" thickBot="1">
      <c r="A16" s="757"/>
      <c r="B16" s="214" t="s">
        <v>418</v>
      </c>
      <c r="C16" s="221">
        <v>13315</v>
      </c>
      <c r="D16" s="222"/>
      <c r="E16" s="223"/>
      <c r="F16" s="230">
        <v>8</v>
      </c>
      <c r="G16" s="560" t="s">
        <v>12</v>
      </c>
      <c r="H16" s="229" t="s">
        <v>416</v>
      </c>
      <c r="I16" s="755"/>
      <c r="J16" s="213">
        <f>+'2'!J16</f>
        <v>0</v>
      </c>
      <c r="K16" s="228"/>
      <c r="L16" s="228"/>
      <c r="M16" s="116">
        <f>+K16+'2'!M16+L16</f>
        <v>0</v>
      </c>
      <c r="Q16" s="175"/>
      <c r="R16" s="175"/>
    </row>
    <row r="17" spans="1:13" ht="13.5" thickBot="1">
      <c r="A17" s="757"/>
      <c r="B17" s="214"/>
      <c r="C17" s="215"/>
      <c r="D17" s="216"/>
      <c r="E17" s="224"/>
      <c r="F17" s="227">
        <v>10</v>
      </c>
      <c r="G17" s="560" t="s">
        <v>12</v>
      </c>
      <c r="H17" s="232" t="s">
        <v>413</v>
      </c>
      <c r="I17" s="755"/>
      <c r="J17" s="213">
        <f>+'2'!J17</f>
        <v>0</v>
      </c>
      <c r="K17" s="228"/>
      <c r="L17" s="228"/>
      <c r="M17" s="116">
        <f>+K17+'2'!M17+L17</f>
        <v>0</v>
      </c>
    </row>
    <row r="18" spans="1:13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425</v>
      </c>
      <c r="I18" s="755"/>
      <c r="J18" s="213">
        <f>+'2'!J18</f>
        <v>0</v>
      </c>
      <c r="K18" s="238"/>
      <c r="L18" s="238"/>
      <c r="M18" s="116">
        <f>+K18+'2'!M18+L18</f>
        <v>0</v>
      </c>
    </row>
    <row r="19" spans="1:13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+'2'!J19</f>
        <v>0</v>
      </c>
      <c r="K19" s="238"/>
      <c r="L19" s="238"/>
      <c r="M19" s="116">
        <f>+K19+'2'!M19+L19</f>
        <v>0</v>
      </c>
    </row>
    <row r="20" spans="1:13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+'2'!J20</f>
        <v>0</v>
      </c>
      <c r="K20" s="239"/>
      <c r="L20" s="239"/>
      <c r="M20" s="116">
        <f>+K20+'2'!M20+L20</f>
        <v>0</v>
      </c>
    </row>
    <row r="21" spans="1:13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+'2'!J21</f>
        <v>0</v>
      </c>
      <c r="K21" s="238"/>
      <c r="L21" s="238"/>
      <c r="M21" s="116">
        <f>+K21+'2'!M21+L21</f>
        <v>0</v>
      </c>
    </row>
    <row r="22" spans="1:13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+'2'!J22</f>
        <v>0</v>
      </c>
      <c r="K22" s="238"/>
      <c r="L22" s="238"/>
      <c r="M22" s="116">
        <f>+K22+'2'!M22+L22</f>
        <v>0</v>
      </c>
    </row>
    <row r="23" spans="1:13" ht="13.5" thickBot="1">
      <c r="A23" s="758"/>
      <c r="B23" s="167" t="s">
        <v>2</v>
      </c>
      <c r="C23" s="99">
        <f>SUM(C16:C22)</f>
        <v>13315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+'2'!J23</f>
        <v>0</v>
      </c>
      <c r="K23" s="238"/>
      <c r="L23" s="238"/>
      <c r="M23" s="116">
        <f>+K23+'2'!M23+L23</f>
        <v>0</v>
      </c>
    </row>
    <row r="24" spans="1:13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6</v>
      </c>
      <c r="G24" s="228" t="s">
        <v>12</v>
      </c>
      <c r="H24" s="229" t="s">
        <v>400</v>
      </c>
      <c r="I24" s="754" t="s">
        <v>409</v>
      </c>
      <c r="J24" s="213">
        <f>+'2'!J24</f>
        <v>0</v>
      </c>
      <c r="K24" s="238"/>
      <c r="L24" s="238"/>
      <c r="M24" s="116">
        <f>+K24+'2'!M24+L24</f>
        <v>0</v>
      </c>
    </row>
    <row r="25" spans="1:13" ht="13.5" thickBot="1">
      <c r="A25" s="757"/>
      <c r="B25" s="214" t="s">
        <v>418</v>
      </c>
      <c r="C25" s="225">
        <v>10809</v>
      </c>
      <c r="D25" s="216"/>
      <c r="E25" s="224"/>
      <c r="F25" s="230"/>
      <c r="G25" s="560" t="s">
        <v>12</v>
      </c>
      <c r="H25" s="229" t="s">
        <v>412</v>
      </c>
      <c r="I25" s="755"/>
      <c r="J25" s="213">
        <f>+'2'!J25</f>
        <v>0</v>
      </c>
      <c r="K25" s="238"/>
      <c r="L25" s="238"/>
      <c r="M25" s="116">
        <f>+K25+'2'!M25+L25</f>
        <v>0</v>
      </c>
    </row>
    <row r="26" spans="1:13" ht="13.5" thickBot="1">
      <c r="A26" s="757"/>
      <c r="B26" s="214"/>
      <c r="C26" s="225"/>
      <c r="D26" s="216"/>
      <c r="E26" s="226"/>
      <c r="F26" s="227">
        <f>25-6</f>
        <v>19</v>
      </c>
      <c r="G26" s="560" t="s">
        <v>12</v>
      </c>
      <c r="H26" s="232" t="s">
        <v>427</v>
      </c>
      <c r="I26" s="755"/>
      <c r="J26" s="213">
        <f>+'2'!J26</f>
        <v>0</v>
      </c>
      <c r="K26" s="238"/>
      <c r="L26" s="238"/>
      <c r="M26" s="116">
        <f>+K26+'2'!M26+L26</f>
        <v>0</v>
      </c>
    </row>
    <row r="27" spans="1:13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426</v>
      </c>
      <c r="I27" s="755"/>
      <c r="J27" s="213">
        <f>+'2'!J27</f>
        <v>0</v>
      </c>
      <c r="K27" s="238"/>
      <c r="L27" s="238"/>
      <c r="M27" s="116">
        <f>+K27+'2'!M27+L27</f>
        <v>0</v>
      </c>
    </row>
    <row r="28" spans="1:13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+'2'!J28</f>
        <v>0</v>
      </c>
      <c r="K28" s="238"/>
      <c r="L28" s="238"/>
      <c r="M28" s="116">
        <f>+K28+'2'!M28+L28</f>
        <v>0</v>
      </c>
    </row>
    <row r="29" spans="1:13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+'2'!J29</f>
        <v>0</v>
      </c>
      <c r="K29" s="238"/>
      <c r="L29" s="238"/>
      <c r="M29" s="116">
        <f>+K29+'2'!M29+L29</f>
        <v>0</v>
      </c>
    </row>
    <row r="30" spans="1:13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+'2'!J30</f>
        <v>0</v>
      </c>
      <c r="K30" s="238"/>
      <c r="L30" s="238"/>
      <c r="M30" s="116">
        <f>+K30+'2'!M30+L30</f>
        <v>0</v>
      </c>
    </row>
    <row r="31" spans="1:13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+'2'!J31</f>
        <v>0</v>
      </c>
      <c r="K31" s="238"/>
      <c r="L31" s="238"/>
      <c r="M31" s="116">
        <f>+K31+'2'!M31+L31</f>
        <v>0</v>
      </c>
    </row>
    <row r="32" spans="1:13" ht="13.5" thickBot="1">
      <c r="A32" s="758"/>
      <c r="B32" s="164" t="s">
        <v>2</v>
      </c>
      <c r="C32" s="98">
        <f>SUM(C25:C31)</f>
        <v>10809</v>
      </c>
      <c r="D32" s="99">
        <f>SUM(D25:D31)</f>
        <v>0</v>
      </c>
      <c r="E32" s="100">
        <f>SUM(E25:E31)</f>
        <v>0</v>
      </c>
      <c r="F32" s="101">
        <f>SUM(F24:F31)</f>
        <v>25</v>
      </c>
      <c r="G32" s="170"/>
      <c r="H32" s="171"/>
      <c r="I32" s="168"/>
      <c r="J32" s="213">
        <f>+'2'!J32</f>
        <v>0</v>
      </c>
      <c r="K32" s="240"/>
      <c r="L32" s="242"/>
      <c r="M32" s="116">
        <f>+K32+'2'!M32+L32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9" t="s">
        <v>57</v>
      </c>
      <c r="B34" s="760"/>
      <c r="C34" s="106">
        <f>C14+C23+C32</f>
        <v>37431</v>
      </c>
      <c r="D34" s="106">
        <f>D14+D23+D32</f>
        <v>0</v>
      </c>
      <c r="E34" s="106">
        <f>E14+E23+E32</f>
        <v>0</v>
      </c>
      <c r="F34" s="107">
        <f>F14+F23+F32</f>
        <v>64</v>
      </c>
      <c r="H34" s="177"/>
      <c r="I34" s="177"/>
      <c r="J34" s="122" t="s">
        <v>28</v>
      </c>
      <c r="K34" s="123">
        <f>SUM(K7:K32)</f>
        <v>37431</v>
      </c>
      <c r="L34" s="211">
        <f>SUM(L7:L32)</f>
        <v>0</v>
      </c>
      <c r="M34" s="119">
        <f>SUM(M7:M32)</f>
        <v>109631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3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(11.5*1440)/1440*G42*2.74*1440/1000000</f>
        <v>42.415989119999999</v>
      </c>
      <c r="J37" s="124">
        <f>+I37+'2'!J37</f>
        <v>126.78817344000001</v>
      </c>
      <c r="K37" s="125" t="s">
        <v>63</v>
      </c>
    </row>
    <row r="38" spans="1:13" ht="17.45" customHeight="1">
      <c r="A38" s="763" t="s">
        <v>12</v>
      </c>
      <c r="B38" s="764"/>
      <c r="C38" s="163">
        <f>SUMIF($G$7:$G$31,"Process",$F$7:$F$31)</f>
        <v>64</v>
      </c>
      <c r="D38" s="117">
        <f>+C38+'2'!D38</f>
        <v>206</v>
      </c>
      <c r="E38" s="142">
        <f t="shared" ref="E38:E51" si="2">D38/60</f>
        <v>3.4333333333333331</v>
      </c>
      <c r="F38" s="321">
        <v>1230</v>
      </c>
      <c r="G38" s="321">
        <v>934.8</v>
      </c>
      <c r="H38" s="186" t="s">
        <v>64</v>
      </c>
      <c r="I38" s="244">
        <f>11.797+13.174+12.501</f>
        <v>37.472000000000001</v>
      </c>
      <c r="J38" s="126">
        <f>+I38+'2'!J38</f>
        <v>112.73500000000001</v>
      </c>
      <c r="K38" s="127" t="s">
        <v>63</v>
      </c>
    </row>
    <row r="39" spans="1:13" ht="17.45" customHeight="1">
      <c r="A39" s="765" t="s">
        <v>13</v>
      </c>
      <c r="B39" s="766"/>
      <c r="C39" s="163">
        <f>SUMIF($G$7:$G$31,"Cleaning",$F$7:$F$31)</f>
        <v>0</v>
      </c>
      <c r="D39" s="117">
        <f>+C39+'2'!D39</f>
        <v>0</v>
      </c>
      <c r="E39" s="142">
        <f t="shared" si="2"/>
        <v>0</v>
      </c>
      <c r="F39" s="321">
        <v>1230</v>
      </c>
      <c r="G39" s="321">
        <v>934.8</v>
      </c>
      <c r="H39" s="186" t="s">
        <v>65</v>
      </c>
      <c r="I39" s="141"/>
      <c r="J39" s="128">
        <f>J37/G4</f>
        <v>42.262724480000003</v>
      </c>
      <c r="K39" s="129" t="s">
        <v>63</v>
      </c>
    </row>
    <row r="40" spans="1:13" ht="17.45" customHeight="1">
      <c r="A40" s="765" t="s">
        <v>66</v>
      </c>
      <c r="B40" s="766"/>
      <c r="C40" s="163">
        <f>SUMIF($G$7:$G$31,"Mechanical",$F$7:$F$31)</f>
        <v>0</v>
      </c>
      <c r="D40" s="117">
        <f>+C40+'2'!D40</f>
        <v>0</v>
      </c>
      <c r="E40" s="142">
        <f t="shared" si="2"/>
        <v>0</v>
      </c>
      <c r="F40" s="321">
        <v>1230</v>
      </c>
      <c r="G40" s="321">
        <v>934.8</v>
      </c>
      <c r="H40" s="186" t="s">
        <v>67</v>
      </c>
      <c r="I40" s="117">
        <f>(K34+L34)/1000</f>
        <v>37.430999999999997</v>
      </c>
      <c r="J40" s="130">
        <f>+I40+'2'!J40</f>
        <v>109.631</v>
      </c>
      <c r="K40" s="129" t="s">
        <v>63</v>
      </c>
    </row>
    <row r="41" spans="1:13" ht="17.45" customHeight="1">
      <c r="A41" s="765" t="s">
        <v>68</v>
      </c>
      <c r="B41" s="766"/>
      <c r="C41" s="163">
        <f>SUMIF($G$7:$G$31,"Electrical",$F$7:$F$31)</f>
        <v>0</v>
      </c>
      <c r="D41" s="117">
        <f>+C41+'2'!D41</f>
        <v>0</v>
      </c>
      <c r="E41" s="142">
        <f t="shared" si="2"/>
        <v>0</v>
      </c>
      <c r="F41" s="321"/>
      <c r="G41" s="321"/>
      <c r="H41" s="186" t="s">
        <v>69</v>
      </c>
      <c r="I41" s="141"/>
      <c r="J41" s="128">
        <f>J40/G4</f>
        <v>36.543666666666667</v>
      </c>
      <c r="K41" s="129" t="s">
        <v>63</v>
      </c>
    </row>
    <row r="42" spans="1:13" ht="17.45" customHeight="1">
      <c r="A42" s="765" t="s">
        <v>16</v>
      </c>
      <c r="B42" s="766"/>
      <c r="C42" s="163">
        <f>SUMIF($G$7:$G$31,"Instrument",$F$7:$F$31)</f>
        <v>0</v>
      </c>
      <c r="D42" s="117">
        <f>+C42+'2'!D42</f>
        <v>0</v>
      </c>
      <c r="E42" s="142">
        <f t="shared" si="2"/>
        <v>0</v>
      </c>
      <c r="F42" s="321">
        <f>+(480*F38+480*F39+480*F40)/1440</f>
        <v>1230</v>
      </c>
      <c r="G42" s="321">
        <f>+(480*G38+480*G39+480*G40)/1440</f>
        <v>934.8</v>
      </c>
      <c r="H42" s="186" t="s">
        <v>70</v>
      </c>
      <c r="I42" s="245" t="s">
        <v>409</v>
      </c>
      <c r="J42" s="131"/>
      <c r="K42" s="129" t="s">
        <v>71</v>
      </c>
    </row>
    <row r="43" spans="1:13" ht="17.45" customHeight="1">
      <c r="A43" s="765" t="s">
        <v>72</v>
      </c>
      <c r="B43" s="766"/>
      <c r="C43" s="163">
        <f>SUMIF($G$7:$G$31,"Water",$F$7:$F$31)</f>
        <v>0</v>
      </c>
      <c r="D43" s="117">
        <f>+C43+'2'!D43</f>
        <v>0</v>
      </c>
      <c r="E43" s="142">
        <f t="shared" si="2"/>
        <v>0</v>
      </c>
      <c r="F43" s="321"/>
      <c r="G43" s="322"/>
      <c r="H43" s="187" t="s">
        <v>73</v>
      </c>
      <c r="I43" s="117">
        <f>+Report1!Z11</f>
        <v>57.9</v>
      </c>
      <c r="J43" s="132">
        <f>+I43+'2'!J43</f>
        <v>165.4</v>
      </c>
      <c r="K43" s="129" t="s">
        <v>63</v>
      </c>
      <c r="L43" s="188"/>
    </row>
    <row r="44" spans="1:13" ht="17.45" customHeight="1">
      <c r="A44" s="765" t="s">
        <v>17</v>
      </c>
      <c r="B44" s="766"/>
      <c r="C44" s="163">
        <f>SUMIF($G$7:$G$31,"PLN",$F$7:$F$31)</f>
        <v>0</v>
      </c>
      <c r="D44" s="117">
        <f>+C44+'2'!D44</f>
        <v>0</v>
      </c>
      <c r="E44" s="142">
        <f t="shared" si="2"/>
        <v>0</v>
      </c>
      <c r="F44" s="321"/>
      <c r="G44" s="322"/>
      <c r="H44" s="187" t="s">
        <v>74</v>
      </c>
      <c r="I44" s="117">
        <f>I43/I38</f>
        <v>1.5451537147736976</v>
      </c>
      <c r="J44" s="133">
        <f>J43/J38</f>
        <v>1.4671574932363507</v>
      </c>
      <c r="K44" s="129" t="s">
        <v>63</v>
      </c>
    </row>
    <row r="45" spans="1:13" ht="17.45" customHeight="1">
      <c r="A45" s="765" t="s">
        <v>18</v>
      </c>
      <c r="B45" s="766"/>
      <c r="C45" s="163">
        <f>SUMIF($G$7:$G$31,"Boiler",$F$7:$F$31)</f>
        <v>0</v>
      </c>
      <c r="D45" s="117">
        <f>+C45+'2'!D45</f>
        <v>0</v>
      </c>
      <c r="E45" s="142">
        <f t="shared" si="2"/>
        <v>0</v>
      </c>
      <c r="F45" s="321"/>
      <c r="G45" s="324"/>
      <c r="H45" s="187" t="s">
        <v>75</v>
      </c>
      <c r="I45" s="117">
        <f>I43/I40</f>
        <v>1.5468461970024847</v>
      </c>
      <c r="J45" s="133">
        <f>J43/J40</f>
        <v>1.5086973574992475</v>
      </c>
      <c r="K45" s="129" t="s">
        <v>63</v>
      </c>
    </row>
    <row r="46" spans="1:13" ht="17.45" customHeight="1">
      <c r="A46" s="765" t="s">
        <v>76</v>
      </c>
      <c r="B46" s="766"/>
      <c r="C46" s="163">
        <f>SUMIF($G$7:$G$31,"Gas",$F$7:$F$31)</f>
        <v>0</v>
      </c>
      <c r="D46" s="117">
        <f>+C46+'2'!D46</f>
        <v>0</v>
      </c>
      <c r="E46" s="142">
        <f t="shared" si="2"/>
        <v>0</v>
      </c>
      <c r="F46" s="321"/>
      <c r="G46" s="322"/>
      <c r="H46" s="187" t="s">
        <v>77</v>
      </c>
      <c r="I46" s="139">
        <f>+SUMIF(Listrik!P10,"&gt;0")</f>
        <v>39462.220000000729</v>
      </c>
      <c r="J46" s="134">
        <f>+I46+'2'!J46</f>
        <v>115058.66000000146</v>
      </c>
      <c r="K46" s="129" t="s">
        <v>78</v>
      </c>
    </row>
    <row r="47" spans="1:13" ht="17.45" customHeight="1">
      <c r="A47" s="765" t="s">
        <v>79</v>
      </c>
      <c r="B47" s="766"/>
      <c r="C47" s="163">
        <f>SUMIF($G$7:$G$31,"Gas",$F$7:$F$31)</f>
        <v>0</v>
      </c>
      <c r="D47" s="117">
        <f>+C47+'2'!D47</f>
        <v>0</v>
      </c>
      <c r="E47" s="142">
        <f t="shared" si="2"/>
        <v>0</v>
      </c>
      <c r="F47" s="321"/>
      <c r="G47" s="322"/>
      <c r="H47" s="187" t="s">
        <v>80</v>
      </c>
      <c r="I47" s="117">
        <f>I46/I38</f>
        <v>1053.1121904355446</v>
      </c>
      <c r="J47" s="134">
        <f>J46/J38</f>
        <v>1020.611700004448</v>
      </c>
      <c r="K47" s="129" t="s">
        <v>24</v>
      </c>
    </row>
    <row r="48" spans="1:13" ht="17.45" customHeight="1">
      <c r="A48" s="765" t="s">
        <v>14</v>
      </c>
      <c r="B48" s="766"/>
      <c r="C48" s="163">
        <f>SUMIF($G$7:$G$31,"Start Up",$F$7:$F$31)</f>
        <v>0</v>
      </c>
      <c r="D48" s="117">
        <f>+C48+'2'!D48</f>
        <v>0</v>
      </c>
      <c r="E48" s="142">
        <f t="shared" si="2"/>
        <v>0</v>
      </c>
      <c r="F48" s="321"/>
      <c r="G48" s="322"/>
      <c r="H48" s="187" t="s">
        <v>81</v>
      </c>
      <c r="I48" s="117">
        <f>I46/I40</f>
        <v>1054.2657155833595</v>
      </c>
      <c r="J48" s="134">
        <f>J46/J40</f>
        <v>1049.5084419552998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+C49+'2'!D49</f>
        <v>0</v>
      </c>
      <c r="E49" s="142">
        <f t="shared" si="2"/>
        <v>0</v>
      </c>
      <c r="F49" s="184"/>
      <c r="H49" s="187" t="s">
        <v>269</v>
      </c>
      <c r="I49" s="117">
        <f>+Report1!T11</f>
        <v>4681.4609956288796</v>
      </c>
      <c r="J49" s="134">
        <f>+I49+'2'!J49</f>
        <v>15505.873232709528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+C50+'2'!D50</f>
        <v>0</v>
      </c>
      <c r="E50" s="142">
        <f t="shared" si="2"/>
        <v>0</v>
      </c>
      <c r="F50" s="184"/>
      <c r="H50" s="187" t="s">
        <v>83</v>
      </c>
      <c r="I50" s="139">
        <f>I49/I38</f>
        <v>124.93224262459648</v>
      </c>
      <c r="J50" s="132">
        <f>J49/J38</f>
        <v>137.54267292952079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+C51+'2'!D51</f>
        <v>0</v>
      </c>
      <c r="E51" s="142">
        <f t="shared" si="2"/>
        <v>0</v>
      </c>
      <c r="F51" s="184"/>
      <c r="H51" s="189" t="s">
        <v>85</v>
      </c>
      <c r="I51" s="140">
        <f>I49/I40</f>
        <v>125.06908700352328</v>
      </c>
      <c r="J51" s="135">
        <f>J49/J40</f>
        <v>141.43694057984993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64</v>
      </c>
      <c r="D52" s="143">
        <f>SUM(D38:D51)</f>
        <v>206</v>
      </c>
      <c r="E52" s="144">
        <f>SUM(E38:E51)</f>
        <v>3.4333333333333331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4.4444444444444446E-2</v>
      </c>
      <c r="D53" s="145">
        <f>D52/(24*60*G4)</f>
        <v>4.7685185185185185E-2</v>
      </c>
      <c r="E53" s="146">
        <f>E52/(G4*24)</f>
        <v>4.7685185185185185E-2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+D34+'2'!J56</f>
        <v>700</v>
      </c>
      <c r="K56" s="200">
        <f>J56/(J40+J56/1000)/1000</f>
        <v>6.3445450508016789E-3</v>
      </c>
    </row>
    <row r="57" spans="1:11">
      <c r="A57" s="175"/>
      <c r="I57" s="198" t="s">
        <v>88</v>
      </c>
      <c r="J57" s="199">
        <f>+E34+'2'!J57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59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G24" sqref="G24:H2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1.7109375" style="109" customWidth="1"/>
    <col min="7" max="7" width="12.710937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2</v>
      </c>
      <c r="H4" s="153" t="str">
        <f>+'1'!H4</f>
        <v>.04.26</v>
      </c>
      <c r="J4" s="148">
        <f>692+541+772</f>
        <v>2005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408</v>
      </c>
      <c r="O6" s="148">
        <v>1230</v>
      </c>
      <c r="P6" s="148">
        <f>+O6-(O6*0.24)</f>
        <v>934.8</v>
      </c>
      <c r="Q6" s="148">
        <v>480</v>
      </c>
      <c r="R6" s="148">
        <f t="shared" ref="R6" si="0">+O6*Q6</f>
        <v>590400</v>
      </c>
      <c r="S6" s="148">
        <f t="shared" ref="S6:S7" si="1">+P6*Q6</f>
        <v>448704</v>
      </c>
    </row>
    <row r="7" spans="1:19" ht="13.5" customHeight="1" thickBot="1">
      <c r="A7" s="751" t="s">
        <v>390</v>
      </c>
      <c r="B7" s="214" t="s">
        <v>418</v>
      </c>
      <c r="C7" s="215">
        <v>13855</v>
      </c>
      <c r="D7" s="216"/>
      <c r="E7" s="217"/>
      <c r="F7" s="227">
        <v>4</v>
      </c>
      <c r="G7" s="228" t="s">
        <v>12</v>
      </c>
      <c r="H7" s="229" t="s">
        <v>400</v>
      </c>
      <c r="I7" s="754" t="s">
        <v>409</v>
      </c>
      <c r="J7" s="213" t="str">
        <f>+'1'!J7</f>
        <v>F 11,5 VP OW</v>
      </c>
      <c r="K7" s="237">
        <f>+C34</f>
        <v>37249</v>
      </c>
      <c r="L7" s="241"/>
      <c r="M7" s="116">
        <f>+K7+'1'!M7+L7</f>
        <v>72200</v>
      </c>
      <c r="S7" s="148">
        <f t="shared" si="1"/>
        <v>0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13">
        <f>+'1'!J8</f>
        <v>0</v>
      </c>
      <c r="K8" s="238"/>
      <c r="L8" s="238"/>
      <c r="M8" s="116">
        <f>+K8+'1'!M8+L8</f>
        <v>0</v>
      </c>
    </row>
    <row r="9" spans="1:19" ht="13.5" thickBot="1">
      <c r="A9" s="752"/>
      <c r="B9" s="214"/>
      <c r="C9" s="215"/>
      <c r="D9" s="216"/>
      <c r="E9" s="219"/>
      <c r="F9" s="227">
        <v>17</v>
      </c>
      <c r="G9" s="560" t="s">
        <v>12</v>
      </c>
      <c r="H9" s="232" t="s">
        <v>427</v>
      </c>
      <c r="I9" s="755"/>
      <c r="J9" s="213">
        <f>+'1'!J9</f>
        <v>0</v>
      </c>
      <c r="K9" s="238"/>
      <c r="L9" s="238"/>
      <c r="M9" s="116">
        <f>+K9+'1'!M9+L9</f>
        <v>0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420</v>
      </c>
      <c r="I10" s="755"/>
      <c r="J10" s="213">
        <f>+'1'!J10</f>
        <v>0</v>
      </c>
      <c r="K10" s="238"/>
      <c r="L10" s="238"/>
      <c r="M10" s="116">
        <f>+K10+'1'!M10+L10</f>
        <v>0</v>
      </c>
    </row>
    <row r="11" spans="1:19" ht="13.5" thickBot="1">
      <c r="A11" s="752"/>
      <c r="B11" s="214"/>
      <c r="C11" s="215"/>
      <c r="D11" s="216"/>
      <c r="E11" s="218"/>
      <c r="F11" s="227"/>
      <c r="G11" s="231"/>
      <c r="H11" s="232"/>
      <c r="I11" s="755"/>
      <c r="J11" s="213">
        <f>+'1'!J11</f>
        <v>0</v>
      </c>
      <c r="K11" s="238"/>
      <c r="L11" s="238"/>
      <c r="M11" s="116">
        <f>+K11+'1'!M11+L11</f>
        <v>0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>
        <f>+'1'!J12</f>
        <v>0</v>
      </c>
      <c r="K12" s="238"/>
      <c r="L12" s="238"/>
      <c r="M12" s="116">
        <f>+K12+'1'!M12+L12</f>
        <v>0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>
        <f>+'1'!J13</f>
        <v>0</v>
      </c>
      <c r="K13" s="238"/>
      <c r="L13" s="238"/>
      <c r="M13" s="116">
        <f>+K13+'1'!M13+L13</f>
        <v>0</v>
      </c>
      <c r="Q13" s="175">
        <f>SUM(Q6:Q12)</f>
        <v>480</v>
      </c>
      <c r="R13" s="175">
        <f>SUM(R6:R12)</f>
        <v>590400</v>
      </c>
      <c r="S13" s="175">
        <f>SUM(S6:S12)</f>
        <v>448704</v>
      </c>
    </row>
    <row r="14" spans="1:19" ht="13.5" thickBot="1">
      <c r="A14" s="753"/>
      <c r="B14" s="164" t="s">
        <v>2</v>
      </c>
      <c r="C14" s="98">
        <f>SUM(C7:C13)</f>
        <v>13855</v>
      </c>
      <c r="D14" s="110">
        <f>SUM(D7:D13)</f>
        <v>0</v>
      </c>
      <c r="E14" s="111">
        <f>SUM(E5:E13)</f>
        <v>0</v>
      </c>
      <c r="F14" s="115">
        <f>SUM(F7:F13)</f>
        <v>21</v>
      </c>
      <c r="G14" s="158"/>
      <c r="H14" s="165"/>
      <c r="I14" s="166"/>
      <c r="J14" s="213">
        <f>+'1'!J14</f>
        <v>0</v>
      </c>
      <c r="K14" s="238"/>
      <c r="L14" s="238"/>
      <c r="M14" s="116">
        <f>+K14+'1'!M14+L14</f>
        <v>0</v>
      </c>
      <c r="Q14" s="148">
        <f>480-Q13</f>
        <v>0</v>
      </c>
      <c r="R14" s="175">
        <f>+R13/Q13</f>
        <v>1230</v>
      </c>
      <c r="S14" s="175">
        <f>+S13/Q13</f>
        <v>934.8</v>
      </c>
    </row>
    <row r="15" spans="1:19" ht="13.5" customHeight="1" thickBot="1">
      <c r="A15" s="751" t="s">
        <v>391</v>
      </c>
      <c r="B15" s="164"/>
      <c r="C15" s="112">
        <f>C14/($C$23+$D$23+$E$23)</f>
        <v>1.1723641902183111</v>
      </c>
      <c r="D15" s="113">
        <f>D14/($C$23+$D$23+$E$23)</f>
        <v>0</v>
      </c>
      <c r="E15" s="114">
        <f>E14/($C$23+$D$23+$E$23)</f>
        <v>0</v>
      </c>
      <c r="F15" s="227"/>
      <c r="G15" s="228" t="s">
        <v>12</v>
      </c>
      <c r="H15" s="229" t="s">
        <v>385</v>
      </c>
      <c r="I15" s="754" t="s">
        <v>409</v>
      </c>
      <c r="J15" s="213">
        <f>+'1'!J15</f>
        <v>0</v>
      </c>
      <c r="K15" s="238"/>
      <c r="L15" s="238"/>
      <c r="M15" s="116">
        <f>+K15+'1'!M15+L15</f>
        <v>0</v>
      </c>
    </row>
    <row r="16" spans="1:19" ht="13.5" thickBot="1">
      <c r="A16" s="757"/>
      <c r="B16" s="214" t="s">
        <v>418</v>
      </c>
      <c r="C16" s="221">
        <v>11818</v>
      </c>
      <c r="D16" s="222"/>
      <c r="E16" s="223"/>
      <c r="F16" s="230">
        <v>9</v>
      </c>
      <c r="G16" s="560" t="s">
        <v>12</v>
      </c>
      <c r="H16" s="229" t="s">
        <v>428</v>
      </c>
      <c r="I16" s="755"/>
      <c r="J16" s="213">
        <f>+'1'!J16</f>
        <v>0</v>
      </c>
      <c r="K16" s="228"/>
      <c r="L16" s="228"/>
      <c r="M16" s="116">
        <f>+K16+'1'!M16+L16</f>
        <v>0</v>
      </c>
      <c r="N16" s="148" t="s">
        <v>408</v>
      </c>
      <c r="O16" s="148">
        <v>1230</v>
      </c>
      <c r="P16" s="148">
        <f>+O16-(O16*0.24)</f>
        <v>934.8</v>
      </c>
      <c r="Q16" s="148">
        <v>480</v>
      </c>
      <c r="R16" s="148">
        <f t="shared" ref="R16" si="2">+O16*Q16</f>
        <v>590400</v>
      </c>
      <c r="S16" s="148">
        <f t="shared" ref="S16:S17" si="3">+P16*Q16</f>
        <v>448704</v>
      </c>
    </row>
    <row r="17" spans="1:19" ht="13.5" thickBot="1">
      <c r="A17" s="757"/>
      <c r="B17" s="214"/>
      <c r="C17" s="215"/>
      <c r="D17" s="216"/>
      <c r="E17" s="224"/>
      <c r="F17" s="227">
        <v>10</v>
      </c>
      <c r="G17" s="560" t="s">
        <v>12</v>
      </c>
      <c r="H17" s="232" t="s">
        <v>427</v>
      </c>
      <c r="I17" s="755"/>
      <c r="J17" s="213">
        <f>+'1'!J17</f>
        <v>0</v>
      </c>
      <c r="K17" s="228"/>
      <c r="L17" s="228"/>
      <c r="M17" s="116">
        <f>+K17+'1'!M17+L17</f>
        <v>0</v>
      </c>
      <c r="S17" s="148">
        <f t="shared" si="3"/>
        <v>0</v>
      </c>
    </row>
    <row r="18" spans="1:19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421</v>
      </c>
      <c r="I18" s="755"/>
      <c r="J18" s="213">
        <f>+'1'!J18</f>
        <v>0</v>
      </c>
      <c r="K18" s="238"/>
      <c r="L18" s="238"/>
      <c r="M18" s="116">
        <f>+K18+'1'!M18+L18</f>
        <v>0</v>
      </c>
    </row>
    <row r="19" spans="1:19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>
        <f>+'1'!J19</f>
        <v>0</v>
      </c>
      <c r="K19" s="238"/>
      <c r="L19" s="238"/>
      <c r="M19" s="116">
        <f>+K19+'1'!M19+L19</f>
        <v>0</v>
      </c>
    </row>
    <row r="20" spans="1:1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+'1'!J20</f>
        <v>0</v>
      </c>
      <c r="K20" s="239"/>
      <c r="L20" s="239"/>
      <c r="M20" s="116">
        <f>+K20+'1'!M20+L20</f>
        <v>0</v>
      </c>
    </row>
    <row r="21" spans="1:1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+'1'!J21</f>
        <v>0</v>
      </c>
      <c r="K21" s="238"/>
      <c r="L21" s="238"/>
      <c r="M21" s="116">
        <f>+K21+'1'!M21+L21</f>
        <v>0</v>
      </c>
    </row>
    <row r="22" spans="1:1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+'1'!J22</f>
        <v>0</v>
      </c>
      <c r="K22" s="238"/>
      <c r="L22" s="238"/>
      <c r="M22" s="116">
        <f>+K22+'1'!M22+L22</f>
        <v>0</v>
      </c>
    </row>
    <row r="23" spans="1:19" ht="13.5" thickBot="1">
      <c r="A23" s="758"/>
      <c r="B23" s="167" t="s">
        <v>2</v>
      </c>
      <c r="C23" s="99">
        <f>SUM(C16:C22)</f>
        <v>11818</v>
      </c>
      <c r="D23" s="110">
        <f>SUM(D16:D22)</f>
        <v>0</v>
      </c>
      <c r="E23" s="111">
        <f>SUM(E18:E22)</f>
        <v>0</v>
      </c>
      <c r="F23" s="115">
        <f>SUM(F15:F22)</f>
        <v>19</v>
      </c>
      <c r="G23" s="158"/>
      <c r="H23" s="165"/>
      <c r="I23" s="168"/>
      <c r="J23" s="213">
        <f>+'1'!J23</f>
        <v>0</v>
      </c>
      <c r="K23" s="238"/>
      <c r="L23" s="238"/>
      <c r="M23" s="116">
        <f>+K23+'1'!M23+L23</f>
        <v>0</v>
      </c>
      <c r="Q23" s="175">
        <f>SUM(Q16:Q22)</f>
        <v>480</v>
      </c>
      <c r="R23" s="175">
        <f>SUM(R16:R22)</f>
        <v>590400</v>
      </c>
      <c r="S23" s="175">
        <f>SUM(S16:S22)</f>
        <v>448704</v>
      </c>
    </row>
    <row r="24" spans="1:19" ht="13.5" customHeight="1" thickBot="1">
      <c r="A24" s="751" t="s">
        <v>432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/>
      <c r="G24" s="228" t="s">
        <v>12</v>
      </c>
      <c r="H24" s="229" t="s">
        <v>385</v>
      </c>
      <c r="I24" s="754" t="s">
        <v>409</v>
      </c>
      <c r="J24" s="213">
        <f>+'1'!J24</f>
        <v>0</v>
      </c>
      <c r="K24" s="238"/>
      <c r="L24" s="238"/>
      <c r="M24" s="116">
        <f>+K24+'1'!M24+L24</f>
        <v>0</v>
      </c>
      <c r="Q24" s="148">
        <f>480-Q23</f>
        <v>0</v>
      </c>
      <c r="R24" s="175">
        <f>+R23/Q23</f>
        <v>1230</v>
      </c>
      <c r="S24" s="175">
        <f>+S23/Q23</f>
        <v>934.8</v>
      </c>
    </row>
    <row r="25" spans="1:19" ht="13.5" thickBot="1">
      <c r="A25" s="757"/>
      <c r="B25" s="214" t="s">
        <v>418</v>
      </c>
      <c r="C25" s="225">
        <v>11576</v>
      </c>
      <c r="D25" s="216">
        <v>700</v>
      </c>
      <c r="E25" s="224"/>
      <c r="F25" s="230">
        <v>10</v>
      </c>
      <c r="G25" s="560" t="s">
        <v>12</v>
      </c>
      <c r="H25" s="229" t="s">
        <v>387</v>
      </c>
      <c r="I25" s="755"/>
      <c r="J25" s="213">
        <f>+'1'!J25</f>
        <v>0</v>
      </c>
      <c r="K25" s="238"/>
      <c r="L25" s="238"/>
      <c r="M25" s="116">
        <f>+K25+'1'!M25+L25</f>
        <v>0</v>
      </c>
    </row>
    <row r="26" spans="1:19" ht="13.5" thickBot="1">
      <c r="A26" s="757"/>
      <c r="B26" s="214"/>
      <c r="C26" s="225"/>
      <c r="D26" s="216"/>
      <c r="E26" s="226"/>
      <c r="F26" s="227">
        <v>10</v>
      </c>
      <c r="G26" s="560" t="s">
        <v>12</v>
      </c>
      <c r="H26" s="232" t="s">
        <v>427</v>
      </c>
      <c r="I26" s="755"/>
      <c r="J26" s="213">
        <f>+'1'!J26</f>
        <v>0</v>
      </c>
      <c r="K26" s="238"/>
      <c r="L26" s="238"/>
      <c r="M26" s="116">
        <f>+K26+'1'!M26+L26</f>
        <v>0</v>
      </c>
      <c r="N26" s="148" t="s">
        <v>408</v>
      </c>
      <c r="O26" s="148">
        <v>1230</v>
      </c>
      <c r="P26" s="148">
        <f>+O26-(O26*0.24)</f>
        <v>934.8</v>
      </c>
      <c r="Q26" s="148">
        <v>480</v>
      </c>
      <c r="R26" s="148">
        <f t="shared" ref="R26" si="4">+O26*Q26</f>
        <v>590400</v>
      </c>
      <c r="S26" s="148">
        <f t="shared" ref="S26:S27" si="5">+P26*Q26</f>
        <v>448704</v>
      </c>
    </row>
    <row r="27" spans="1:19" ht="39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422</v>
      </c>
      <c r="I27" s="755"/>
      <c r="J27" s="213">
        <f>+'1'!J27</f>
        <v>0</v>
      </c>
      <c r="K27" s="238"/>
      <c r="L27" s="238"/>
      <c r="M27" s="116">
        <f>+K27+'1'!M27+L27</f>
        <v>0</v>
      </c>
      <c r="S27" s="148">
        <f t="shared" si="5"/>
        <v>0</v>
      </c>
    </row>
    <row r="28" spans="1:19" ht="39" thickBot="1">
      <c r="A28" s="757"/>
      <c r="B28" s="214"/>
      <c r="C28" s="215"/>
      <c r="D28" s="216"/>
      <c r="E28" s="224"/>
      <c r="F28" s="230"/>
      <c r="G28" s="231"/>
      <c r="H28" s="232" t="s">
        <v>423</v>
      </c>
      <c r="I28" s="755"/>
      <c r="J28" s="213">
        <f>+'1'!J28</f>
        <v>0</v>
      </c>
      <c r="K28" s="238"/>
      <c r="L28" s="238"/>
      <c r="M28" s="116">
        <f>+K28+'1'!M28+L28</f>
        <v>0</v>
      </c>
    </row>
    <row r="29" spans="1:1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+'1'!J29</f>
        <v>0</v>
      </c>
      <c r="K29" s="238"/>
      <c r="L29" s="238"/>
      <c r="M29" s="116">
        <f>+K29+'1'!M29+L29</f>
        <v>0</v>
      </c>
    </row>
    <row r="30" spans="1:1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+'1'!J30</f>
        <v>0</v>
      </c>
      <c r="K30" s="238"/>
      <c r="L30" s="238"/>
      <c r="M30" s="116">
        <f>+K30+'1'!M30+L30</f>
        <v>0</v>
      </c>
    </row>
    <row r="31" spans="1:1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13">
        <f>+'1'!J31</f>
        <v>0</v>
      </c>
      <c r="K31" s="238"/>
      <c r="L31" s="238"/>
      <c r="M31" s="116">
        <f>+K31+'1'!M31+L31</f>
        <v>0</v>
      </c>
    </row>
    <row r="32" spans="1:19" ht="13.5" thickBot="1">
      <c r="A32" s="758"/>
      <c r="B32" s="164" t="s">
        <v>2</v>
      </c>
      <c r="C32" s="98">
        <f>SUM(C25:C31)</f>
        <v>11576</v>
      </c>
      <c r="D32" s="99">
        <f>SUM(D25:D31)</f>
        <v>700</v>
      </c>
      <c r="E32" s="100">
        <f>SUM(E25:E31)</f>
        <v>0</v>
      </c>
      <c r="F32" s="101">
        <f>SUM(F24:F31)</f>
        <v>20</v>
      </c>
      <c r="G32" s="170"/>
      <c r="H32" s="171"/>
      <c r="I32" s="168"/>
      <c r="J32" s="213">
        <f>+'1'!J32</f>
        <v>0</v>
      </c>
      <c r="K32" s="240"/>
      <c r="L32" s="242"/>
      <c r="M32" s="116">
        <f>+K32+'1'!M32+L32</f>
        <v>0</v>
      </c>
    </row>
    <row r="33" spans="1:19" ht="13.5" thickBot="1">
      <c r="A33" s="172"/>
      <c r="B33" s="173"/>
      <c r="C33" s="102">
        <f>C32/($C$32+$D$32+$E$32)</f>
        <v>0.94297816878462037</v>
      </c>
      <c r="D33" s="103">
        <f>D32/($C$32+$D$32+$E$32)</f>
        <v>5.7021831215379605E-2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  <c r="Q33" s="175">
        <f>SUM(Q26:Q32)</f>
        <v>480</v>
      </c>
      <c r="R33" s="175">
        <f>SUM(R26:R32)</f>
        <v>590400</v>
      </c>
      <c r="S33" s="175">
        <f>SUM(S26:S32)</f>
        <v>448704</v>
      </c>
    </row>
    <row r="34" spans="1:19" ht="13.5" thickBot="1">
      <c r="A34" s="759" t="s">
        <v>57</v>
      </c>
      <c r="B34" s="760"/>
      <c r="C34" s="106">
        <f>C14+C23+C32</f>
        <v>37249</v>
      </c>
      <c r="D34" s="106">
        <f>D14+D23+D32</f>
        <v>700</v>
      </c>
      <c r="E34" s="106">
        <f>E14+E23+E32</f>
        <v>0</v>
      </c>
      <c r="F34" s="107">
        <f>F14+F23+F32</f>
        <v>60</v>
      </c>
      <c r="H34" s="177"/>
      <c r="I34" s="177"/>
      <c r="J34" s="122" t="s">
        <v>28</v>
      </c>
      <c r="K34" s="123">
        <f>SUM(K7:K32)</f>
        <v>37249</v>
      </c>
      <c r="L34" s="211">
        <f>SUM(L7:L32)</f>
        <v>0</v>
      </c>
      <c r="M34" s="119">
        <f>SUM(M7:M32)</f>
        <v>72200</v>
      </c>
      <c r="Q34" s="148">
        <f>480-Q33</f>
        <v>0</v>
      </c>
      <c r="R34" s="175">
        <f>+R33/Q33</f>
        <v>1230</v>
      </c>
      <c r="S34" s="175">
        <f>+S33/Q33</f>
        <v>934.8</v>
      </c>
    </row>
    <row r="35" spans="1:19" ht="13.5" thickBot="1">
      <c r="A35" s="178"/>
      <c r="B35" s="179"/>
      <c r="C35" s="103">
        <f>C34/($C$34+$D$34+$E$34)</f>
        <v>0.98155419115128195</v>
      </c>
      <c r="D35" s="103">
        <f>D34/($C$34+$D$34+$E$34)</f>
        <v>1.8445808848718017E-2</v>
      </c>
      <c r="E35" s="108">
        <f>E34/($C$34+$D$34+$E$34)</f>
        <v>0</v>
      </c>
      <c r="K35" s="154"/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(11.5*1440)/1440*G42*2.74*1440/1000000</f>
        <v>42.415989119999999</v>
      </c>
      <c r="J37" s="124">
        <f>+I37+'1'!J37</f>
        <v>84.372184320000002</v>
      </c>
      <c r="K37" s="125" t="s">
        <v>63</v>
      </c>
    </row>
    <row r="38" spans="1:19" ht="17.45" customHeight="1">
      <c r="A38" s="763" t="s">
        <v>12</v>
      </c>
      <c r="B38" s="764"/>
      <c r="C38" s="163">
        <f>SUMIF($G$7:$G$31,"Process",$F$7:$F$31)</f>
        <v>60</v>
      </c>
      <c r="D38" s="117">
        <f>+C38+'1'!D38</f>
        <v>142</v>
      </c>
      <c r="E38" s="142">
        <f t="shared" ref="E38:E51" si="6">D38/60</f>
        <v>2.3666666666666667</v>
      </c>
      <c r="F38" s="321">
        <v>1230</v>
      </c>
      <c r="G38" s="321">
        <v>934.8</v>
      </c>
      <c r="H38" s="186" t="s">
        <v>64</v>
      </c>
      <c r="I38" s="244">
        <f>13.031+12.451+12.861</f>
        <v>38.343000000000004</v>
      </c>
      <c r="J38" s="126">
        <f>+I38+'1'!J38</f>
        <v>75.263000000000005</v>
      </c>
      <c r="K38" s="127" t="s">
        <v>63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+C39+'1'!D39</f>
        <v>0</v>
      </c>
      <c r="E39" s="142">
        <f t="shared" si="6"/>
        <v>0</v>
      </c>
      <c r="F39" s="321">
        <v>1230</v>
      </c>
      <c r="G39" s="321">
        <v>934.8</v>
      </c>
      <c r="H39" s="186" t="s">
        <v>65</v>
      </c>
      <c r="I39" s="141"/>
      <c r="J39" s="128">
        <f>J37/G4</f>
        <v>42.186092160000001</v>
      </c>
      <c r="K39" s="129" t="s">
        <v>63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>+C40+'1'!D40</f>
        <v>0</v>
      </c>
      <c r="E40" s="142">
        <f t="shared" si="6"/>
        <v>0</v>
      </c>
      <c r="F40" s="321">
        <v>1230</v>
      </c>
      <c r="G40" s="321">
        <v>934.8</v>
      </c>
      <c r="H40" s="186" t="s">
        <v>67</v>
      </c>
      <c r="I40" s="117">
        <f>(K34+L34)/1000</f>
        <v>37.249000000000002</v>
      </c>
      <c r="J40" s="130">
        <f>+I40+'1'!J40</f>
        <v>72.2</v>
      </c>
      <c r="K40" s="129" t="s">
        <v>63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>+C41+'1'!D41</f>
        <v>0</v>
      </c>
      <c r="E41" s="142">
        <f t="shared" si="6"/>
        <v>0</v>
      </c>
      <c r="F41" s="321"/>
      <c r="G41" s="321"/>
      <c r="H41" s="186" t="s">
        <v>69</v>
      </c>
      <c r="I41" s="141"/>
      <c r="J41" s="128">
        <f>J40/G4</f>
        <v>36.1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>+C42+'1'!D42</f>
        <v>0</v>
      </c>
      <c r="E42" s="142">
        <f t="shared" si="6"/>
        <v>0</v>
      </c>
      <c r="F42" s="321">
        <f>+(480*F38+480*F39+480*F40)/1440</f>
        <v>1230</v>
      </c>
      <c r="G42" s="321">
        <f>+(480*G38+480*G39+480*G40)/1440</f>
        <v>934.8</v>
      </c>
      <c r="H42" s="186" t="s">
        <v>70</v>
      </c>
      <c r="I42" s="245" t="s">
        <v>409</v>
      </c>
      <c r="J42" s="131"/>
      <c r="K42" s="129" t="s">
        <v>71</v>
      </c>
    </row>
    <row r="43" spans="1:19" ht="17.45" customHeight="1">
      <c r="A43" s="765" t="s">
        <v>72</v>
      </c>
      <c r="B43" s="766"/>
      <c r="C43" s="163">
        <f>SUMIF($G$7:$G$31,"Water",$F$7:$F$31)</f>
        <v>0</v>
      </c>
      <c r="D43" s="117">
        <f>+C43+'1'!D43</f>
        <v>0</v>
      </c>
      <c r="E43" s="142">
        <f t="shared" si="6"/>
        <v>0</v>
      </c>
      <c r="F43" s="321"/>
      <c r="G43" s="322"/>
      <c r="H43" s="187" t="s">
        <v>73</v>
      </c>
      <c r="I43" s="117">
        <f>+Report1!Z10</f>
        <v>53.3</v>
      </c>
      <c r="J43" s="132">
        <f>+I43+'1'!J43</f>
        <v>107.5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+C44+'1'!D44</f>
        <v>0</v>
      </c>
      <c r="E44" s="142">
        <f t="shared" si="6"/>
        <v>0</v>
      </c>
      <c r="F44" s="321"/>
      <c r="G44" s="322"/>
      <c r="H44" s="187" t="s">
        <v>74</v>
      </c>
      <c r="I44" s="117">
        <f>I43/I38</f>
        <v>1.3900842396265287</v>
      </c>
      <c r="J44" s="133">
        <f>J43/J38</f>
        <v>1.42832467480701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>+C45+'1'!D45</f>
        <v>0</v>
      </c>
      <c r="E45" s="142">
        <f t="shared" si="6"/>
        <v>0</v>
      </c>
      <c r="F45" s="321"/>
      <c r="G45" s="324"/>
      <c r="H45" s="187" t="s">
        <v>75</v>
      </c>
      <c r="I45" s="117">
        <f>I43/I40</f>
        <v>1.4309108969368303</v>
      </c>
      <c r="J45" s="133">
        <f>J43/J40</f>
        <v>1.4889196675900276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>+C46+'1'!D46</f>
        <v>0</v>
      </c>
      <c r="E46" s="142">
        <f t="shared" si="6"/>
        <v>0</v>
      </c>
      <c r="F46" s="321"/>
      <c r="G46" s="322"/>
      <c r="H46" s="187" t="s">
        <v>77</v>
      </c>
      <c r="I46" s="139">
        <f>+SUMIF(Listrik!P9,"&gt;0")</f>
        <v>38770.420000000362</v>
      </c>
      <c r="J46" s="134">
        <f>+I46+'1'!J46</f>
        <v>75596.44000000073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>+C47+'1'!D47</f>
        <v>0</v>
      </c>
      <c r="E47" s="142">
        <f t="shared" si="6"/>
        <v>0</v>
      </c>
      <c r="F47" s="321"/>
      <c r="G47" s="322"/>
      <c r="H47" s="187" t="s">
        <v>80</v>
      </c>
      <c r="I47" s="117">
        <f>I46/I38</f>
        <v>1011.1472759043465</v>
      </c>
      <c r="J47" s="134">
        <f>J46/J38</f>
        <v>1004.4303309727319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>+C48+'1'!D48</f>
        <v>0</v>
      </c>
      <c r="E48" s="142">
        <f t="shared" si="6"/>
        <v>0</v>
      </c>
      <c r="F48" s="321"/>
      <c r="G48" s="322"/>
      <c r="H48" s="187" t="s">
        <v>81</v>
      </c>
      <c r="I48" s="117">
        <f>I46/I40</f>
        <v>1040.8445864318601</v>
      </c>
      <c r="J48" s="134">
        <f>J46/J40</f>
        <v>1047.042105263168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>+C49+'1'!D49</f>
        <v>0</v>
      </c>
      <c r="E49" s="142">
        <f t="shared" si="6"/>
        <v>0</v>
      </c>
      <c r="F49" s="184"/>
      <c r="H49" s="187" t="s">
        <v>269</v>
      </c>
      <c r="I49" s="117">
        <f>+Report1!T10</f>
        <v>5521.5771626071928</v>
      </c>
      <c r="J49" s="134">
        <f>+I49+'1'!J49</f>
        <v>10824.412237080647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>+C50+'1'!D50</f>
        <v>0</v>
      </c>
      <c r="E50" s="142">
        <f t="shared" si="6"/>
        <v>0</v>
      </c>
      <c r="F50" s="184"/>
      <c r="H50" s="187" t="s">
        <v>83</v>
      </c>
      <c r="I50" s="139">
        <v>0</v>
      </c>
      <c r="J50" s="132">
        <f>J49/J38</f>
        <v>143.82116361400219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+C51+'1'!D51</f>
        <v>0</v>
      </c>
      <c r="E51" s="142">
        <f t="shared" si="6"/>
        <v>0</v>
      </c>
      <c r="F51" s="184"/>
      <c r="H51" s="189" t="s">
        <v>85</v>
      </c>
      <c r="I51" s="140">
        <f>I49/I40</f>
        <v>148.23423884150426</v>
      </c>
      <c r="J51" s="135">
        <f>J49/J40</f>
        <v>149.9226071617818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60</v>
      </c>
      <c r="D52" s="143">
        <f>SUM(D38:D51)</f>
        <v>142</v>
      </c>
      <c r="E52" s="144">
        <f>SUM(E38:E51)</f>
        <v>2.3666666666666667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4.1666666666666664E-2</v>
      </c>
      <c r="D53" s="145">
        <f>D52/(24*60*G4)</f>
        <v>4.9305555555555554E-2</v>
      </c>
      <c r="E53" s="146">
        <f>E52/(G4*24)</f>
        <v>4.9305555555555554E-2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+D34+'1'!J56</f>
        <v>700</v>
      </c>
      <c r="K56" s="200">
        <f>J56/(J40+J56/1000)/1000</f>
        <v>9.6021947873799716E-3</v>
      </c>
    </row>
    <row r="57" spans="1:11">
      <c r="A57" s="175"/>
      <c r="I57" s="198" t="s">
        <v>88</v>
      </c>
      <c r="J57" s="199">
        <f>+E34+'1'!J57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F7" zoomScale="80" zoomScaleNormal="75" zoomScaleSheetLayoutView="80" workbookViewId="0">
      <selection activeCell="N27" sqref="N27:S35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3.570312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29</v>
      </c>
      <c r="G4" s="153">
        <v>1</v>
      </c>
      <c r="H4" s="153" t="s">
        <v>401</v>
      </c>
      <c r="J4" s="148">
        <f>628+618+448.9</f>
        <v>1694.9</v>
      </c>
    </row>
    <row r="5" spans="1:19" ht="13.5" thickBot="1">
      <c r="C5" s="154"/>
      <c r="D5" s="154"/>
    </row>
    <row r="6" spans="1:19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48" t="s">
        <v>408</v>
      </c>
      <c r="O6" s="148">
        <v>1150</v>
      </c>
      <c r="P6" s="148">
        <f>+O6-(O6*0.24)</f>
        <v>874</v>
      </c>
      <c r="Q6" s="148">
        <v>240</v>
      </c>
      <c r="R6" s="148">
        <f t="shared" ref="R6:R7" si="0">+O6*Q6</f>
        <v>276000</v>
      </c>
      <c r="S6" s="148">
        <f t="shared" ref="S6:S7" si="1">+P6*Q6</f>
        <v>209760</v>
      </c>
    </row>
    <row r="7" spans="1:19" ht="13.5" customHeight="1" thickBot="1">
      <c r="A7" s="751" t="s">
        <v>390</v>
      </c>
      <c r="B7" s="214" t="s">
        <v>418</v>
      </c>
      <c r="C7" s="215">
        <v>12106</v>
      </c>
      <c r="D7" s="216"/>
      <c r="E7" s="217"/>
      <c r="F7" s="227">
        <v>6</v>
      </c>
      <c r="G7" s="228" t="s">
        <v>12</v>
      </c>
      <c r="H7" s="229" t="s">
        <v>400</v>
      </c>
      <c r="I7" s="754" t="s">
        <v>410</v>
      </c>
      <c r="J7" s="248" t="s">
        <v>418</v>
      </c>
      <c r="K7" s="237">
        <f>+C34</f>
        <v>34951</v>
      </c>
      <c r="L7" s="241"/>
      <c r="M7" s="116">
        <f>+K7+L7</f>
        <v>34951</v>
      </c>
      <c r="O7" s="148">
        <v>1230</v>
      </c>
      <c r="P7" s="148">
        <f>+O7-(O7*0.24)</f>
        <v>934.8</v>
      </c>
      <c r="Q7" s="148">
        <v>240</v>
      </c>
      <c r="R7" s="148">
        <f t="shared" si="0"/>
        <v>295200</v>
      </c>
      <c r="S7" s="148">
        <f t="shared" si="1"/>
        <v>224352</v>
      </c>
    </row>
    <row r="8" spans="1:19" ht="13.5" thickBot="1">
      <c r="A8" s="752"/>
      <c r="B8" s="214"/>
      <c r="C8" s="215"/>
      <c r="D8" s="216"/>
      <c r="E8" s="218"/>
      <c r="F8" s="230"/>
      <c r="G8" s="560" t="s">
        <v>12</v>
      </c>
      <c r="H8" s="229" t="s">
        <v>412</v>
      </c>
      <c r="I8" s="755"/>
      <c r="J8" s="249"/>
      <c r="K8" s="510"/>
      <c r="L8" s="238"/>
      <c r="M8" s="116">
        <f t="shared" ref="M8:M32" si="2">+K8+L8</f>
        <v>0</v>
      </c>
    </row>
    <row r="9" spans="1:19" ht="13.5" thickBot="1">
      <c r="A9" s="752"/>
      <c r="B9" s="214"/>
      <c r="C9" s="215"/>
      <c r="D9" s="216"/>
      <c r="E9" s="219"/>
      <c r="F9" s="227">
        <v>18</v>
      </c>
      <c r="G9" s="560" t="s">
        <v>12</v>
      </c>
      <c r="H9" s="232" t="s">
        <v>386</v>
      </c>
      <c r="I9" s="755"/>
      <c r="J9" s="249"/>
      <c r="K9" s="238"/>
      <c r="L9" s="238"/>
      <c r="M9" s="116">
        <f t="shared" si="2"/>
        <v>0</v>
      </c>
    </row>
    <row r="10" spans="1:19" ht="26.25" thickBot="1">
      <c r="A10" s="752"/>
      <c r="B10" s="214"/>
      <c r="C10" s="215"/>
      <c r="D10" s="216"/>
      <c r="E10" s="218"/>
      <c r="F10" s="227"/>
      <c r="G10" s="236" t="s">
        <v>13</v>
      </c>
      <c r="H10" s="232" t="s">
        <v>406</v>
      </c>
      <c r="I10" s="755"/>
      <c r="J10" s="248"/>
      <c r="K10" s="238"/>
      <c r="L10" s="238"/>
      <c r="M10" s="116">
        <f t="shared" si="2"/>
        <v>0</v>
      </c>
    </row>
    <row r="11" spans="1:19" ht="26.25" thickBot="1">
      <c r="A11" s="752"/>
      <c r="B11" s="214"/>
      <c r="C11" s="215"/>
      <c r="D11" s="216"/>
      <c r="E11" s="218"/>
      <c r="F11" s="227"/>
      <c r="G11" s="231"/>
      <c r="H11" s="232" t="s">
        <v>407</v>
      </c>
      <c r="I11" s="755"/>
      <c r="J11" s="248"/>
      <c r="K11" s="238"/>
      <c r="L11" s="238"/>
      <c r="M11" s="116">
        <f t="shared" si="2"/>
        <v>0</v>
      </c>
    </row>
    <row r="12" spans="1:19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48"/>
      <c r="K12" s="238"/>
      <c r="L12" s="238"/>
      <c r="M12" s="116">
        <f t="shared" si="2"/>
        <v>0</v>
      </c>
    </row>
    <row r="13" spans="1:19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48"/>
      <c r="K13" s="238"/>
      <c r="L13" s="238"/>
      <c r="M13" s="116">
        <f t="shared" si="2"/>
        <v>0</v>
      </c>
      <c r="Q13" s="175">
        <f>SUM(Q6:Q12)</f>
        <v>480</v>
      </c>
      <c r="R13" s="175">
        <f>SUM(R6:R12)</f>
        <v>571200</v>
      </c>
      <c r="S13" s="175">
        <f>SUM(S6:S12)</f>
        <v>434112</v>
      </c>
    </row>
    <row r="14" spans="1:19" ht="13.5" thickBot="1">
      <c r="A14" s="753"/>
      <c r="B14" s="164" t="s">
        <v>2</v>
      </c>
      <c r="C14" s="98">
        <f>SUM(C7:C13)</f>
        <v>12106</v>
      </c>
      <c r="D14" s="110">
        <f>SUM(D7:D13)</f>
        <v>0</v>
      </c>
      <c r="E14" s="111">
        <f>SUM(E5:E13)</f>
        <v>0</v>
      </c>
      <c r="F14" s="115">
        <f>SUM(F7:F13)</f>
        <v>24</v>
      </c>
      <c r="G14" s="158"/>
      <c r="H14" s="165"/>
      <c r="I14" s="166"/>
      <c r="J14" s="248"/>
      <c r="K14" s="238"/>
      <c r="L14" s="238"/>
      <c r="M14" s="116">
        <f t="shared" si="2"/>
        <v>0</v>
      </c>
      <c r="Q14" s="148">
        <f>480-Q13</f>
        <v>0</v>
      </c>
      <c r="R14" s="175">
        <f>+R13/Q13</f>
        <v>1190</v>
      </c>
      <c r="S14" s="175">
        <f>+S13/Q13</f>
        <v>904.4</v>
      </c>
    </row>
    <row r="15" spans="1:19" ht="13.5" customHeight="1" thickBot="1">
      <c r="A15" s="751" t="s">
        <v>391</v>
      </c>
      <c r="B15" s="164"/>
      <c r="C15" s="112">
        <f>C14/($C$23+$D$23+$E$23)</f>
        <v>1.3366456884177984</v>
      </c>
      <c r="D15" s="113">
        <f>D14/($C$23+$D$23+$E$23)</f>
        <v>0</v>
      </c>
      <c r="E15" s="114">
        <f>E14/($C$23+$D$23+$E$23)</f>
        <v>0</v>
      </c>
      <c r="F15" s="227">
        <v>6</v>
      </c>
      <c r="G15" s="228" t="s">
        <v>12</v>
      </c>
      <c r="H15" s="229" t="s">
        <v>400</v>
      </c>
      <c r="I15" s="754" t="s">
        <v>409</v>
      </c>
      <c r="J15" s="248"/>
      <c r="K15" s="238"/>
      <c r="L15" s="238"/>
      <c r="M15" s="116">
        <f t="shared" si="2"/>
        <v>0</v>
      </c>
      <c r="Q15" s="175"/>
      <c r="R15" s="175"/>
    </row>
    <row r="16" spans="1:19" ht="13.5" thickBot="1">
      <c r="A16" s="757"/>
      <c r="B16" s="214" t="s">
        <v>418</v>
      </c>
      <c r="C16" s="221">
        <v>9057</v>
      </c>
      <c r="D16" s="222"/>
      <c r="E16" s="223"/>
      <c r="F16" s="230">
        <v>10</v>
      </c>
      <c r="G16" s="560" t="s">
        <v>12</v>
      </c>
      <c r="H16" s="229" t="s">
        <v>387</v>
      </c>
      <c r="I16" s="755"/>
      <c r="J16" s="248"/>
      <c r="K16" s="228"/>
      <c r="L16" s="228"/>
      <c r="M16" s="116">
        <f t="shared" si="2"/>
        <v>0</v>
      </c>
    </row>
    <row r="17" spans="1:19" ht="13.5" thickBot="1">
      <c r="A17" s="757"/>
      <c r="B17" s="214"/>
      <c r="C17" s="215"/>
      <c r="D17" s="216"/>
      <c r="E17" s="224"/>
      <c r="F17" s="227">
        <f>33-16</f>
        <v>17</v>
      </c>
      <c r="G17" s="560" t="s">
        <v>12</v>
      </c>
      <c r="H17" s="232" t="s">
        <v>413</v>
      </c>
      <c r="I17" s="755"/>
      <c r="J17" s="248"/>
      <c r="K17" s="228"/>
      <c r="L17" s="228"/>
      <c r="M17" s="116">
        <f t="shared" si="2"/>
        <v>0</v>
      </c>
      <c r="N17" s="148" t="s">
        <v>408</v>
      </c>
      <c r="O17" s="148">
        <v>1230</v>
      </c>
      <c r="P17" s="148">
        <f>+O17-(O17*0.24)</f>
        <v>934.8</v>
      </c>
      <c r="Q17" s="148">
        <v>480</v>
      </c>
      <c r="R17" s="148">
        <f t="shared" ref="R17" si="3">+O17*Q17</f>
        <v>590400</v>
      </c>
      <c r="S17" s="148">
        <f t="shared" ref="S17:S18" si="4">+P17*Q17</f>
        <v>448704</v>
      </c>
    </row>
    <row r="18" spans="1:19" ht="39" thickBot="1">
      <c r="A18" s="757"/>
      <c r="B18" s="214"/>
      <c r="C18" s="215"/>
      <c r="D18" s="216"/>
      <c r="E18" s="224"/>
      <c r="F18" s="227"/>
      <c r="G18" s="236" t="s">
        <v>13</v>
      </c>
      <c r="H18" s="232" t="s">
        <v>404</v>
      </c>
      <c r="I18" s="755"/>
      <c r="J18" s="248"/>
      <c r="K18" s="238"/>
      <c r="L18" s="238"/>
      <c r="M18" s="116">
        <f t="shared" si="2"/>
        <v>0</v>
      </c>
      <c r="S18" s="148">
        <f t="shared" si="4"/>
        <v>0</v>
      </c>
    </row>
    <row r="19" spans="1:19" ht="51.75" thickBot="1">
      <c r="A19" s="757"/>
      <c r="B19" s="214"/>
      <c r="C19" s="215"/>
      <c r="D19" s="216"/>
      <c r="E19" s="224"/>
      <c r="F19" s="234"/>
      <c r="G19" s="231"/>
      <c r="H19" s="232" t="s">
        <v>405</v>
      </c>
      <c r="I19" s="755"/>
      <c r="J19" s="248"/>
      <c r="K19" s="238"/>
      <c r="L19" s="238"/>
      <c r="M19" s="116">
        <f t="shared" si="2"/>
        <v>0</v>
      </c>
    </row>
    <row r="20" spans="1:19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48"/>
      <c r="K20" s="239"/>
      <c r="L20" s="239"/>
      <c r="M20" s="116">
        <f t="shared" si="2"/>
        <v>0</v>
      </c>
    </row>
    <row r="21" spans="1:19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48"/>
      <c r="K21" s="238"/>
      <c r="L21" s="238"/>
      <c r="M21" s="116">
        <f t="shared" si="2"/>
        <v>0</v>
      </c>
    </row>
    <row r="22" spans="1:19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48"/>
      <c r="K22" s="238"/>
      <c r="L22" s="238"/>
      <c r="M22" s="116">
        <f t="shared" si="2"/>
        <v>0</v>
      </c>
    </row>
    <row r="23" spans="1:19" ht="13.5" thickBot="1">
      <c r="A23" s="758"/>
      <c r="B23" s="167" t="s">
        <v>2</v>
      </c>
      <c r="C23" s="99">
        <f>SUM(C16:C22)</f>
        <v>9057</v>
      </c>
      <c r="D23" s="110">
        <f>SUM(D16:D22)</f>
        <v>0</v>
      </c>
      <c r="E23" s="111">
        <f>SUM(E18:E22)</f>
        <v>0</v>
      </c>
      <c r="F23" s="115">
        <f>SUM(F15:F22)</f>
        <v>33</v>
      </c>
      <c r="G23" s="158"/>
      <c r="H23" s="165"/>
      <c r="I23" s="168"/>
      <c r="J23" s="248"/>
      <c r="K23" s="238"/>
      <c r="L23" s="238"/>
      <c r="M23" s="116">
        <f t="shared" si="2"/>
        <v>0</v>
      </c>
    </row>
    <row r="24" spans="1:19" ht="13.5" customHeight="1" thickBot="1">
      <c r="A24" s="751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7">
        <v>4</v>
      </c>
      <c r="G24" s="228" t="s">
        <v>12</v>
      </c>
      <c r="H24" s="229" t="s">
        <v>400</v>
      </c>
      <c r="I24" s="754" t="s">
        <v>409</v>
      </c>
      <c r="J24" s="248"/>
      <c r="K24" s="238"/>
      <c r="L24" s="238"/>
      <c r="M24" s="116">
        <f t="shared" si="2"/>
        <v>0</v>
      </c>
      <c r="Q24" s="175">
        <f>SUM(Q17:Q23)</f>
        <v>480</v>
      </c>
      <c r="R24" s="175">
        <f>SUM(R17:R23)</f>
        <v>590400</v>
      </c>
      <c r="S24" s="175">
        <f>SUM(S17:S23)</f>
        <v>448704</v>
      </c>
    </row>
    <row r="25" spans="1:19" ht="13.5" thickBot="1">
      <c r="A25" s="757"/>
      <c r="B25" s="214" t="s">
        <v>418</v>
      </c>
      <c r="C25" s="225">
        <v>13788</v>
      </c>
      <c r="D25" s="216"/>
      <c r="E25" s="224"/>
      <c r="F25" s="230">
        <v>3</v>
      </c>
      <c r="G25" s="560" t="s">
        <v>12</v>
      </c>
      <c r="H25" s="229" t="s">
        <v>414</v>
      </c>
      <c r="I25" s="755"/>
      <c r="J25" s="248"/>
      <c r="K25" s="238"/>
      <c r="L25" s="238"/>
      <c r="M25" s="116">
        <f t="shared" si="2"/>
        <v>0</v>
      </c>
      <c r="Q25" s="148">
        <f>480-Q24</f>
        <v>0</v>
      </c>
      <c r="R25" s="175">
        <f>+R24/Q24</f>
        <v>1230</v>
      </c>
      <c r="S25" s="175">
        <f>+S24/Q24</f>
        <v>934.8</v>
      </c>
    </row>
    <row r="26" spans="1:19" ht="13.5" thickBot="1">
      <c r="A26" s="757"/>
      <c r="B26" s="214"/>
      <c r="C26" s="225"/>
      <c r="D26" s="216"/>
      <c r="E26" s="226"/>
      <c r="F26" s="227">
        <f>25-7</f>
        <v>18</v>
      </c>
      <c r="G26" s="560" t="s">
        <v>12</v>
      </c>
      <c r="H26" s="232" t="s">
        <v>386</v>
      </c>
      <c r="I26" s="755"/>
      <c r="J26" s="248"/>
      <c r="K26" s="238"/>
      <c r="L26" s="238"/>
      <c r="M26" s="116">
        <f t="shared" si="2"/>
        <v>0</v>
      </c>
    </row>
    <row r="27" spans="1:19" ht="26.25" thickBot="1">
      <c r="A27" s="757"/>
      <c r="B27" s="214"/>
      <c r="C27" s="215"/>
      <c r="D27" s="216"/>
      <c r="E27" s="224"/>
      <c r="F27" s="227"/>
      <c r="G27" s="236" t="s">
        <v>13</v>
      </c>
      <c r="H27" s="232" t="s">
        <v>402</v>
      </c>
      <c r="I27" s="755"/>
      <c r="J27" s="248"/>
      <c r="K27" s="238"/>
      <c r="L27" s="238"/>
      <c r="M27" s="116">
        <f t="shared" si="2"/>
        <v>0</v>
      </c>
      <c r="N27" s="148" t="s">
        <v>408</v>
      </c>
      <c r="O27" s="148">
        <v>1230</v>
      </c>
      <c r="P27" s="148">
        <f>+O27-(O27*0.24)</f>
        <v>934.8</v>
      </c>
      <c r="Q27" s="148">
        <v>480</v>
      </c>
      <c r="R27" s="148">
        <f t="shared" ref="R27" si="5">+O27*Q27</f>
        <v>590400</v>
      </c>
      <c r="S27" s="148">
        <f t="shared" ref="S27:S28" si="6">+P27*Q27</f>
        <v>448704</v>
      </c>
    </row>
    <row r="28" spans="1:19" ht="13.5" thickBot="1">
      <c r="A28" s="757"/>
      <c r="B28" s="214"/>
      <c r="C28" s="215"/>
      <c r="D28" s="216"/>
      <c r="E28" s="224"/>
      <c r="F28" s="230"/>
      <c r="G28" s="231"/>
      <c r="H28" s="232" t="s">
        <v>403</v>
      </c>
      <c r="I28" s="755"/>
      <c r="J28" s="248"/>
      <c r="K28" s="238"/>
      <c r="L28" s="238"/>
      <c r="M28" s="116">
        <f t="shared" si="2"/>
        <v>0</v>
      </c>
      <c r="S28" s="148">
        <f t="shared" si="6"/>
        <v>0</v>
      </c>
    </row>
    <row r="29" spans="1:19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48"/>
      <c r="K29" s="238"/>
      <c r="L29" s="238"/>
      <c r="M29" s="116">
        <f t="shared" si="2"/>
        <v>0</v>
      </c>
    </row>
    <row r="30" spans="1:19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48"/>
      <c r="K30" s="238"/>
      <c r="L30" s="238"/>
      <c r="M30" s="116">
        <f t="shared" si="2"/>
        <v>0</v>
      </c>
    </row>
    <row r="31" spans="1:19" ht="13.5" thickBot="1">
      <c r="A31" s="757"/>
      <c r="B31" s="214"/>
      <c r="C31" s="225"/>
      <c r="D31" s="216"/>
      <c r="E31" s="224"/>
      <c r="F31" s="235"/>
      <c r="G31" s="236"/>
      <c r="H31" s="444"/>
      <c r="I31" s="756"/>
      <c r="J31" s="248"/>
      <c r="K31" s="238"/>
      <c r="L31" s="238"/>
      <c r="M31" s="116">
        <f t="shared" si="2"/>
        <v>0</v>
      </c>
    </row>
    <row r="32" spans="1:19" ht="13.5" thickBot="1">
      <c r="A32" s="758"/>
      <c r="B32" s="164" t="s">
        <v>2</v>
      </c>
      <c r="C32" s="98">
        <f>SUM(C25:C31)</f>
        <v>13788</v>
      </c>
      <c r="D32" s="99">
        <f>SUM(D25:D31)</f>
        <v>0</v>
      </c>
      <c r="E32" s="100">
        <f>SUM(E25:E31)</f>
        <v>0</v>
      </c>
      <c r="F32" s="101">
        <f>SUM(F24:F31)</f>
        <v>25</v>
      </c>
      <c r="G32" s="170"/>
      <c r="H32" s="171"/>
      <c r="I32" s="168"/>
      <c r="J32" s="250"/>
      <c r="K32" s="240"/>
      <c r="L32" s="242"/>
      <c r="M32" s="116">
        <f t="shared" si="2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9" t="s">
        <v>57</v>
      </c>
      <c r="B34" s="760"/>
      <c r="C34" s="106">
        <f>C14+C23+C32</f>
        <v>34951</v>
      </c>
      <c r="D34" s="106">
        <f>D14+D23+D32</f>
        <v>0</v>
      </c>
      <c r="E34" s="106">
        <f>E14+E23+E32</f>
        <v>0</v>
      </c>
      <c r="F34" s="107">
        <f>F14+F23+F32</f>
        <v>82</v>
      </c>
      <c r="H34" s="177"/>
      <c r="I34" s="177"/>
      <c r="J34" s="122" t="s">
        <v>28</v>
      </c>
      <c r="K34" s="123">
        <f>SUM(K7:K32)</f>
        <v>34951</v>
      </c>
      <c r="L34" s="211">
        <f>SUM(L7:L32)</f>
        <v>0</v>
      </c>
      <c r="M34" s="119">
        <f>SUM(M7:M32)</f>
        <v>34951</v>
      </c>
      <c r="Q34" s="175">
        <f>SUM(Q27:Q33)</f>
        <v>480</v>
      </c>
      <c r="R34" s="175">
        <f>SUM(R27:R33)</f>
        <v>590400</v>
      </c>
      <c r="S34" s="175">
        <f>SUM(S27:S33)</f>
        <v>448704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48">
        <f>480-Q34</f>
        <v>0</v>
      </c>
      <c r="R35" s="175">
        <f>+R34/Q34</f>
        <v>1230</v>
      </c>
      <c r="S35" s="175">
        <f>+S34/Q34</f>
        <v>934.8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9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184"/>
      <c r="G37" s="154"/>
      <c r="H37" s="185" t="s">
        <v>62</v>
      </c>
      <c r="I37" s="243">
        <f>(11.5*1440)/1440*G42*2.74*1440/1000000</f>
        <v>41.956195199999996</v>
      </c>
      <c r="J37" s="124">
        <f>I37</f>
        <v>41.956195199999996</v>
      </c>
      <c r="K37" s="125" t="s">
        <v>63</v>
      </c>
    </row>
    <row r="38" spans="1:19" ht="17.45" customHeight="1">
      <c r="A38" s="763" t="s">
        <v>12</v>
      </c>
      <c r="B38" s="764"/>
      <c r="C38" s="163">
        <f>SUMIF($G$7:$G$31,"Process",$F$7:$F$31)</f>
        <v>82</v>
      </c>
      <c r="D38" s="117">
        <f>C38</f>
        <v>82</v>
      </c>
      <c r="E38" s="142">
        <f t="shared" ref="E38:E51" si="7">D38/60</f>
        <v>1.3666666666666667</v>
      </c>
      <c r="F38" s="184">
        <v>1190</v>
      </c>
      <c r="G38" s="184">
        <v>904.4</v>
      </c>
      <c r="H38" s="186" t="s">
        <v>64</v>
      </c>
      <c r="I38" s="244">
        <f>12.01+12.368+12.542</f>
        <v>36.92</v>
      </c>
      <c r="J38" s="126">
        <f>I38</f>
        <v>36.92</v>
      </c>
      <c r="K38" s="127" t="s">
        <v>63</v>
      </c>
    </row>
    <row r="39" spans="1:19" ht="17.45" customHeight="1">
      <c r="A39" s="765" t="s">
        <v>13</v>
      </c>
      <c r="B39" s="766"/>
      <c r="C39" s="163">
        <f>SUMIF($G$7:$G$31,"Cleaning",$F$7:$F$31)</f>
        <v>0</v>
      </c>
      <c r="D39" s="117">
        <f>C39</f>
        <v>0</v>
      </c>
      <c r="E39" s="142">
        <f t="shared" si="7"/>
        <v>0</v>
      </c>
      <c r="F39" s="184">
        <v>1230</v>
      </c>
      <c r="G39" s="184">
        <v>934.8</v>
      </c>
      <c r="H39" s="186" t="s">
        <v>65</v>
      </c>
      <c r="I39" s="141"/>
      <c r="J39" s="128">
        <f>J37/G4</f>
        <v>41.956195199999996</v>
      </c>
      <c r="K39" s="129" t="s">
        <v>63</v>
      </c>
    </row>
    <row r="40" spans="1:19" ht="17.45" customHeight="1">
      <c r="A40" s="765" t="s">
        <v>66</v>
      </c>
      <c r="B40" s="766"/>
      <c r="C40" s="163">
        <f>SUMIF($G$7:$G$31,"Mechanical",$F$7:$F$31)</f>
        <v>0</v>
      </c>
      <c r="D40" s="117">
        <f t="shared" ref="D40:D51" si="8">C40</f>
        <v>0</v>
      </c>
      <c r="E40" s="142">
        <f t="shared" si="7"/>
        <v>0</v>
      </c>
      <c r="F40" s="184">
        <v>1230</v>
      </c>
      <c r="G40" s="184">
        <v>934.8</v>
      </c>
      <c r="H40" s="186" t="s">
        <v>67</v>
      </c>
      <c r="I40" s="117">
        <f>(K34+L34)/1000</f>
        <v>34.951000000000001</v>
      </c>
      <c r="J40" s="130">
        <f>M34/1000</f>
        <v>34.951000000000001</v>
      </c>
      <c r="K40" s="129" t="s">
        <v>63</v>
      </c>
    </row>
    <row r="41" spans="1:19" ht="17.45" customHeight="1">
      <c r="A41" s="765" t="s">
        <v>68</v>
      </c>
      <c r="B41" s="766"/>
      <c r="C41" s="163">
        <f>SUMIF($G$7:$G$31,"Electrical",$F$7:$F$31)</f>
        <v>0</v>
      </c>
      <c r="D41" s="117">
        <f t="shared" si="8"/>
        <v>0</v>
      </c>
      <c r="E41" s="142">
        <f t="shared" si="7"/>
        <v>0</v>
      </c>
      <c r="F41" s="184"/>
      <c r="G41" s="184"/>
      <c r="H41" s="186" t="s">
        <v>69</v>
      </c>
      <c r="I41" s="141"/>
      <c r="J41" s="128">
        <f>J40/G4</f>
        <v>34.951000000000001</v>
      </c>
      <c r="K41" s="129" t="s">
        <v>63</v>
      </c>
    </row>
    <row r="42" spans="1:19" ht="17.45" customHeight="1">
      <c r="A42" s="765" t="s">
        <v>16</v>
      </c>
      <c r="B42" s="766"/>
      <c r="C42" s="163">
        <f>SUMIF($G$7:$G$31,"Instrument",$F$7:$F$31)</f>
        <v>0</v>
      </c>
      <c r="D42" s="117">
        <f t="shared" si="8"/>
        <v>0</v>
      </c>
      <c r="E42" s="142">
        <f t="shared" si="7"/>
        <v>0</v>
      </c>
      <c r="F42" s="321">
        <f>+(480*F38+480*F39+480*F40)/1440</f>
        <v>1216.6666666666667</v>
      </c>
      <c r="G42" s="321">
        <f>+(480*G38+480*G39+480*G40)/1440</f>
        <v>924.66666666666663</v>
      </c>
      <c r="H42" s="186" t="s">
        <v>70</v>
      </c>
      <c r="I42" s="245" t="s">
        <v>411</v>
      </c>
      <c r="J42" s="131"/>
      <c r="K42" s="129" t="s">
        <v>71</v>
      </c>
    </row>
    <row r="43" spans="1:19" ht="17.45" customHeight="1">
      <c r="A43" s="765" t="s">
        <v>221</v>
      </c>
      <c r="B43" s="766"/>
      <c r="C43" s="163">
        <f>SUMIF($G$7:$G$31,"Change Grade",$F$7:$F$31)</f>
        <v>0</v>
      </c>
      <c r="D43" s="117">
        <f t="shared" si="8"/>
        <v>0</v>
      </c>
      <c r="E43" s="142">
        <f t="shared" si="7"/>
        <v>0</v>
      </c>
      <c r="F43" s="184"/>
      <c r="H43" s="187" t="s">
        <v>73</v>
      </c>
      <c r="I43" s="117">
        <f>+Report1!Z9</f>
        <v>54.2</v>
      </c>
      <c r="J43" s="132">
        <f>I43</f>
        <v>54.2</v>
      </c>
      <c r="K43" s="129" t="s">
        <v>63</v>
      </c>
      <c r="L43" s="188"/>
    </row>
    <row r="44" spans="1:19" ht="17.45" customHeight="1">
      <c r="A44" s="765" t="s">
        <v>17</v>
      </c>
      <c r="B44" s="766"/>
      <c r="C44" s="163">
        <f>SUMIF($G$7:$G$31,"PLN",$F$7:$F$31)</f>
        <v>0</v>
      </c>
      <c r="D44" s="117">
        <f>C44</f>
        <v>0</v>
      </c>
      <c r="E44" s="142">
        <f t="shared" si="7"/>
        <v>0</v>
      </c>
      <c r="F44" s="184"/>
      <c r="H44" s="187" t="s">
        <v>74</v>
      </c>
      <c r="I44" s="117">
        <f>I43/I38</f>
        <v>1.4680390032502708</v>
      </c>
      <c r="J44" s="133">
        <f>J43/J38</f>
        <v>1.4680390032502708</v>
      </c>
      <c r="K44" s="129" t="s">
        <v>63</v>
      </c>
    </row>
    <row r="45" spans="1:19" ht="17.45" customHeight="1">
      <c r="A45" s="765" t="s">
        <v>18</v>
      </c>
      <c r="B45" s="766"/>
      <c r="C45" s="163">
        <f>SUMIF($G$7:$G$31,"Boiler",$F$7:$F$31)</f>
        <v>0</v>
      </c>
      <c r="D45" s="117">
        <f t="shared" si="8"/>
        <v>0</v>
      </c>
      <c r="E45" s="142">
        <f t="shared" si="7"/>
        <v>0</v>
      </c>
      <c r="F45" s="184"/>
      <c r="G45" s="175"/>
      <c r="H45" s="187" t="s">
        <v>75</v>
      </c>
      <c r="I45" s="117">
        <f>I43/I40</f>
        <v>1.5507424680266659</v>
      </c>
      <c r="J45" s="133">
        <f>J43/J40</f>
        <v>1.5507424680266659</v>
      </c>
      <c r="K45" s="129" t="s">
        <v>63</v>
      </c>
    </row>
    <row r="46" spans="1:19" ht="17.45" customHeight="1">
      <c r="A46" s="765" t="s">
        <v>76</v>
      </c>
      <c r="B46" s="766"/>
      <c r="C46" s="163">
        <f>SUMIF($G$7:$G$31,"Gas",$F$7:$F$31)</f>
        <v>0</v>
      </c>
      <c r="D46" s="117">
        <f t="shared" si="8"/>
        <v>0</v>
      </c>
      <c r="E46" s="142">
        <f t="shared" si="7"/>
        <v>0</v>
      </c>
      <c r="F46" s="184"/>
      <c r="H46" s="187" t="s">
        <v>77</v>
      </c>
      <c r="I46" s="139">
        <f>+SUMIF(Listrik!P8,"&gt;0")</f>
        <v>36826.020000000361</v>
      </c>
      <c r="J46" s="134">
        <f>I46</f>
        <v>36826.020000000361</v>
      </c>
      <c r="K46" s="129" t="s">
        <v>78</v>
      </c>
    </row>
    <row r="47" spans="1:19" ht="17.45" customHeight="1">
      <c r="A47" s="765" t="s">
        <v>79</v>
      </c>
      <c r="B47" s="766"/>
      <c r="C47" s="163">
        <f>SUMIF($G$7:$G$31,"Gas",$F$7:$F$31)</f>
        <v>0</v>
      </c>
      <c r="D47" s="117">
        <f t="shared" si="8"/>
        <v>0</v>
      </c>
      <c r="E47" s="142">
        <f t="shared" si="7"/>
        <v>0</v>
      </c>
      <c r="F47" s="184"/>
      <c r="H47" s="187" t="s">
        <v>80</v>
      </c>
      <c r="I47" s="117">
        <f>I46/I38</f>
        <v>997.45449620802708</v>
      </c>
      <c r="J47" s="134">
        <f>J46/J38</f>
        <v>997.45449620802708</v>
      </c>
      <c r="K47" s="129" t="s">
        <v>24</v>
      </c>
    </row>
    <row r="48" spans="1:19" ht="17.45" customHeight="1">
      <c r="A48" s="765" t="s">
        <v>14</v>
      </c>
      <c r="B48" s="766"/>
      <c r="C48" s="163">
        <f>SUMIF($G$7:$G$31,"Start Up",$F$7:$F$31)</f>
        <v>0</v>
      </c>
      <c r="D48" s="117">
        <f t="shared" si="8"/>
        <v>0</v>
      </c>
      <c r="E48" s="142">
        <f t="shared" si="7"/>
        <v>0</v>
      </c>
      <c r="F48" s="184"/>
      <c r="H48" s="187" t="s">
        <v>81</v>
      </c>
      <c r="I48" s="117">
        <f>I46/I40</f>
        <v>1053.6471059483379</v>
      </c>
      <c r="J48" s="134">
        <f>J46/J40</f>
        <v>1053.6471059483379</v>
      </c>
      <c r="K48" s="129" t="s">
        <v>24</v>
      </c>
    </row>
    <row r="49" spans="1:11" ht="17.45" customHeight="1">
      <c r="A49" s="765" t="s">
        <v>20</v>
      </c>
      <c r="B49" s="766"/>
      <c r="C49" s="163">
        <f>SUMIF($G$7:$G$31,"Others",$F$7:$F$31)</f>
        <v>0</v>
      </c>
      <c r="D49" s="117">
        <f t="shared" si="8"/>
        <v>0</v>
      </c>
      <c r="E49" s="142">
        <f t="shared" si="7"/>
        <v>0</v>
      </c>
      <c r="F49" s="184"/>
      <c r="H49" s="187" t="s">
        <v>269</v>
      </c>
      <c r="I49" s="117">
        <f>+Report1!T9</f>
        <v>5302.8350744734535</v>
      </c>
      <c r="J49" s="134">
        <f>I49</f>
        <v>5302.8350744734535</v>
      </c>
      <c r="K49" s="129" t="s">
        <v>82</v>
      </c>
    </row>
    <row r="50" spans="1:11" ht="17.45" customHeight="1">
      <c r="A50" s="765" t="s">
        <v>19</v>
      </c>
      <c r="B50" s="766"/>
      <c r="C50" s="163">
        <f>SUMIF($G$7:$G$31,"Steam",$F$7:$F$31)</f>
        <v>0</v>
      </c>
      <c r="D50" s="117">
        <f t="shared" si="8"/>
        <v>0</v>
      </c>
      <c r="E50" s="142">
        <f t="shared" si="7"/>
        <v>0</v>
      </c>
      <c r="F50" s="184"/>
      <c r="H50" s="187" t="s">
        <v>83</v>
      </c>
      <c r="I50" s="139">
        <f>I49/I38</f>
        <v>143.63041913525063</v>
      </c>
      <c r="J50" s="132">
        <f>J49/J38</f>
        <v>143.63041913525063</v>
      </c>
      <c r="K50" s="129" t="s">
        <v>82</v>
      </c>
    </row>
    <row r="51" spans="1:11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 t="shared" si="8"/>
        <v>0</v>
      </c>
      <c r="E51" s="142">
        <f t="shared" si="7"/>
        <v>0</v>
      </c>
      <c r="F51" s="184"/>
      <c r="H51" s="189" t="s">
        <v>85</v>
      </c>
      <c r="I51" s="140">
        <f>I49/I40</f>
        <v>151.72198433445263</v>
      </c>
      <c r="J51" s="135">
        <f>J49/J40</f>
        <v>151.72198433445263</v>
      </c>
      <c r="K51" s="136" t="s">
        <v>82</v>
      </c>
    </row>
    <row r="52" spans="1:11" ht="13.5" thickBot="1">
      <c r="A52" s="763" t="s">
        <v>28</v>
      </c>
      <c r="B52" s="764"/>
      <c r="C52" s="143">
        <f>SUM(C38:C51)</f>
        <v>82</v>
      </c>
      <c r="D52" s="143">
        <f>SUM(D38:D51)</f>
        <v>82</v>
      </c>
      <c r="E52" s="144">
        <f>SUM(E38:E51)</f>
        <v>1.3666666666666667</v>
      </c>
      <c r="F52" s="184"/>
      <c r="H52" s="190"/>
      <c r="I52" s="191"/>
      <c r="J52" s="137"/>
      <c r="K52" s="138"/>
    </row>
    <row r="53" spans="1:11" ht="13.5" thickBot="1">
      <c r="A53" s="769"/>
      <c r="B53" s="770"/>
      <c r="C53" s="145">
        <f>C52/(24*60)</f>
        <v>5.6944444444444443E-2</v>
      </c>
      <c r="D53" s="145">
        <f>D52/(24*60*G4)</f>
        <v>5.6944444444444443E-2</v>
      </c>
      <c r="E53" s="146">
        <f>E52/(G4*24)</f>
        <v>5.6944444444444443E-2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D34</f>
        <v>0</v>
      </c>
      <c r="K56" s="200">
        <f>J56/(J40+J56/1000)/1000</f>
        <v>0</v>
      </c>
    </row>
    <row r="57" spans="1:11">
      <c r="A57" s="175"/>
      <c r="I57" s="198" t="s">
        <v>88</v>
      </c>
      <c r="J57" s="199">
        <f>+E34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24:A32"/>
    <mergeCell ref="I24:I31"/>
    <mergeCell ref="A48:B48"/>
    <mergeCell ref="A49:B49"/>
    <mergeCell ref="A40:B40"/>
    <mergeCell ref="A41:B41"/>
    <mergeCell ref="A38:B38"/>
    <mergeCell ref="A39:B39"/>
    <mergeCell ref="A7:A14"/>
    <mergeCell ref="I7:I13"/>
    <mergeCell ref="A15:A23"/>
    <mergeCell ref="I15:I22"/>
    <mergeCell ref="A34:B34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2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opLeftCell="I1" zoomScale="80" zoomScaleNormal="80" workbookViewId="0">
      <selection activeCell="R12" sqref="R1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42578125" style="148" customWidth="1"/>
    <col min="14" max="15" width="9.140625" style="148"/>
    <col min="16" max="16" width="10.28515625" style="148" bestFit="1" customWidth="1"/>
    <col min="17" max="17" width="9.28515625" style="148" bestFit="1" customWidth="1"/>
    <col min="18" max="16384" width="9.140625" style="148"/>
  </cols>
  <sheetData>
    <row r="1" spans="1:23" ht="15.75">
      <c r="A1" s="147"/>
    </row>
    <row r="2" spans="1:23" ht="15.75">
      <c r="A2" s="147" t="s">
        <v>183</v>
      </c>
    </row>
    <row r="3" spans="1:23" ht="15">
      <c r="A3" s="149"/>
    </row>
    <row r="4" spans="1:23" ht="20.25">
      <c r="A4" s="150" t="s">
        <v>3</v>
      </c>
      <c r="B4" s="151"/>
      <c r="F4" s="152" t="s">
        <v>29</v>
      </c>
      <c r="G4" s="153">
        <v>31</v>
      </c>
      <c r="H4" s="153" t="str">
        <f>+'1'!H4</f>
        <v>.04.26</v>
      </c>
    </row>
    <row r="5" spans="1:23" ht="13.5" thickBot="1">
      <c r="C5" s="154"/>
      <c r="D5" s="154"/>
    </row>
    <row r="6" spans="1:23" ht="26.25" thickBot="1">
      <c r="A6" s="155" t="s">
        <v>47</v>
      </c>
      <c r="B6" s="156" t="s">
        <v>9</v>
      </c>
      <c r="C6" s="156" t="s">
        <v>48</v>
      </c>
      <c r="D6" s="156" t="s">
        <v>49</v>
      </c>
      <c r="E6" s="157" t="s">
        <v>50</v>
      </c>
      <c r="F6" s="101" t="s">
        <v>51</v>
      </c>
      <c r="G6" s="156" t="s">
        <v>52</v>
      </c>
      <c r="H6" s="158" t="s">
        <v>53</v>
      </c>
      <c r="I6" s="159" t="s">
        <v>54</v>
      </c>
      <c r="J6" s="160" t="s">
        <v>9</v>
      </c>
      <c r="K6" s="161" t="s">
        <v>55</v>
      </c>
      <c r="L6" s="209" t="s">
        <v>142</v>
      </c>
      <c r="M6" s="162" t="s">
        <v>56</v>
      </c>
      <c r="N6" s="180" t="s">
        <v>92</v>
      </c>
      <c r="O6" s="422" t="s">
        <v>190</v>
      </c>
      <c r="P6" s="422" t="s">
        <v>190</v>
      </c>
      <c r="Q6" s="422" t="s">
        <v>191</v>
      </c>
      <c r="R6" s="422" t="s">
        <v>192</v>
      </c>
      <c r="S6" s="422" t="s">
        <v>193</v>
      </c>
      <c r="T6" s="422" t="s">
        <v>188</v>
      </c>
      <c r="U6" s="423" t="s">
        <v>194</v>
      </c>
      <c r="V6" s="422" t="s">
        <v>195</v>
      </c>
      <c r="W6" s="422" t="s">
        <v>189</v>
      </c>
    </row>
    <row r="7" spans="1:23" ht="13.5" customHeight="1" thickBot="1">
      <c r="A7" s="751"/>
      <c r="B7" s="214"/>
      <c r="C7" s="215"/>
      <c r="D7" s="216"/>
      <c r="E7" s="217"/>
      <c r="F7" s="227"/>
      <c r="G7" s="228"/>
      <c r="H7" s="229"/>
      <c r="I7" s="754"/>
      <c r="J7" s="213" t="str">
        <f>+'30'!J7</f>
        <v>F 11,5 VP OW</v>
      </c>
      <c r="K7" s="237"/>
      <c r="L7" s="241"/>
      <c r="M7" s="116">
        <f>+L7+'30'!M7+K7</f>
        <v>168614</v>
      </c>
      <c r="N7" s="424">
        <v>14.5</v>
      </c>
      <c r="O7" s="198">
        <v>1200</v>
      </c>
      <c r="P7" s="198">
        <v>1120</v>
      </c>
      <c r="Q7" s="198">
        <v>896</v>
      </c>
      <c r="R7" s="425">
        <f>1-(Q7/P7)</f>
        <v>0.19999999999999996</v>
      </c>
      <c r="S7" s="426">
        <v>45</v>
      </c>
      <c r="T7" s="427">
        <v>256.5</v>
      </c>
      <c r="U7" s="428">
        <f>(O7*(1-R7)*N7*T7*S7)/100000000</f>
        <v>1.606716</v>
      </c>
      <c r="V7" s="429">
        <f>+C14/1000</f>
        <v>0</v>
      </c>
      <c r="W7" s="430">
        <f>SUM(V7:V9)/SUM(U7:U9)</f>
        <v>0</v>
      </c>
    </row>
    <row r="8" spans="1:23" ht="13.5" thickBot="1">
      <c r="A8" s="752"/>
      <c r="B8" s="214"/>
      <c r="C8" s="215"/>
      <c r="D8" s="216"/>
      <c r="E8" s="218"/>
      <c r="F8" s="230"/>
      <c r="G8" s="231"/>
      <c r="H8" s="229"/>
      <c r="I8" s="755"/>
      <c r="J8" s="213" t="str">
        <f>+'30'!J8</f>
        <v>F 14 VP OW</v>
      </c>
      <c r="K8" s="238"/>
      <c r="L8" s="238"/>
      <c r="M8" s="116">
        <f>+L8+'30'!M8+K8</f>
        <v>90331</v>
      </c>
      <c r="N8" s="424">
        <v>18</v>
      </c>
      <c r="O8" s="198">
        <v>1200</v>
      </c>
      <c r="P8" s="198">
        <v>930</v>
      </c>
      <c r="Q8" s="198">
        <v>744</v>
      </c>
      <c r="R8" s="425">
        <f>1-(Q8/P8)</f>
        <v>0.19999999999999996</v>
      </c>
      <c r="S8" s="426">
        <f>480-S7</f>
        <v>435</v>
      </c>
      <c r="T8" s="427">
        <v>256.5</v>
      </c>
      <c r="U8" s="428">
        <f>(O8*(1-R8)*N8*T8*S8)/100000000</f>
        <v>19.280591999999999</v>
      </c>
      <c r="V8" s="429"/>
      <c r="W8" s="431"/>
    </row>
    <row r="9" spans="1:23" ht="13.5" thickBot="1">
      <c r="A9" s="752"/>
      <c r="B9" s="214"/>
      <c r="C9" s="215"/>
      <c r="D9" s="216"/>
      <c r="E9" s="219"/>
      <c r="F9" s="227"/>
      <c r="G9" s="228"/>
      <c r="H9" s="232"/>
      <c r="I9" s="755"/>
      <c r="J9" s="213" t="str">
        <f>+'30'!J9</f>
        <v>F 13 VP OW</v>
      </c>
      <c r="K9" s="238"/>
      <c r="L9" s="238"/>
      <c r="M9" s="116">
        <f>+L9+'30'!M9+K9</f>
        <v>73071</v>
      </c>
      <c r="N9" s="432"/>
    </row>
    <row r="10" spans="1:23" ht="13.5" thickBot="1">
      <c r="A10" s="752"/>
      <c r="B10" s="214"/>
      <c r="C10" s="215"/>
      <c r="D10" s="216"/>
      <c r="E10" s="218"/>
      <c r="F10" s="227"/>
      <c r="G10" s="231"/>
      <c r="H10" s="232"/>
      <c r="I10" s="755"/>
      <c r="J10" s="213" t="str">
        <f>+'30'!J10</f>
        <v>F 12 VP OW</v>
      </c>
      <c r="K10" s="238"/>
      <c r="L10" s="238"/>
      <c r="M10" s="116">
        <f>+L10+'30'!M10+K10</f>
        <v>65665</v>
      </c>
      <c r="N10" s="432"/>
    </row>
    <row r="11" spans="1:23" ht="13.5" thickBot="1">
      <c r="A11" s="752"/>
      <c r="B11" s="214"/>
      <c r="C11" s="215"/>
      <c r="D11" s="216"/>
      <c r="E11" s="218"/>
      <c r="F11" s="227"/>
      <c r="G11" s="231"/>
      <c r="H11" s="232"/>
      <c r="I11" s="755"/>
      <c r="J11" s="213" t="str">
        <f>+'30'!J11</f>
        <v>F 16 VP OW</v>
      </c>
      <c r="K11" s="238"/>
      <c r="L11" s="238"/>
      <c r="M11" s="116">
        <f>+L11+'30'!M11+K11</f>
        <v>37034</v>
      </c>
      <c r="N11" s="432"/>
    </row>
    <row r="12" spans="1:23" ht="13.5" thickBot="1">
      <c r="A12" s="752"/>
      <c r="B12" s="214"/>
      <c r="C12" s="215"/>
      <c r="D12" s="216"/>
      <c r="E12" s="218"/>
      <c r="F12" s="227"/>
      <c r="G12" s="231"/>
      <c r="H12" s="232"/>
      <c r="I12" s="755"/>
      <c r="J12" s="213" t="str">
        <f>+'30'!J12</f>
        <v>F 15 VP OW</v>
      </c>
      <c r="K12" s="238"/>
      <c r="L12" s="238"/>
      <c r="M12" s="116">
        <f>+L12+'30'!M12+K12</f>
        <v>3202</v>
      </c>
      <c r="N12" s="432"/>
    </row>
    <row r="13" spans="1:23" ht="13.5" thickBot="1">
      <c r="A13" s="752"/>
      <c r="B13" s="214"/>
      <c r="C13" s="215"/>
      <c r="D13" s="215"/>
      <c r="E13" s="218"/>
      <c r="F13" s="227"/>
      <c r="G13" s="231"/>
      <c r="H13" s="232"/>
      <c r="I13" s="756"/>
      <c r="J13" s="213" t="str">
        <f>+'30'!J13</f>
        <v>T 14 VP OW</v>
      </c>
      <c r="K13" s="238"/>
      <c r="L13" s="238"/>
      <c r="M13" s="116">
        <f>+L13+'30'!M13+K13</f>
        <v>5600</v>
      </c>
      <c r="N13" s="433"/>
      <c r="O13" s="434"/>
      <c r="P13" s="434"/>
      <c r="Q13" s="434"/>
      <c r="R13" s="434"/>
      <c r="S13" s="434"/>
      <c r="T13" s="434"/>
      <c r="U13" s="434"/>
      <c r="V13" s="434"/>
      <c r="W13" s="434"/>
    </row>
    <row r="14" spans="1:23" ht="13.5" thickBot="1">
      <c r="A14" s="753"/>
      <c r="B14" s="164" t="s">
        <v>2</v>
      </c>
      <c r="C14" s="98">
        <f>SUM(C7:C13)</f>
        <v>0</v>
      </c>
      <c r="D14" s="110">
        <f>SUM(D7:D13)</f>
        <v>0</v>
      </c>
      <c r="E14" s="111">
        <f>SUM(E5:E13)</f>
        <v>0</v>
      </c>
      <c r="F14" s="115">
        <f>SUM(F7:F13)</f>
        <v>0</v>
      </c>
      <c r="G14" s="158"/>
      <c r="H14" s="165"/>
      <c r="I14" s="166"/>
      <c r="J14" s="213" t="str">
        <f>+'30'!J14</f>
        <v>T 13 VP OW</v>
      </c>
      <c r="K14" s="238"/>
      <c r="L14" s="238"/>
      <c r="M14" s="116">
        <f>+L14+'30'!M14+K14</f>
        <v>319384</v>
      </c>
    </row>
    <row r="15" spans="1:23" ht="13.5" customHeight="1" thickBot="1">
      <c r="A15" s="751"/>
      <c r="B15" s="164"/>
      <c r="C15" s="112" t="e">
        <f>C14/($C$23+$D$23+$E$23)</f>
        <v>#DIV/0!</v>
      </c>
      <c r="D15" s="113" t="e">
        <f>D14/($C$23+$D$23+$E$23)</f>
        <v>#DIV/0!</v>
      </c>
      <c r="E15" s="114" t="e">
        <f>E14/($C$23+$D$23+$E$23)</f>
        <v>#DIV/0!</v>
      </c>
      <c r="F15" s="227"/>
      <c r="G15" s="228"/>
      <c r="H15" s="229"/>
      <c r="I15" s="754"/>
      <c r="J15" s="213" t="str">
        <f>+'30'!J15</f>
        <v>T 12 VP OW</v>
      </c>
      <c r="K15" s="238"/>
      <c r="L15" s="238"/>
      <c r="M15" s="116">
        <f>+L15+'30'!M15+K15</f>
        <v>12729</v>
      </c>
      <c r="N15" s="424">
        <v>18</v>
      </c>
      <c r="O15" s="198">
        <v>1200</v>
      </c>
      <c r="P15" s="198">
        <v>850</v>
      </c>
      <c r="Q15" s="198">
        <v>680</v>
      </c>
      <c r="R15" s="425">
        <f>1-(Q15/P15)</f>
        <v>0.19999999999999996</v>
      </c>
      <c r="S15" s="426">
        <v>480</v>
      </c>
      <c r="T15" s="427">
        <v>256.5</v>
      </c>
      <c r="U15" s="428">
        <f>(O15*(1-R15)*N15*T15*S15)/100000000</f>
        <v>21.275136</v>
      </c>
      <c r="V15" s="429">
        <f>+C23/1000</f>
        <v>0</v>
      </c>
      <c r="W15" s="430">
        <f>SUM(V15:V17)/SUM(U15:U17)</f>
        <v>0</v>
      </c>
    </row>
    <row r="16" spans="1:23" ht="13.5" thickBot="1">
      <c r="A16" s="757"/>
      <c r="B16" s="214"/>
      <c r="C16" s="221"/>
      <c r="D16" s="222"/>
      <c r="E16" s="223"/>
      <c r="F16" s="227"/>
      <c r="G16" s="231"/>
      <c r="H16" s="229"/>
      <c r="I16" s="755"/>
      <c r="J16" s="213" t="str">
        <f>+'30'!J16</f>
        <v>T 12,5 VP OW</v>
      </c>
      <c r="K16" s="228"/>
      <c r="L16" s="228"/>
      <c r="M16" s="116">
        <f>+L16+'30'!M16+K16</f>
        <v>117795</v>
      </c>
      <c r="N16" s="435"/>
      <c r="O16" s="198"/>
      <c r="P16" s="198"/>
      <c r="Q16" s="436"/>
      <c r="R16" s="425"/>
      <c r="S16" s="198"/>
      <c r="T16" s="427"/>
      <c r="U16" s="428"/>
      <c r="V16" s="429"/>
      <c r="W16" s="431"/>
    </row>
    <row r="17" spans="1:23" ht="13.5" thickBot="1">
      <c r="A17" s="757"/>
      <c r="B17" s="214"/>
      <c r="C17" s="215"/>
      <c r="D17" s="216"/>
      <c r="E17" s="224"/>
      <c r="F17" s="227"/>
      <c r="G17" s="231"/>
      <c r="H17" s="232"/>
      <c r="I17" s="755"/>
      <c r="J17" s="213" t="str">
        <f>+'30'!J17</f>
        <v>T 13,5 VP OW</v>
      </c>
      <c r="K17" s="228"/>
      <c r="L17" s="228"/>
      <c r="M17" s="116">
        <f>+L17+'30'!M17+K17</f>
        <v>43528</v>
      </c>
      <c r="N17" s="432"/>
      <c r="O17" s="198"/>
      <c r="R17" s="425"/>
      <c r="T17" s="427"/>
      <c r="U17" s="428"/>
    </row>
    <row r="18" spans="1:23" ht="13.5" thickBot="1">
      <c r="A18" s="757"/>
      <c r="B18" s="214"/>
      <c r="C18" s="215"/>
      <c r="D18" s="216"/>
      <c r="E18" s="224"/>
      <c r="F18" s="227"/>
      <c r="G18" s="231"/>
      <c r="H18" s="232"/>
      <c r="I18" s="755"/>
      <c r="J18" s="213" t="str">
        <f>+'30'!J18</f>
        <v>F 14,5 VP OW</v>
      </c>
      <c r="K18" s="238"/>
      <c r="L18" s="238"/>
      <c r="M18" s="116">
        <f>+L18+'30'!M18+K18</f>
        <v>158908</v>
      </c>
      <c r="N18" s="432"/>
    </row>
    <row r="19" spans="1:23" ht="13.5" thickBot="1">
      <c r="A19" s="757"/>
      <c r="B19" s="214"/>
      <c r="C19" s="215"/>
      <c r="D19" s="216"/>
      <c r="E19" s="224"/>
      <c r="F19" s="234"/>
      <c r="G19" s="231"/>
      <c r="H19" s="232"/>
      <c r="I19" s="755"/>
      <c r="J19" s="213" t="str">
        <f>+'30'!J19</f>
        <v>T 15 VP OW</v>
      </c>
      <c r="K19" s="238"/>
      <c r="L19" s="238"/>
      <c r="M19" s="116">
        <f>+L19+'30'!M19+K19</f>
        <v>33635</v>
      </c>
      <c r="N19" s="432"/>
    </row>
    <row r="20" spans="1:23" ht="13.5" thickBot="1">
      <c r="A20" s="757"/>
      <c r="B20" s="214"/>
      <c r="C20" s="215"/>
      <c r="D20" s="216"/>
      <c r="E20" s="224"/>
      <c r="F20" s="227"/>
      <c r="G20" s="231"/>
      <c r="H20" s="232"/>
      <c r="I20" s="755"/>
      <c r="J20" s="213">
        <f>+'30'!J20</f>
        <v>0</v>
      </c>
      <c r="K20" s="239"/>
      <c r="L20" s="239"/>
      <c r="M20" s="116">
        <f>+L20+'30'!M20+K20</f>
        <v>0</v>
      </c>
      <c r="N20" s="432"/>
    </row>
    <row r="21" spans="1:23" ht="13.5" thickBot="1">
      <c r="A21" s="757"/>
      <c r="B21" s="214"/>
      <c r="C21" s="215"/>
      <c r="D21" s="216"/>
      <c r="E21" s="224"/>
      <c r="F21" s="230"/>
      <c r="G21" s="231"/>
      <c r="H21" s="232"/>
      <c r="I21" s="755"/>
      <c r="J21" s="213">
        <f>+'30'!J21</f>
        <v>0</v>
      </c>
      <c r="K21" s="238"/>
      <c r="L21" s="238"/>
      <c r="M21" s="116">
        <f>+L21+'30'!M21+K21</f>
        <v>0</v>
      </c>
      <c r="N21" s="433"/>
      <c r="O21" s="434"/>
      <c r="P21" s="434"/>
      <c r="Q21" s="434"/>
      <c r="R21" s="434"/>
      <c r="S21" s="434"/>
      <c r="T21" s="434"/>
      <c r="U21" s="434"/>
      <c r="V21" s="434"/>
      <c r="W21" s="434"/>
    </row>
    <row r="22" spans="1:23" ht="13.5" thickBot="1">
      <c r="A22" s="757"/>
      <c r="B22" s="214"/>
      <c r="C22" s="215"/>
      <c r="D22" s="216"/>
      <c r="E22" s="224"/>
      <c r="F22" s="235"/>
      <c r="G22" s="231"/>
      <c r="H22" s="232"/>
      <c r="I22" s="756"/>
      <c r="J22" s="213">
        <f>+'30'!J22</f>
        <v>0</v>
      </c>
      <c r="K22" s="238"/>
      <c r="L22" s="238"/>
      <c r="M22" s="116">
        <f>+L22+'30'!M22+K22</f>
        <v>0</v>
      </c>
    </row>
    <row r="23" spans="1:23" ht="13.5" thickBot="1">
      <c r="A23" s="758"/>
      <c r="B23" s="167" t="s">
        <v>2</v>
      </c>
      <c r="C23" s="99">
        <f>SUM(C16:C22)</f>
        <v>0</v>
      </c>
      <c r="D23" s="110">
        <f>SUM(D16:D22)</f>
        <v>0</v>
      </c>
      <c r="E23" s="111">
        <f>SUM(E18:E22)</f>
        <v>0</v>
      </c>
      <c r="F23" s="115">
        <f>SUM(F15:F22)</f>
        <v>0</v>
      </c>
      <c r="G23" s="158"/>
      <c r="H23" s="165"/>
      <c r="I23" s="168"/>
      <c r="J23" s="213">
        <f>+'30'!J23</f>
        <v>0</v>
      </c>
      <c r="K23" s="238"/>
      <c r="L23" s="238"/>
      <c r="M23" s="116">
        <f>+L23+'30'!M23+K23</f>
        <v>0</v>
      </c>
      <c r="N23" s="437"/>
      <c r="O23" s="438"/>
      <c r="P23" s="438"/>
      <c r="Q23" s="438"/>
      <c r="R23" s="438"/>
      <c r="S23" s="438"/>
      <c r="T23" s="438"/>
      <c r="U23" s="438"/>
      <c r="V23" s="438"/>
      <c r="W23" s="438"/>
    </row>
    <row r="24" spans="1:23" ht="13.5" customHeight="1" thickBot="1">
      <c r="A24" s="751"/>
      <c r="B24" s="169"/>
      <c r="C24" s="112" t="e">
        <f>C23/($C$23+$D$23+$E$23)</f>
        <v>#DIV/0!</v>
      </c>
      <c r="D24" s="113" t="e">
        <f>D23/($C$23+$D$23+$E$23)</f>
        <v>#DIV/0!</v>
      </c>
      <c r="E24" s="114" t="e">
        <f>E23/($C$23+$D$23+$E$23)</f>
        <v>#DIV/0!</v>
      </c>
      <c r="F24" s="235"/>
      <c r="G24" s="228"/>
      <c r="H24" s="229"/>
      <c r="I24" s="754"/>
      <c r="J24" s="213">
        <f>+'30'!J24</f>
        <v>0</v>
      </c>
      <c r="K24" s="238"/>
      <c r="L24" s="238"/>
      <c r="M24" s="116">
        <f>+L24+'30'!M24+K24</f>
        <v>0</v>
      </c>
      <c r="N24" s="424">
        <v>18</v>
      </c>
      <c r="O24" s="198">
        <v>1200</v>
      </c>
      <c r="P24" s="198">
        <v>770</v>
      </c>
      <c r="Q24" s="198">
        <v>616</v>
      </c>
      <c r="R24" s="425">
        <f>1-(Q24/P24)</f>
        <v>0.19999999999999996</v>
      </c>
      <c r="S24" s="426">
        <v>480</v>
      </c>
      <c r="T24" s="427">
        <v>256.5</v>
      </c>
      <c r="U24" s="428">
        <f>(O24*(1-R24)*N24*T24*S24)/100000000</f>
        <v>21.275136</v>
      </c>
      <c r="V24" s="429">
        <f>+C32/1000</f>
        <v>0</v>
      </c>
      <c r="W24" s="430">
        <f>SUM(V24:V25)/SUM(U24:U25)</f>
        <v>0</v>
      </c>
    </row>
    <row r="25" spans="1:23" ht="13.5" thickBot="1">
      <c r="A25" s="757"/>
      <c r="B25" s="214"/>
      <c r="C25" s="225"/>
      <c r="D25" s="216"/>
      <c r="E25" s="224"/>
      <c r="F25" s="230"/>
      <c r="G25" s="231"/>
      <c r="H25" s="229"/>
      <c r="I25" s="755"/>
      <c r="J25" s="213">
        <f>+'30'!J25</f>
        <v>0</v>
      </c>
      <c r="K25" s="238"/>
      <c r="L25" s="238"/>
      <c r="M25" s="116">
        <f>+L25+'30'!M25+K25</f>
        <v>0</v>
      </c>
      <c r="N25" s="424"/>
      <c r="O25" s="198"/>
      <c r="P25" s="198"/>
      <c r="Q25" s="198"/>
      <c r="R25" s="425"/>
      <c r="S25" s="426"/>
      <c r="T25" s="427"/>
      <c r="U25" s="428"/>
      <c r="V25" s="429"/>
      <c r="W25" s="430"/>
    </row>
    <row r="26" spans="1:23" ht="13.5" thickBot="1">
      <c r="A26" s="757"/>
      <c r="B26" s="214"/>
      <c r="C26" s="225"/>
      <c r="D26" s="216"/>
      <c r="E26" s="226"/>
      <c r="F26" s="230"/>
      <c r="G26" s="228"/>
      <c r="H26" s="232"/>
      <c r="I26" s="755"/>
      <c r="J26" s="213">
        <f>+'30'!J26</f>
        <v>0</v>
      </c>
      <c r="K26" s="238"/>
      <c r="L26" s="238"/>
      <c r="M26" s="116">
        <f>+L26+'30'!M26+K26</f>
        <v>0</v>
      </c>
    </row>
    <row r="27" spans="1:23" ht="13.5" thickBot="1">
      <c r="A27" s="757"/>
      <c r="B27" s="214"/>
      <c r="C27" s="215"/>
      <c r="D27" s="216"/>
      <c r="E27" s="224"/>
      <c r="F27" s="230"/>
      <c r="G27" s="236"/>
      <c r="H27" s="232"/>
      <c r="I27" s="755"/>
      <c r="J27" s="213">
        <f>+'30'!J27</f>
        <v>0</v>
      </c>
      <c r="K27" s="238"/>
      <c r="L27" s="238"/>
      <c r="M27" s="116">
        <f>+L27+'30'!M27+K27</f>
        <v>0</v>
      </c>
    </row>
    <row r="28" spans="1:23" ht="13.5" thickBot="1">
      <c r="A28" s="757"/>
      <c r="B28" s="214"/>
      <c r="C28" s="215"/>
      <c r="D28" s="216"/>
      <c r="E28" s="224"/>
      <c r="F28" s="230"/>
      <c r="G28" s="231"/>
      <c r="H28" s="232"/>
      <c r="I28" s="755"/>
      <c r="J28" s="213">
        <f>+'30'!J28</f>
        <v>0</v>
      </c>
      <c r="K28" s="238"/>
      <c r="L28" s="238"/>
      <c r="M28" s="116">
        <f>+L28+'30'!M28+K28</f>
        <v>0</v>
      </c>
    </row>
    <row r="29" spans="1:23" ht="13.5" thickBot="1">
      <c r="A29" s="757"/>
      <c r="B29" s="214"/>
      <c r="C29" s="215"/>
      <c r="D29" s="216"/>
      <c r="E29" s="224"/>
      <c r="F29" s="235"/>
      <c r="G29" s="231"/>
      <c r="H29" s="232"/>
      <c r="I29" s="755"/>
      <c r="J29" s="213">
        <f>+'30'!J29</f>
        <v>0</v>
      </c>
      <c r="K29" s="238"/>
      <c r="L29" s="238"/>
      <c r="M29" s="116">
        <f>+L29+'30'!M29+K29</f>
        <v>0</v>
      </c>
    </row>
    <row r="30" spans="1:23" ht="13.5" thickBot="1">
      <c r="A30" s="757"/>
      <c r="B30" s="214"/>
      <c r="C30" s="225"/>
      <c r="D30" s="216"/>
      <c r="E30" s="224"/>
      <c r="F30" s="235"/>
      <c r="G30" s="231"/>
      <c r="H30" s="232"/>
      <c r="I30" s="755"/>
      <c r="J30" s="213">
        <f>+'30'!J30</f>
        <v>0</v>
      </c>
      <c r="K30" s="238"/>
      <c r="L30" s="238"/>
      <c r="M30" s="116">
        <f>+L30+'30'!M30+K30</f>
        <v>0</v>
      </c>
      <c r="N30" s="154"/>
    </row>
    <row r="31" spans="1:23" ht="13.5" thickBot="1">
      <c r="A31" s="757"/>
      <c r="B31" s="214"/>
      <c r="C31" s="225"/>
      <c r="D31" s="216"/>
      <c r="E31" s="224"/>
      <c r="F31" s="235"/>
      <c r="G31" s="236"/>
      <c r="H31" s="233"/>
      <c r="I31" s="756"/>
      <c r="J31" s="213">
        <f>+'30'!J31</f>
        <v>0</v>
      </c>
      <c r="K31" s="238"/>
      <c r="L31" s="238"/>
      <c r="M31" s="116">
        <f>+L31+'30'!M31+K31</f>
        <v>0</v>
      </c>
    </row>
    <row r="32" spans="1:23" ht="13.5" thickBot="1">
      <c r="A32" s="758"/>
      <c r="B32" s="164" t="s">
        <v>2</v>
      </c>
      <c r="C32" s="98">
        <f>SUM(C25:C31)</f>
        <v>0</v>
      </c>
      <c r="D32" s="99">
        <f>SUM(D25:D31)</f>
        <v>0</v>
      </c>
      <c r="E32" s="100">
        <f>SUM(E25:E31)</f>
        <v>0</v>
      </c>
      <c r="F32" s="101">
        <f>SUM(F24:F31)</f>
        <v>0</v>
      </c>
      <c r="G32" s="170"/>
      <c r="H32" s="171"/>
      <c r="I32" s="168"/>
      <c r="J32" s="213">
        <f>+'30'!J32</f>
        <v>0</v>
      </c>
      <c r="K32" s="240"/>
      <c r="L32" s="242"/>
      <c r="M32" s="116">
        <f>+L32+'30'!M32+K32</f>
        <v>0</v>
      </c>
    </row>
    <row r="33" spans="1:14" ht="13.5" thickBot="1">
      <c r="A33" s="172"/>
      <c r="B33" s="173"/>
      <c r="C33" s="102" t="e">
        <f>C32/($C$32+$D$32+$E$32)</f>
        <v>#DIV/0!</v>
      </c>
      <c r="D33" s="103" t="e">
        <f>D32/($C$32+$D$32+$E$32)</f>
        <v>#DIV/0!</v>
      </c>
      <c r="E33" s="104" t="e">
        <f>E32/($C$32+$D$32+$E$32)</f>
        <v>#DIV/0!</v>
      </c>
      <c r="F33" s="105"/>
      <c r="G33" s="174"/>
      <c r="H33" s="175"/>
      <c r="I33" s="176"/>
      <c r="J33" s="120"/>
      <c r="K33" s="121"/>
      <c r="L33" s="212"/>
      <c r="M33" s="118"/>
    </row>
    <row r="34" spans="1:14" ht="13.5" thickBot="1">
      <c r="A34" s="759" t="s">
        <v>57</v>
      </c>
      <c r="B34" s="760"/>
      <c r="C34" s="106">
        <f>C14+C23+C32</f>
        <v>0</v>
      </c>
      <c r="D34" s="106">
        <f>D14+D23+D32</f>
        <v>0</v>
      </c>
      <c r="E34" s="106">
        <f>E14+E23+E32</f>
        <v>0</v>
      </c>
      <c r="F34" s="107">
        <f>F14+F23+F32</f>
        <v>0</v>
      </c>
      <c r="H34" s="177"/>
      <c r="I34" s="177"/>
      <c r="J34" s="122" t="s">
        <v>28</v>
      </c>
      <c r="K34" s="123">
        <f>SUM(K7:K32)</f>
        <v>0</v>
      </c>
      <c r="L34" s="211">
        <f>SUM(L7:L32)</f>
        <v>0</v>
      </c>
      <c r="M34" s="119">
        <f>SUM(M7:M32)</f>
        <v>1129496</v>
      </c>
      <c r="N34" s="154"/>
    </row>
    <row r="35" spans="1:14" ht="13.5" thickBot="1">
      <c r="A35" s="178"/>
      <c r="B35" s="179"/>
      <c r="C35" s="103" t="e">
        <f>C34/($C$34+$D$34+$E$34)</f>
        <v>#DIV/0!</v>
      </c>
      <c r="D35" s="103" t="e">
        <f>D34/($C$34+$D$34+$E$34)</f>
        <v>#DIV/0!</v>
      </c>
      <c r="E35" s="108" t="e">
        <f>E34/($C$34+$D$34+$E$34)</f>
        <v>#DIV/0!</v>
      </c>
      <c r="K35" s="154"/>
    </row>
    <row r="36" spans="1:14" ht="13.5" thickBot="1">
      <c r="A36" s="177"/>
      <c r="B36" s="177"/>
      <c r="C36" s="154"/>
      <c r="D36" s="154"/>
      <c r="E36" s="154"/>
      <c r="G36" s="154"/>
      <c r="H36" s="180"/>
      <c r="I36" s="161" t="s">
        <v>37</v>
      </c>
      <c r="J36" s="161" t="s">
        <v>38</v>
      </c>
      <c r="K36" s="181"/>
    </row>
    <row r="37" spans="1:14" ht="17.45" customHeight="1" thickBot="1">
      <c r="A37" s="761" t="s">
        <v>58</v>
      </c>
      <c r="B37" s="762"/>
      <c r="C37" s="161" t="s">
        <v>59</v>
      </c>
      <c r="D37" s="182" t="s">
        <v>60</v>
      </c>
      <c r="E37" s="183" t="s">
        <v>61</v>
      </c>
      <c r="F37" s="321"/>
      <c r="G37" s="323"/>
      <c r="H37" s="185" t="s">
        <v>62</v>
      </c>
      <c r="I37" s="243">
        <f>(15*453+18*987)/1440*G42*2.74*1440/1000000</f>
        <v>0</v>
      </c>
      <c r="J37" s="124">
        <f>+I37+'30'!J37</f>
        <v>1308.0591941548473</v>
      </c>
      <c r="K37" s="125" t="s">
        <v>63</v>
      </c>
    </row>
    <row r="38" spans="1:14" ht="17.45" customHeight="1">
      <c r="A38" s="763" t="s">
        <v>12</v>
      </c>
      <c r="B38" s="764"/>
      <c r="C38" s="163">
        <f>SUMIF($G$7:$G$31,"Process",$F$7:$F$31)</f>
        <v>0</v>
      </c>
      <c r="D38" s="117">
        <f>+C38+'30'!D38</f>
        <v>1874</v>
      </c>
      <c r="E38" s="142">
        <f t="shared" ref="E38:E51" si="0">D38/60</f>
        <v>31.233333333333334</v>
      </c>
      <c r="F38" s="321"/>
      <c r="G38" s="321"/>
      <c r="H38" s="186" t="s">
        <v>64</v>
      </c>
      <c r="I38" s="244"/>
      <c r="J38" s="126">
        <f>+I38+'30'!J38</f>
        <v>1169.921</v>
      </c>
      <c r="K38" s="127" t="s">
        <v>63</v>
      </c>
    </row>
    <row r="39" spans="1:14" ht="17.45" customHeight="1">
      <c r="A39" s="765" t="s">
        <v>13</v>
      </c>
      <c r="B39" s="766"/>
      <c r="C39" s="163">
        <f>SUMIF($G$7:$G$31,"Cleaning",$F$7:$F$31)</f>
        <v>0</v>
      </c>
      <c r="D39" s="117">
        <f>+C39+'30'!D39</f>
        <v>33</v>
      </c>
      <c r="E39" s="142">
        <f t="shared" si="0"/>
        <v>0.55000000000000004</v>
      </c>
      <c r="F39" s="321"/>
      <c r="G39" s="321"/>
      <c r="H39" s="186" t="s">
        <v>65</v>
      </c>
      <c r="I39" s="141"/>
      <c r="J39" s="128">
        <f>J37/G4</f>
        <v>42.195457875962816</v>
      </c>
      <c r="K39" s="129" t="s">
        <v>63</v>
      </c>
    </row>
    <row r="40" spans="1:14" ht="17.45" customHeight="1">
      <c r="A40" s="765" t="s">
        <v>66</v>
      </c>
      <c r="B40" s="766"/>
      <c r="C40" s="163">
        <f>SUMIF($G$7:$G$31,"Mechanical",$F$7:$F$31)</f>
        <v>0</v>
      </c>
      <c r="D40" s="117">
        <f>+C40+'30'!D40</f>
        <v>206</v>
      </c>
      <c r="E40" s="142">
        <f t="shared" si="0"/>
        <v>3.4333333333333331</v>
      </c>
      <c r="F40" s="321"/>
      <c r="G40" s="321"/>
      <c r="H40" s="186" t="s">
        <v>67</v>
      </c>
      <c r="I40" s="117">
        <f>(K34+L34)/1000</f>
        <v>0</v>
      </c>
      <c r="J40" s="130">
        <f>+I40+'30'!J40</f>
        <v>1129.4960000000003</v>
      </c>
      <c r="K40" s="129" t="s">
        <v>63</v>
      </c>
    </row>
    <row r="41" spans="1:14" ht="17.45" customHeight="1">
      <c r="A41" s="765" t="s">
        <v>68</v>
      </c>
      <c r="B41" s="766"/>
      <c r="C41" s="163">
        <f>SUMIF($G$7:$G$31,"Electrical",$F$7:$F$31)</f>
        <v>0</v>
      </c>
      <c r="D41" s="117">
        <f>+C41+'30'!D41</f>
        <v>0</v>
      </c>
      <c r="E41" s="142">
        <f t="shared" si="0"/>
        <v>0</v>
      </c>
      <c r="F41" s="321"/>
      <c r="G41" s="321"/>
      <c r="H41" s="186" t="s">
        <v>69</v>
      </c>
      <c r="I41" s="141"/>
      <c r="J41" s="128">
        <f>J40/G4</f>
        <v>36.435354838709685</v>
      </c>
      <c r="K41" s="129" t="s">
        <v>63</v>
      </c>
    </row>
    <row r="42" spans="1:14" ht="17.45" customHeight="1">
      <c r="A42" s="765" t="s">
        <v>16</v>
      </c>
      <c r="B42" s="766"/>
      <c r="C42" s="163">
        <f>SUMIF($G$7:$G$31,"Instrument",$F$7:$F$31)</f>
        <v>0</v>
      </c>
      <c r="D42" s="117">
        <f>+C42+'30'!D42</f>
        <v>0</v>
      </c>
      <c r="E42" s="142">
        <f t="shared" si="0"/>
        <v>0</v>
      </c>
      <c r="F42" s="321"/>
      <c r="G42" s="321">
        <f>+(G38*480+G39*480+G40*480)/1440</f>
        <v>0</v>
      </c>
      <c r="H42" s="186" t="s">
        <v>70</v>
      </c>
      <c r="I42" s="245"/>
      <c r="J42" s="131"/>
      <c r="K42" s="129" t="s">
        <v>71</v>
      </c>
    </row>
    <row r="43" spans="1:14" ht="17.45" customHeight="1">
      <c r="A43" s="765" t="s">
        <v>72</v>
      </c>
      <c r="B43" s="766"/>
      <c r="C43" s="163">
        <f>SUMIF($G$7:$G$31,"Water",$F$7:$F$31)</f>
        <v>0</v>
      </c>
      <c r="D43" s="117">
        <f>+C43+'30'!D43</f>
        <v>0</v>
      </c>
      <c r="E43" s="142">
        <f t="shared" si="0"/>
        <v>0</v>
      </c>
      <c r="F43" s="321"/>
      <c r="G43" s="322"/>
      <c r="H43" s="187" t="s">
        <v>73</v>
      </c>
      <c r="I43" s="117">
        <f>+Report1!Z39</f>
        <v>0</v>
      </c>
      <c r="J43" s="132">
        <f>+I43+'30'!J43</f>
        <v>1615.5999999999997</v>
      </c>
      <c r="K43" s="129" t="s">
        <v>63</v>
      </c>
      <c r="L43" s="188"/>
    </row>
    <row r="44" spans="1:14" ht="17.45" customHeight="1">
      <c r="A44" s="765" t="s">
        <v>17</v>
      </c>
      <c r="B44" s="766"/>
      <c r="C44" s="163">
        <f>SUMIF($G$7:$G$31,"PLN",$F$7:$F$31)</f>
        <v>0</v>
      </c>
      <c r="D44" s="117">
        <f>+C44+'30'!D44</f>
        <v>438</v>
      </c>
      <c r="E44" s="142">
        <f t="shared" si="0"/>
        <v>7.3</v>
      </c>
      <c r="F44" s="321"/>
      <c r="G44" s="322"/>
      <c r="H44" s="187" t="s">
        <v>74</v>
      </c>
      <c r="I44" s="117" t="e">
        <f>I43/I38</f>
        <v>#DIV/0!</v>
      </c>
      <c r="J44" s="133">
        <f>J43/J38</f>
        <v>1.3809479443483788</v>
      </c>
      <c r="K44" s="129" t="s">
        <v>63</v>
      </c>
    </row>
    <row r="45" spans="1:14" ht="17.45" customHeight="1">
      <c r="A45" s="765" t="s">
        <v>18</v>
      </c>
      <c r="B45" s="766"/>
      <c r="C45" s="163">
        <f>SUMIF($G$7:$G$31,"Boiler",$F$7:$F$31)</f>
        <v>0</v>
      </c>
      <c r="D45" s="117">
        <f>+C45+'30'!D45</f>
        <v>0</v>
      </c>
      <c r="E45" s="142">
        <f t="shared" si="0"/>
        <v>0</v>
      </c>
      <c r="F45" s="321"/>
      <c r="G45" s="324"/>
      <c r="H45" s="187" t="s">
        <v>75</v>
      </c>
      <c r="I45" s="117" t="e">
        <f>I43/I40</f>
        <v>#DIV/0!</v>
      </c>
      <c r="J45" s="133">
        <f>J43/J40</f>
        <v>1.4303724847188473</v>
      </c>
      <c r="K45" s="129" t="s">
        <v>63</v>
      </c>
    </row>
    <row r="46" spans="1:14" ht="17.45" customHeight="1">
      <c r="A46" s="765" t="s">
        <v>76</v>
      </c>
      <c r="B46" s="766"/>
      <c r="C46" s="163">
        <f>SUMIF($G$7:$G$31,"Gas",$F$7:$F$31)</f>
        <v>0</v>
      </c>
      <c r="D46" s="117">
        <f>+C46+'30'!D46</f>
        <v>0</v>
      </c>
      <c r="E46" s="142">
        <f t="shared" si="0"/>
        <v>0</v>
      </c>
      <c r="F46" s="321"/>
      <c r="G46" s="322"/>
      <c r="H46" s="187" t="s">
        <v>77</v>
      </c>
      <c r="I46" s="139">
        <f>+SUMIF(Listrik!P38,"&gt;0")</f>
        <v>0</v>
      </c>
      <c r="J46" s="134">
        <f>+I46+'30'!J46</f>
        <v>1064891.1800000013</v>
      </c>
      <c r="K46" s="129" t="s">
        <v>78</v>
      </c>
    </row>
    <row r="47" spans="1:14" ht="17.45" customHeight="1">
      <c r="A47" s="765" t="s">
        <v>79</v>
      </c>
      <c r="B47" s="766"/>
      <c r="C47" s="163">
        <f>SUMIF($G$7:$G$31,"Gas",$F$7:$F$31)</f>
        <v>0</v>
      </c>
      <c r="D47" s="117">
        <f>+C47+'30'!D47</f>
        <v>0</v>
      </c>
      <c r="E47" s="142">
        <f t="shared" si="0"/>
        <v>0</v>
      </c>
      <c r="F47" s="321"/>
      <c r="G47" s="322"/>
      <c r="H47" s="187" t="s">
        <v>80</v>
      </c>
      <c r="I47" s="117" t="e">
        <f>I46/I38</f>
        <v>#DIV/0!</v>
      </c>
      <c r="J47" s="134">
        <f>J46/J38</f>
        <v>910.22486133679217</v>
      </c>
      <c r="K47" s="129" t="s">
        <v>24</v>
      </c>
    </row>
    <row r="48" spans="1:14" ht="17.45" customHeight="1">
      <c r="A48" s="765" t="s">
        <v>14</v>
      </c>
      <c r="B48" s="766"/>
      <c r="C48" s="163">
        <f>SUMIF($G$7:$G$31,"Start Up",$F$7:$F$31)</f>
        <v>0</v>
      </c>
      <c r="D48" s="117">
        <f>+C48+'30'!D48</f>
        <v>0</v>
      </c>
      <c r="E48" s="142">
        <f t="shared" si="0"/>
        <v>0</v>
      </c>
      <c r="F48" s="321"/>
      <c r="G48" s="322"/>
      <c r="H48" s="187" t="s">
        <v>81</v>
      </c>
      <c r="I48" s="117" t="e">
        <f>I46/I40</f>
        <v>#DIV/0!</v>
      </c>
      <c r="J48" s="134">
        <f>J46/J40</f>
        <v>942.80208163641214</v>
      </c>
      <c r="K48" s="129" t="s">
        <v>24</v>
      </c>
    </row>
    <row r="49" spans="1:23" ht="17.45" customHeight="1">
      <c r="A49" s="765" t="s">
        <v>20</v>
      </c>
      <c r="B49" s="766"/>
      <c r="C49" s="163">
        <f>SUMIF($G$7:$G$31,"Others",$F$7:$F$31)</f>
        <v>0</v>
      </c>
      <c r="D49" s="117">
        <f>+C49+'30'!D49</f>
        <v>475</v>
      </c>
      <c r="E49" s="142">
        <f t="shared" si="0"/>
        <v>7.916666666666667</v>
      </c>
      <c r="F49" s="184"/>
      <c r="H49" s="187" t="s">
        <v>270</v>
      </c>
      <c r="I49" s="117">
        <f>+Report1!T39</f>
        <v>0</v>
      </c>
      <c r="J49" s="134">
        <f>+I49+'30'!J49</f>
        <v>156134.67148482808</v>
      </c>
      <c r="K49" s="129" t="s">
        <v>82</v>
      </c>
    </row>
    <row r="50" spans="1:23" ht="17.45" customHeight="1">
      <c r="A50" s="765" t="s">
        <v>19</v>
      </c>
      <c r="B50" s="766"/>
      <c r="C50" s="163">
        <f>SUMIF($G$7:$G$31,"Steam",$F$7:$F$31)</f>
        <v>0</v>
      </c>
      <c r="D50" s="117">
        <f>+C50+'30'!D50</f>
        <v>0</v>
      </c>
      <c r="E50" s="142">
        <f t="shared" si="0"/>
        <v>0</v>
      </c>
      <c r="F50" s="184"/>
      <c r="H50" s="187" t="s">
        <v>83</v>
      </c>
      <c r="I50" s="139" t="e">
        <f>I49/I38</f>
        <v>#DIV/0!</v>
      </c>
      <c r="J50" s="132">
        <f>J49/J38</f>
        <v>133.45744839594133</v>
      </c>
      <c r="K50" s="129" t="s">
        <v>82</v>
      </c>
    </row>
    <row r="51" spans="1:23" ht="17.45" customHeight="1" thickBot="1">
      <c r="A51" s="767" t="s">
        <v>84</v>
      </c>
      <c r="B51" s="768"/>
      <c r="C51" s="163">
        <f>SUMIF($G$7:$G$31,"Planned shut",$F$7:$F$31)</f>
        <v>0</v>
      </c>
      <c r="D51" s="117">
        <f>+C51+'30'!D51</f>
        <v>738</v>
      </c>
      <c r="E51" s="142">
        <f t="shared" si="0"/>
        <v>12.3</v>
      </c>
      <c r="F51" s="184"/>
      <c r="H51" s="189" t="s">
        <v>85</v>
      </c>
      <c r="I51" s="140" t="e">
        <f>I49/I40</f>
        <v>#DIV/0!</v>
      </c>
      <c r="J51" s="135">
        <f>J49/J40</f>
        <v>138.23393042988027</v>
      </c>
      <c r="K51" s="136" t="s">
        <v>82</v>
      </c>
    </row>
    <row r="52" spans="1:23" ht="13.5" thickBot="1">
      <c r="A52" s="763" t="s">
        <v>28</v>
      </c>
      <c r="B52" s="764"/>
      <c r="C52" s="143">
        <f>SUM(C38:C51)</f>
        <v>0</v>
      </c>
      <c r="D52" s="143">
        <f>SUM(D38:D51)</f>
        <v>3764</v>
      </c>
      <c r="E52" s="144">
        <f>SUM(E38:E51)</f>
        <v>62.733333333333334</v>
      </c>
      <c r="F52" s="184"/>
      <c r="H52" s="190"/>
      <c r="I52" s="191"/>
      <c r="J52" s="137"/>
      <c r="K52" s="138"/>
    </row>
    <row r="53" spans="1:23" ht="13.5" thickBot="1">
      <c r="A53" s="769"/>
      <c r="B53" s="770"/>
      <c r="C53" s="145">
        <f>C52/(24*60)</f>
        <v>0</v>
      </c>
      <c r="D53" s="145">
        <f>D52/(24*60*G4)</f>
        <v>8.4318996415770606E-2</v>
      </c>
      <c r="E53" s="146">
        <f>E52/(G4*24)</f>
        <v>8.4318996415770606E-2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86</v>
      </c>
      <c r="B56" s="194"/>
      <c r="C56" s="195"/>
      <c r="D56" s="195"/>
      <c r="E56" s="195"/>
      <c r="F56" s="196"/>
      <c r="G56" s="195"/>
      <c r="H56" s="197"/>
      <c r="I56" s="198" t="s">
        <v>87</v>
      </c>
      <c r="J56" s="199">
        <f>+D34+'30'!J56</f>
        <v>5247</v>
      </c>
      <c r="K56" s="200">
        <f>J56/(J40+J56/1000)/1000</f>
        <v>4.6239544989482182E-3</v>
      </c>
    </row>
    <row r="57" spans="1:23">
      <c r="A57" s="175"/>
      <c r="I57" s="198" t="s">
        <v>88</v>
      </c>
      <c r="J57" s="199">
        <f>+E34+'30'!J57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35</vt:i4>
      </vt:variant>
    </vt:vector>
  </HeadingPairs>
  <TitlesOfParts>
    <vt:vector size="78" baseType="lpstr">
      <vt:lpstr>eff all value</vt:lpstr>
      <vt:lpstr>Report1</vt:lpstr>
      <vt:lpstr>GRAFIK</vt:lpstr>
      <vt:lpstr>Listrik</vt:lpstr>
      <vt:lpstr>Trim Rwd</vt:lpstr>
      <vt:lpstr>Efficiency1</vt:lpstr>
      <vt:lpstr>Efficiency2</vt:lpstr>
      <vt:lpstr>Chem</vt:lpstr>
      <vt:lpstr>RBP</vt:lpstr>
      <vt:lpstr>BB</vt:lpstr>
      <vt:lpstr>Sheet1</vt:lpstr>
      <vt:lpstr>summary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31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2026-05-04T08:09:14Z</cp:lastPrinted>
  <dcterms:created xsi:type="dcterms:W3CDTF">2007-07-30T03:52:39Z</dcterms:created>
  <dcterms:modified xsi:type="dcterms:W3CDTF">2026-05-04T08:44:34Z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