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activeTab="1"/>
  </bookViews>
  <sheets>
    <sheet name="Master" sheetId="1" r:id="rId1"/>
    <sheet name="Steam" sheetId="2" r:id="rId2"/>
  </sheets>
  <externalReferences>
    <externalReference r:id="rId3"/>
    <externalReference r:id="rId4"/>
    <externalReference r:id="rId5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6" i="1" l="1"/>
  <c r="AN32" i="1" l="1"/>
  <c r="AN31" i="1"/>
  <c r="AN30" i="1" l="1"/>
  <c r="L28" i="2" s="1"/>
  <c r="AN29" i="1"/>
  <c r="L27" i="2" s="1"/>
  <c r="BD26" i="1" l="1"/>
  <c r="BM26" i="1"/>
  <c r="BD21" i="1"/>
  <c r="BD19" i="1"/>
  <c r="BG9" i="1"/>
  <c r="BH9" i="1"/>
  <c r="BI9" i="1"/>
  <c r="BG10" i="1"/>
  <c r="BH10" i="1"/>
  <c r="BI10" i="1"/>
  <c r="BG11" i="1"/>
  <c r="BH11" i="1"/>
  <c r="BI11" i="1"/>
  <c r="BG12" i="1"/>
  <c r="BH12" i="1"/>
  <c r="BI12" i="1"/>
  <c r="BG13" i="1"/>
  <c r="BH13" i="1"/>
  <c r="BI13" i="1"/>
  <c r="BG14" i="1"/>
  <c r="BH14" i="1"/>
  <c r="BI14" i="1"/>
  <c r="BG15" i="1"/>
  <c r="BH15" i="1"/>
  <c r="BI15" i="1"/>
  <c r="BG16" i="1"/>
  <c r="BH16" i="1"/>
  <c r="BI16" i="1"/>
  <c r="BG17" i="1"/>
  <c r="BH17" i="1"/>
  <c r="BI17" i="1"/>
  <c r="BG18" i="1"/>
  <c r="BH18" i="1"/>
  <c r="BI18" i="1"/>
  <c r="BG19" i="1"/>
  <c r="BH19" i="1"/>
  <c r="BI19" i="1"/>
  <c r="BG20" i="1"/>
  <c r="BH20" i="1"/>
  <c r="BI20" i="1"/>
  <c r="BG21" i="1"/>
  <c r="BH21" i="1"/>
  <c r="BI21" i="1"/>
  <c r="BG22" i="1"/>
  <c r="BH22" i="1"/>
  <c r="BI22" i="1"/>
  <c r="BG23" i="1"/>
  <c r="BH23" i="1"/>
  <c r="BI23" i="1"/>
  <c r="BG24" i="1"/>
  <c r="BH24" i="1"/>
  <c r="BI24" i="1"/>
  <c r="BG25" i="1"/>
  <c r="BH25" i="1"/>
  <c r="BI25" i="1"/>
  <c r="BG26" i="1"/>
  <c r="BH26" i="1"/>
  <c r="BI26" i="1"/>
  <c r="BG27" i="1"/>
  <c r="BH27" i="1"/>
  <c r="BI27" i="1"/>
  <c r="BG28" i="1"/>
  <c r="BH28" i="1"/>
  <c r="BI28" i="1"/>
  <c r="BG29" i="1"/>
  <c r="BH29" i="1"/>
  <c r="BI29" i="1"/>
  <c r="BG30" i="1"/>
  <c r="BH30" i="1"/>
  <c r="BI30" i="1"/>
  <c r="BG31" i="1"/>
  <c r="BH31" i="1"/>
  <c r="BI31" i="1"/>
  <c r="BG32" i="1"/>
  <c r="BH32" i="1"/>
  <c r="BI32" i="1"/>
  <c r="BG33" i="1"/>
  <c r="BH33" i="1"/>
  <c r="BI33" i="1"/>
  <c r="BG34" i="1"/>
  <c r="BH34" i="1"/>
  <c r="BI34" i="1"/>
  <c r="BG35" i="1"/>
  <c r="BH35" i="1"/>
  <c r="BI35" i="1"/>
  <c r="BG36" i="1"/>
  <c r="BH36" i="1"/>
  <c r="BI36" i="1"/>
  <c r="BG37" i="1"/>
  <c r="BH37" i="1"/>
  <c r="BI37" i="1"/>
  <c r="BI8" i="1"/>
  <c r="BH8" i="1"/>
  <c r="BG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8" i="1"/>
  <c r="BD10" i="1"/>
  <c r="BD11" i="1"/>
  <c r="BD12" i="1"/>
  <c r="BD13" i="1"/>
  <c r="BD14" i="1"/>
  <c r="BD15" i="1"/>
  <c r="BD16" i="1"/>
  <c r="BD17" i="1"/>
  <c r="BD18" i="1"/>
  <c r="BD20" i="1"/>
  <c r="BD22" i="1"/>
  <c r="BD23" i="1"/>
  <c r="BD24" i="1"/>
  <c r="BD25" i="1"/>
  <c r="BD27" i="1"/>
  <c r="BD28" i="1"/>
  <c r="BD29" i="1"/>
  <c r="BD30" i="1"/>
  <c r="BD31" i="1"/>
  <c r="BD32" i="1"/>
  <c r="BD33" i="1"/>
  <c r="BD34" i="1"/>
  <c r="BD35" i="1"/>
  <c r="BD36" i="1"/>
  <c r="BD37" i="1"/>
  <c r="BD9" i="1"/>
  <c r="BD8" i="1"/>
  <c r="AQ37" i="1"/>
  <c r="Q35" i="2" s="1"/>
  <c r="AQ36" i="1"/>
  <c r="Q34" i="2" s="1"/>
  <c r="AQ35" i="1"/>
  <c r="Q33" i="2" s="1"/>
  <c r="AQ34" i="1"/>
  <c r="Q32" i="2" s="1"/>
  <c r="AQ33" i="1"/>
  <c r="Q31" i="2" s="1"/>
  <c r="AQ32" i="1"/>
  <c r="Q30" i="2" s="1"/>
  <c r="AQ31" i="1"/>
  <c r="AQ30" i="1"/>
  <c r="Q28" i="2" s="1"/>
  <c r="AQ29" i="1"/>
  <c r="Q27" i="2" s="1"/>
  <c r="AQ28" i="1"/>
  <c r="Q26" i="2" s="1"/>
  <c r="AQ27" i="1"/>
  <c r="Q25" i="2" s="1"/>
  <c r="AQ26" i="1"/>
  <c r="Q24" i="2" s="1"/>
  <c r="AQ25" i="1"/>
  <c r="Q23" i="2" s="1"/>
  <c r="AQ24" i="1"/>
  <c r="Q22" i="2" s="1"/>
  <c r="AQ23" i="1"/>
  <c r="Q21" i="2" s="1"/>
  <c r="AQ22" i="1"/>
  <c r="Q20" i="2" s="1"/>
  <c r="AQ21" i="1"/>
  <c r="Q19" i="2" s="1"/>
  <c r="AQ20" i="1"/>
  <c r="Q18" i="2" s="1"/>
  <c r="AQ19" i="1"/>
  <c r="Q17" i="2" s="1"/>
  <c r="AQ18" i="1"/>
  <c r="Q16" i="2" s="1"/>
  <c r="AQ17" i="1"/>
  <c r="Q15" i="2" s="1"/>
  <c r="AQ16" i="1"/>
  <c r="AQ15" i="1"/>
  <c r="AQ14" i="1"/>
  <c r="AQ13" i="1"/>
  <c r="AQ12" i="1"/>
  <c r="AQ11" i="1"/>
  <c r="Q9" i="2" s="1"/>
  <c r="AQ10" i="1"/>
  <c r="AQ9" i="1"/>
  <c r="AQ8" i="1"/>
  <c r="AP37" i="1"/>
  <c r="M35" i="2" s="1"/>
  <c r="AP36" i="1"/>
  <c r="M34" i="2" s="1"/>
  <c r="AP35" i="1"/>
  <c r="M33" i="2" s="1"/>
  <c r="AP34" i="1"/>
  <c r="M32" i="2" s="1"/>
  <c r="AP33" i="1"/>
  <c r="M31" i="2" s="1"/>
  <c r="AP32" i="1"/>
  <c r="M30" i="2" s="1"/>
  <c r="AP31" i="1"/>
  <c r="AP30" i="1"/>
  <c r="M28" i="2" s="1"/>
  <c r="AP29" i="1"/>
  <c r="M27" i="2" s="1"/>
  <c r="AP28" i="1"/>
  <c r="M26" i="2" s="1"/>
  <c r="AP27" i="1"/>
  <c r="M25" i="2" s="1"/>
  <c r="AP26" i="1"/>
  <c r="M24" i="2" s="1"/>
  <c r="AP25" i="1"/>
  <c r="M23" i="2" s="1"/>
  <c r="AP24" i="1"/>
  <c r="M22" i="2" s="1"/>
  <c r="AP23" i="1"/>
  <c r="M21" i="2" s="1"/>
  <c r="AP22" i="1"/>
  <c r="M20" i="2" s="1"/>
  <c r="AP21" i="1"/>
  <c r="M19" i="2" s="1"/>
  <c r="AP20" i="1"/>
  <c r="M18" i="2" s="1"/>
  <c r="AP19" i="1"/>
  <c r="M17" i="2" s="1"/>
  <c r="AP18" i="1"/>
  <c r="M16" i="2" s="1"/>
  <c r="AP17" i="1"/>
  <c r="M15" i="2" s="1"/>
  <c r="AP16" i="1"/>
  <c r="AP15" i="1"/>
  <c r="AP14" i="1"/>
  <c r="AP13" i="1"/>
  <c r="AP12" i="1"/>
  <c r="AP11" i="1"/>
  <c r="M9" i="2" s="1"/>
  <c r="AP10" i="1"/>
  <c r="AP9" i="1"/>
  <c r="AP8" i="1"/>
  <c r="AO37" i="1"/>
  <c r="P35" i="2" s="1"/>
  <c r="AO36" i="1"/>
  <c r="P34" i="2" s="1"/>
  <c r="AO35" i="1"/>
  <c r="P33" i="2" s="1"/>
  <c r="AO34" i="1"/>
  <c r="P32" i="2" s="1"/>
  <c r="AO33" i="1"/>
  <c r="P31" i="2" s="1"/>
  <c r="AO32" i="1"/>
  <c r="P30" i="2" s="1"/>
  <c r="AO31" i="1"/>
  <c r="AO30" i="1"/>
  <c r="P28" i="2" s="1"/>
  <c r="AO29" i="1"/>
  <c r="P27" i="2" s="1"/>
  <c r="AO28" i="1"/>
  <c r="P26" i="2" s="1"/>
  <c r="AO27" i="1"/>
  <c r="P25" i="2" s="1"/>
  <c r="AO26" i="1"/>
  <c r="P24" i="2" s="1"/>
  <c r="AO25" i="1"/>
  <c r="P23" i="2" s="1"/>
  <c r="AO24" i="1"/>
  <c r="P22" i="2" s="1"/>
  <c r="AO23" i="1"/>
  <c r="P21" i="2" s="1"/>
  <c r="AO22" i="1"/>
  <c r="P20" i="2" s="1"/>
  <c r="AO21" i="1"/>
  <c r="P19" i="2" s="1"/>
  <c r="AO20" i="1"/>
  <c r="P18" i="2" s="1"/>
  <c r="AO19" i="1"/>
  <c r="P17" i="2" s="1"/>
  <c r="AO18" i="1"/>
  <c r="P16" i="2" s="1"/>
  <c r="AO17" i="1"/>
  <c r="P15" i="2" s="1"/>
  <c r="AO16" i="1"/>
  <c r="AO15" i="1"/>
  <c r="AO14" i="1"/>
  <c r="AO13" i="1"/>
  <c r="AO12" i="1"/>
  <c r="AO11" i="1"/>
  <c r="P9" i="2" s="1"/>
  <c r="AO10" i="1"/>
  <c r="AO9" i="1"/>
  <c r="AO8" i="1"/>
  <c r="AN37" i="1"/>
  <c r="L35" i="2" s="1"/>
  <c r="AN36" i="1"/>
  <c r="L34" i="2" s="1"/>
  <c r="AN35" i="1"/>
  <c r="L33" i="2" s="1"/>
  <c r="AN34" i="1"/>
  <c r="L32" i="2" s="1"/>
  <c r="AN33" i="1"/>
  <c r="L31" i="2" s="1"/>
  <c r="L30" i="2"/>
  <c r="AN28" i="1"/>
  <c r="L26" i="2" s="1"/>
  <c r="AN27" i="1"/>
  <c r="L25" i="2" s="1"/>
  <c r="AN26" i="1"/>
  <c r="L24" i="2" s="1"/>
  <c r="AN25" i="1"/>
  <c r="L23" i="2" s="1"/>
  <c r="AN24" i="1"/>
  <c r="L22" i="2" s="1"/>
  <c r="AN23" i="1"/>
  <c r="L21" i="2" s="1"/>
  <c r="AN22" i="1"/>
  <c r="L20" i="2" s="1"/>
  <c r="AN21" i="1"/>
  <c r="L19" i="2" s="1"/>
  <c r="AN20" i="1"/>
  <c r="L18" i="2" s="1"/>
  <c r="AN19" i="1"/>
  <c r="L17" i="2" s="1"/>
  <c r="AN18" i="1"/>
  <c r="L16" i="2" s="1"/>
  <c r="AN17" i="1"/>
  <c r="L15" i="2" s="1"/>
  <c r="AN16" i="1"/>
  <c r="AN15" i="1"/>
  <c r="AN14" i="1"/>
  <c r="AN13" i="1"/>
  <c r="AN12" i="1"/>
  <c r="AN11" i="1"/>
  <c r="L9" i="2" s="1"/>
  <c r="AN10" i="1"/>
  <c r="AN9" i="1"/>
  <c r="AN8" i="1"/>
  <c r="AM37" i="1"/>
  <c r="O35" i="2" s="1"/>
  <c r="AM36" i="1"/>
  <c r="O34" i="2" s="1"/>
  <c r="AM35" i="1"/>
  <c r="O33" i="2" s="1"/>
  <c r="AM34" i="1"/>
  <c r="O32" i="2" s="1"/>
  <c r="AM33" i="1"/>
  <c r="O31" i="2" s="1"/>
  <c r="AM32" i="1"/>
  <c r="O30" i="2" s="1"/>
  <c r="AM31" i="1"/>
  <c r="AM30" i="1"/>
  <c r="O28" i="2" s="1"/>
  <c r="AM29" i="1"/>
  <c r="O27" i="2" s="1"/>
  <c r="AM28" i="1"/>
  <c r="O26" i="2" s="1"/>
  <c r="AM27" i="1"/>
  <c r="O25" i="2" s="1"/>
  <c r="AM26" i="1"/>
  <c r="O24" i="2" s="1"/>
  <c r="AM25" i="1"/>
  <c r="O23" i="2" s="1"/>
  <c r="AM24" i="1"/>
  <c r="O22" i="2" s="1"/>
  <c r="AM23" i="1"/>
  <c r="O21" i="2" s="1"/>
  <c r="AM22" i="1"/>
  <c r="O20" i="2" s="1"/>
  <c r="AM21" i="1"/>
  <c r="O19" i="2" s="1"/>
  <c r="AM20" i="1"/>
  <c r="O18" i="2" s="1"/>
  <c r="AM19" i="1"/>
  <c r="O17" i="2" s="1"/>
  <c r="AM18" i="1"/>
  <c r="O16" i="2" s="1"/>
  <c r="AM17" i="1"/>
  <c r="O15" i="2" s="1"/>
  <c r="AM16" i="1"/>
  <c r="AM15" i="1"/>
  <c r="AM14" i="1"/>
  <c r="AM13" i="1"/>
  <c r="AM12" i="1"/>
  <c r="AM11" i="1"/>
  <c r="O9" i="2" s="1"/>
  <c r="AM10" i="1"/>
  <c r="AM9" i="1"/>
  <c r="AM8" i="1"/>
  <c r="AL37" i="1"/>
  <c r="K35" i="2" s="1"/>
  <c r="AL36" i="1"/>
  <c r="K34" i="2" s="1"/>
  <c r="AL35" i="1"/>
  <c r="K33" i="2" s="1"/>
  <c r="AL34" i="1"/>
  <c r="K32" i="2" s="1"/>
  <c r="AL33" i="1"/>
  <c r="K31" i="2" s="1"/>
  <c r="AL32" i="1"/>
  <c r="K30" i="2" s="1"/>
  <c r="AL31" i="1"/>
  <c r="AL30" i="1"/>
  <c r="K28" i="2" s="1"/>
  <c r="AL29" i="1"/>
  <c r="K27" i="2" s="1"/>
  <c r="AL28" i="1"/>
  <c r="K26" i="2" s="1"/>
  <c r="AL27" i="1"/>
  <c r="K25" i="2" s="1"/>
  <c r="AL26" i="1"/>
  <c r="K24" i="2" s="1"/>
  <c r="AL25" i="1"/>
  <c r="K23" i="2" s="1"/>
  <c r="AL24" i="1"/>
  <c r="K22" i="2" s="1"/>
  <c r="AL23" i="1"/>
  <c r="K21" i="2" s="1"/>
  <c r="AL22" i="1"/>
  <c r="K20" i="2" s="1"/>
  <c r="AL21" i="1"/>
  <c r="K19" i="2" s="1"/>
  <c r="AL20" i="1"/>
  <c r="K18" i="2" s="1"/>
  <c r="AL19" i="1"/>
  <c r="K17" i="2" s="1"/>
  <c r="AL18" i="1"/>
  <c r="K16" i="2" s="1"/>
  <c r="AL17" i="1"/>
  <c r="K15" i="2" s="1"/>
  <c r="AL16" i="1"/>
  <c r="AL15" i="1"/>
  <c r="AL14" i="1"/>
  <c r="AL13" i="1"/>
  <c r="AL12" i="1"/>
  <c r="AL11" i="1"/>
  <c r="K9" i="2" s="1"/>
  <c r="AL10" i="1"/>
  <c r="AL9" i="1"/>
  <c r="AL8" i="1"/>
  <c r="AK37" i="1"/>
  <c r="J35" i="2" s="1"/>
  <c r="AK36" i="1"/>
  <c r="J34" i="2" s="1"/>
  <c r="AK35" i="1"/>
  <c r="J33" i="2" s="1"/>
  <c r="AK34" i="1"/>
  <c r="J32" i="2" s="1"/>
  <c r="AK33" i="1"/>
  <c r="J31" i="2" s="1"/>
  <c r="AK32" i="1"/>
  <c r="J30" i="2" s="1"/>
  <c r="AK31" i="1"/>
  <c r="AK30" i="1"/>
  <c r="J28" i="2" s="1"/>
  <c r="AK29" i="1"/>
  <c r="J27" i="2" s="1"/>
  <c r="AK28" i="1"/>
  <c r="J26" i="2" s="1"/>
  <c r="AK27" i="1"/>
  <c r="J25" i="2" s="1"/>
  <c r="AK26" i="1"/>
  <c r="J24" i="2" s="1"/>
  <c r="AK25" i="1"/>
  <c r="J23" i="2" s="1"/>
  <c r="AK24" i="1"/>
  <c r="J22" i="2" s="1"/>
  <c r="AK23" i="1"/>
  <c r="J21" i="2" s="1"/>
  <c r="AK22" i="1"/>
  <c r="J20" i="2" s="1"/>
  <c r="AK21" i="1"/>
  <c r="J19" i="2" s="1"/>
  <c r="AK20" i="1"/>
  <c r="J18" i="2" s="1"/>
  <c r="AK19" i="1"/>
  <c r="J17" i="2" s="1"/>
  <c r="AK18" i="1"/>
  <c r="J16" i="2" s="1"/>
  <c r="AK17" i="1"/>
  <c r="J15" i="2" s="1"/>
  <c r="AK16" i="1"/>
  <c r="AK15" i="1"/>
  <c r="AK14" i="1"/>
  <c r="AK13" i="1"/>
  <c r="AK12" i="1"/>
  <c r="AK11" i="1"/>
  <c r="J9" i="2" s="1"/>
  <c r="AK10" i="1"/>
  <c r="AK9" i="1"/>
  <c r="AK8" i="1"/>
  <c r="AJ37" i="1"/>
  <c r="N35" i="2" s="1"/>
  <c r="AJ36" i="1"/>
  <c r="N34" i="2" s="1"/>
  <c r="AJ35" i="1"/>
  <c r="N33" i="2" s="1"/>
  <c r="AJ34" i="1"/>
  <c r="N32" i="2" s="1"/>
  <c r="AJ33" i="1"/>
  <c r="N31" i="2" s="1"/>
  <c r="AJ32" i="1"/>
  <c r="N30" i="2" s="1"/>
  <c r="AJ31" i="1"/>
  <c r="AJ30" i="1"/>
  <c r="N28" i="2" s="1"/>
  <c r="AJ29" i="1"/>
  <c r="N27" i="2" s="1"/>
  <c r="AJ28" i="1"/>
  <c r="N26" i="2" s="1"/>
  <c r="AJ27" i="1"/>
  <c r="N25" i="2" s="1"/>
  <c r="AJ26" i="1"/>
  <c r="N24" i="2" s="1"/>
  <c r="AJ25" i="1"/>
  <c r="N23" i="2" s="1"/>
  <c r="AJ24" i="1"/>
  <c r="N22" i="2" s="1"/>
  <c r="AJ23" i="1"/>
  <c r="N21" i="2" s="1"/>
  <c r="AJ22" i="1"/>
  <c r="N20" i="2" s="1"/>
  <c r="AJ21" i="1"/>
  <c r="N19" i="2" s="1"/>
  <c r="AJ20" i="1"/>
  <c r="N18" i="2" s="1"/>
  <c r="AJ19" i="1"/>
  <c r="N17" i="2" s="1"/>
  <c r="AJ18" i="1"/>
  <c r="N16" i="2" s="1"/>
  <c r="AJ17" i="1"/>
  <c r="N15" i="2" s="1"/>
  <c r="AJ16" i="1"/>
  <c r="AJ15" i="1"/>
  <c r="AJ14" i="1"/>
  <c r="AJ13" i="1"/>
  <c r="AJ12" i="1"/>
  <c r="AJ11" i="1"/>
  <c r="N9" i="2" s="1"/>
  <c r="AJ10" i="1"/>
  <c r="AJ9" i="1"/>
  <c r="AJ8" i="1"/>
  <c r="AI37" i="1"/>
  <c r="I35" i="2" s="1"/>
  <c r="AI36" i="1"/>
  <c r="I34" i="2" s="1"/>
  <c r="AI35" i="1"/>
  <c r="I33" i="2" s="1"/>
  <c r="AI34" i="1"/>
  <c r="I32" i="2" s="1"/>
  <c r="AI33" i="1"/>
  <c r="I31" i="2" s="1"/>
  <c r="AI32" i="1"/>
  <c r="I30" i="2" s="1"/>
  <c r="AI31" i="1"/>
  <c r="AI30" i="1"/>
  <c r="I28" i="2" s="1"/>
  <c r="AI29" i="1"/>
  <c r="I27" i="2" s="1"/>
  <c r="AI28" i="1"/>
  <c r="I26" i="2" s="1"/>
  <c r="AI27" i="1"/>
  <c r="I25" i="2" s="1"/>
  <c r="AI26" i="1"/>
  <c r="I24" i="2" s="1"/>
  <c r="AI25" i="1"/>
  <c r="I23" i="2" s="1"/>
  <c r="AI24" i="1"/>
  <c r="I22" i="2" s="1"/>
  <c r="AI23" i="1"/>
  <c r="I21" i="2" s="1"/>
  <c r="AI22" i="1"/>
  <c r="I20" i="2" s="1"/>
  <c r="AI21" i="1"/>
  <c r="I19" i="2" s="1"/>
  <c r="AI20" i="1"/>
  <c r="I18" i="2" s="1"/>
  <c r="AI19" i="1"/>
  <c r="I17" i="2" s="1"/>
  <c r="AI18" i="1"/>
  <c r="I16" i="2" s="1"/>
  <c r="AI17" i="1"/>
  <c r="I15" i="2" s="1"/>
  <c r="AI16" i="1"/>
  <c r="AI15" i="1"/>
  <c r="AI14" i="1"/>
  <c r="AI13" i="1"/>
  <c r="AI12" i="1"/>
  <c r="AI11" i="1"/>
  <c r="I9" i="2" s="1"/>
  <c r="AI10" i="1"/>
  <c r="AI9" i="1"/>
  <c r="AI8" i="1"/>
  <c r="AH37" i="1"/>
  <c r="H35" i="2" s="1"/>
  <c r="AH36" i="1"/>
  <c r="H34" i="2" s="1"/>
  <c r="AH35" i="1"/>
  <c r="H33" i="2" s="1"/>
  <c r="AH34" i="1"/>
  <c r="H32" i="2" s="1"/>
  <c r="AH33" i="1"/>
  <c r="H31" i="2" s="1"/>
  <c r="AH32" i="1"/>
  <c r="H30" i="2" s="1"/>
  <c r="AH31" i="1"/>
  <c r="AH30" i="1"/>
  <c r="H28" i="2" s="1"/>
  <c r="AH29" i="1"/>
  <c r="H27" i="2" s="1"/>
  <c r="AH28" i="1"/>
  <c r="H26" i="2" s="1"/>
  <c r="AH27" i="1"/>
  <c r="H25" i="2" s="1"/>
  <c r="AH26" i="1"/>
  <c r="H24" i="2" s="1"/>
  <c r="AH25" i="1"/>
  <c r="H23" i="2" s="1"/>
  <c r="AH24" i="1"/>
  <c r="H22" i="2" s="1"/>
  <c r="AH23" i="1"/>
  <c r="H21" i="2" s="1"/>
  <c r="AH22" i="1"/>
  <c r="H20" i="2" s="1"/>
  <c r="AH21" i="1"/>
  <c r="H19" i="2" s="1"/>
  <c r="AH20" i="1"/>
  <c r="H18" i="2" s="1"/>
  <c r="AH19" i="1"/>
  <c r="H17" i="2" s="1"/>
  <c r="AH18" i="1"/>
  <c r="H16" i="2" s="1"/>
  <c r="AH17" i="1"/>
  <c r="H15" i="2" s="1"/>
  <c r="AH16" i="1"/>
  <c r="AH15" i="1"/>
  <c r="AH14" i="1"/>
  <c r="AH13" i="1"/>
  <c r="AH12" i="1"/>
  <c r="AH11" i="1"/>
  <c r="H9" i="2" s="1"/>
  <c r="AH10" i="1"/>
  <c r="AH9" i="1"/>
  <c r="AH8" i="1"/>
  <c r="R34" i="2" l="1"/>
  <c r="R35" i="2"/>
  <c r="R33" i="2"/>
  <c r="R32" i="2"/>
  <c r="R31" i="2"/>
  <c r="R30" i="2"/>
  <c r="R25" i="2"/>
  <c r="R26" i="2"/>
  <c r="R27" i="2"/>
  <c r="R28" i="2"/>
  <c r="R24" i="2"/>
  <c r="R23" i="2"/>
  <c r="R19" i="2"/>
  <c r="R22" i="2"/>
  <c r="R20" i="2"/>
  <c r="R21" i="2"/>
  <c r="R16" i="2"/>
  <c r="R18" i="2"/>
  <c r="R17" i="2"/>
  <c r="R15" i="2"/>
  <c r="R9" i="2"/>
  <c r="BN7" i="1"/>
  <c r="AU7" i="1"/>
  <c r="AV8" i="1" s="1"/>
  <c r="B7" i="2" l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K8" i="1" l="1"/>
  <c r="BM10" i="1" l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7" i="1"/>
  <c r="BM28" i="1"/>
  <c r="BM29" i="1"/>
  <c r="BM30" i="1"/>
  <c r="BM31" i="1"/>
  <c r="BM32" i="1"/>
  <c r="BM33" i="1"/>
  <c r="BM34" i="1"/>
  <c r="BM35" i="1"/>
  <c r="BM37" i="1"/>
  <c r="BM9" i="1"/>
  <c r="BK35" i="1" l="1"/>
  <c r="BE35" i="1" s="1"/>
  <c r="X26" i="2" l="1"/>
  <c r="X27" i="2"/>
  <c r="X28" i="2"/>
  <c r="X29" i="2"/>
  <c r="X30" i="2"/>
  <c r="X31" i="2"/>
  <c r="X33" i="2"/>
  <c r="X35" i="2"/>
  <c r="BM8" i="1"/>
  <c r="X6" i="2" s="1"/>
  <c r="AC35" i="2"/>
  <c r="AB35" i="2"/>
  <c r="AA35" i="2"/>
  <c r="Z35" i="2"/>
  <c r="Y35" i="2"/>
  <c r="E35" i="2"/>
  <c r="D35" i="2"/>
  <c r="C35" i="2"/>
  <c r="AC34" i="2"/>
  <c r="AB34" i="2"/>
  <c r="AA34" i="2"/>
  <c r="Z34" i="2"/>
  <c r="Y34" i="2"/>
  <c r="AC33" i="2"/>
  <c r="AB33" i="2"/>
  <c r="AA33" i="2"/>
  <c r="Z33" i="2"/>
  <c r="Y33" i="2"/>
  <c r="AC32" i="2"/>
  <c r="AB32" i="2"/>
  <c r="AA32" i="2"/>
  <c r="Z32" i="2"/>
  <c r="Y32" i="2"/>
  <c r="AC31" i="2"/>
  <c r="AB31" i="2"/>
  <c r="AA31" i="2"/>
  <c r="Z31" i="2"/>
  <c r="Y31" i="2"/>
  <c r="AC30" i="2"/>
  <c r="AB30" i="2"/>
  <c r="AA30" i="2"/>
  <c r="Z30" i="2"/>
  <c r="Y30" i="2"/>
  <c r="AC29" i="2"/>
  <c r="AB29" i="2"/>
  <c r="AA29" i="2"/>
  <c r="Z29" i="2"/>
  <c r="Y29" i="2"/>
  <c r="Q29" i="2"/>
  <c r="P29" i="2"/>
  <c r="O29" i="2"/>
  <c r="N29" i="2"/>
  <c r="M29" i="2"/>
  <c r="L29" i="2"/>
  <c r="K29" i="2"/>
  <c r="J29" i="2"/>
  <c r="I29" i="2"/>
  <c r="H29" i="2"/>
  <c r="AC28" i="2"/>
  <c r="AB28" i="2"/>
  <c r="AA28" i="2"/>
  <c r="Z28" i="2"/>
  <c r="Y28" i="2"/>
  <c r="AC27" i="2"/>
  <c r="AB27" i="2"/>
  <c r="AA27" i="2"/>
  <c r="Z27" i="2"/>
  <c r="Y27" i="2"/>
  <c r="AC26" i="2"/>
  <c r="AB26" i="2"/>
  <c r="AA26" i="2"/>
  <c r="Z26" i="2"/>
  <c r="Y26" i="2"/>
  <c r="AC25" i="2"/>
  <c r="AB25" i="2"/>
  <c r="AA25" i="2"/>
  <c r="Z25" i="2"/>
  <c r="Y25" i="2"/>
  <c r="AC24" i="2"/>
  <c r="AB24" i="2"/>
  <c r="AA24" i="2"/>
  <c r="Z24" i="2"/>
  <c r="Y24" i="2"/>
  <c r="AC23" i="2"/>
  <c r="AB23" i="2"/>
  <c r="AA23" i="2"/>
  <c r="Z23" i="2"/>
  <c r="Y23" i="2"/>
  <c r="AC22" i="2"/>
  <c r="AB22" i="2"/>
  <c r="AA22" i="2"/>
  <c r="Z22" i="2"/>
  <c r="Y22" i="2"/>
  <c r="AC21" i="2"/>
  <c r="AB21" i="2"/>
  <c r="AA21" i="2"/>
  <c r="Z21" i="2"/>
  <c r="Y21" i="2"/>
  <c r="AC20" i="2"/>
  <c r="AB20" i="2"/>
  <c r="AA20" i="2"/>
  <c r="Z20" i="2"/>
  <c r="Y20" i="2"/>
  <c r="AC19" i="2"/>
  <c r="AB19" i="2"/>
  <c r="AA19" i="2"/>
  <c r="Z19" i="2"/>
  <c r="Y19" i="2"/>
  <c r="AC18" i="2"/>
  <c r="AB18" i="2"/>
  <c r="AA18" i="2"/>
  <c r="Z18" i="2"/>
  <c r="Y18" i="2"/>
  <c r="AC17" i="2"/>
  <c r="AB17" i="2"/>
  <c r="AA17" i="2"/>
  <c r="Z17" i="2"/>
  <c r="Y17" i="2"/>
  <c r="AC16" i="2"/>
  <c r="AB16" i="2"/>
  <c r="AA16" i="2"/>
  <c r="Z16" i="2"/>
  <c r="Y16" i="2"/>
  <c r="AC15" i="2"/>
  <c r="AB15" i="2"/>
  <c r="AA15" i="2"/>
  <c r="Z15" i="2"/>
  <c r="Y15" i="2"/>
  <c r="AC14" i="2"/>
  <c r="AB14" i="2"/>
  <c r="AA14" i="2"/>
  <c r="Z14" i="2"/>
  <c r="Y14" i="2"/>
  <c r="Q14" i="2"/>
  <c r="P14" i="2"/>
  <c r="O14" i="2"/>
  <c r="N14" i="2"/>
  <c r="M14" i="2"/>
  <c r="L14" i="2"/>
  <c r="K14" i="2"/>
  <c r="J14" i="2"/>
  <c r="I14" i="2"/>
  <c r="H14" i="2"/>
  <c r="AC13" i="2"/>
  <c r="AB13" i="2"/>
  <c r="AA13" i="2"/>
  <c r="Z13" i="2"/>
  <c r="Y13" i="2"/>
  <c r="Q13" i="2"/>
  <c r="P13" i="2"/>
  <c r="O13" i="2"/>
  <c r="N13" i="2"/>
  <c r="M13" i="2"/>
  <c r="L13" i="2"/>
  <c r="K13" i="2"/>
  <c r="J13" i="2"/>
  <c r="I13" i="2"/>
  <c r="H13" i="2"/>
  <c r="AC12" i="2"/>
  <c r="AB12" i="2"/>
  <c r="AA12" i="2"/>
  <c r="Z12" i="2"/>
  <c r="Y12" i="2"/>
  <c r="Q12" i="2"/>
  <c r="P12" i="2"/>
  <c r="O12" i="2"/>
  <c r="N12" i="2"/>
  <c r="M12" i="2"/>
  <c r="L12" i="2"/>
  <c r="K12" i="2"/>
  <c r="J12" i="2"/>
  <c r="I12" i="2"/>
  <c r="H12" i="2"/>
  <c r="AC11" i="2"/>
  <c r="AB11" i="2"/>
  <c r="AA11" i="2"/>
  <c r="Z11" i="2"/>
  <c r="Y11" i="2"/>
  <c r="Q11" i="2"/>
  <c r="P11" i="2"/>
  <c r="O11" i="2"/>
  <c r="N11" i="2"/>
  <c r="M11" i="2"/>
  <c r="L11" i="2"/>
  <c r="K11" i="2"/>
  <c r="J11" i="2"/>
  <c r="I11" i="2"/>
  <c r="H11" i="2"/>
  <c r="AC10" i="2"/>
  <c r="AB10" i="2"/>
  <c r="AA10" i="2"/>
  <c r="Z10" i="2"/>
  <c r="Y10" i="2"/>
  <c r="Q10" i="2"/>
  <c r="P10" i="2"/>
  <c r="O10" i="2"/>
  <c r="N10" i="2"/>
  <c r="M10" i="2"/>
  <c r="L10" i="2"/>
  <c r="K10" i="2"/>
  <c r="J10" i="2"/>
  <c r="I10" i="2"/>
  <c r="H10" i="2"/>
  <c r="AC9" i="2"/>
  <c r="AB9" i="2"/>
  <c r="AA9" i="2"/>
  <c r="Z9" i="2"/>
  <c r="Y9" i="2"/>
  <c r="AC8" i="2"/>
  <c r="AB8" i="2"/>
  <c r="AA8" i="2"/>
  <c r="Z8" i="2"/>
  <c r="Y8" i="2"/>
  <c r="Q8" i="2"/>
  <c r="P8" i="2"/>
  <c r="O8" i="2"/>
  <c r="N8" i="2"/>
  <c r="M8" i="2"/>
  <c r="L8" i="2"/>
  <c r="K8" i="2"/>
  <c r="J8" i="2"/>
  <c r="I8" i="2"/>
  <c r="H8" i="2"/>
  <c r="AC7" i="2"/>
  <c r="AB7" i="2"/>
  <c r="AA7" i="2"/>
  <c r="Z7" i="2"/>
  <c r="Y7" i="2"/>
  <c r="X7" i="2"/>
  <c r="Q7" i="2"/>
  <c r="P7" i="2"/>
  <c r="O7" i="2"/>
  <c r="N7" i="2"/>
  <c r="M7" i="2"/>
  <c r="L7" i="2"/>
  <c r="K7" i="2"/>
  <c r="J7" i="2"/>
  <c r="I7" i="2"/>
  <c r="H7" i="2"/>
  <c r="AC6" i="2"/>
  <c r="AB6" i="2"/>
  <c r="AA6" i="2"/>
  <c r="Z6" i="2"/>
  <c r="Y6" i="2"/>
  <c r="Q6" i="2"/>
  <c r="P6" i="2"/>
  <c r="O6" i="2"/>
  <c r="N6" i="2"/>
  <c r="M6" i="2"/>
  <c r="L6" i="2"/>
  <c r="K6" i="2"/>
  <c r="J6" i="2"/>
  <c r="I6" i="2"/>
  <c r="H6" i="2"/>
  <c r="AL118" i="1"/>
  <c r="AL117" i="1"/>
  <c r="AJ117" i="1"/>
  <c r="AN113" i="1"/>
  <c r="AN112" i="1"/>
  <c r="AP111" i="1"/>
  <c r="AN111" i="1"/>
  <c r="AN110" i="1"/>
  <c r="AN109" i="1"/>
  <c r="AP108" i="1"/>
  <c r="AN108" i="1"/>
  <c r="AN107" i="1"/>
  <c r="AN106" i="1"/>
  <c r="AP105" i="1"/>
  <c r="AN105" i="1"/>
  <c r="AN104" i="1"/>
  <c r="AN103" i="1"/>
  <c r="AP102" i="1"/>
  <c r="AN102" i="1"/>
  <c r="AN101" i="1"/>
  <c r="AN100" i="1"/>
  <c r="AP99" i="1"/>
  <c r="AN99" i="1"/>
  <c r="AN98" i="1"/>
  <c r="AN97" i="1"/>
  <c r="AP96" i="1"/>
  <c r="AN96" i="1"/>
  <c r="AN95" i="1"/>
  <c r="AN94" i="1"/>
  <c r="AP93" i="1"/>
  <c r="AN93" i="1"/>
  <c r="AN92" i="1"/>
  <c r="AN91" i="1"/>
  <c r="AP90" i="1"/>
  <c r="AN90" i="1"/>
  <c r="AN89" i="1"/>
  <c r="AN88" i="1"/>
  <c r="AP87" i="1"/>
  <c r="AN87" i="1"/>
  <c r="AN86" i="1"/>
  <c r="AN85" i="1"/>
  <c r="AP84" i="1"/>
  <c r="AN84" i="1"/>
  <c r="AN83" i="1"/>
  <c r="AN82" i="1"/>
  <c r="AP81" i="1"/>
  <c r="AN81" i="1"/>
  <c r="AN80" i="1"/>
  <c r="AV79" i="1"/>
  <c r="AN79" i="1"/>
  <c r="AV78" i="1"/>
  <c r="AP78" i="1"/>
  <c r="AN78" i="1"/>
  <c r="AV77" i="1"/>
  <c r="AN77" i="1"/>
  <c r="AV76" i="1"/>
  <c r="AN76" i="1"/>
  <c r="AV75" i="1"/>
  <c r="AP75" i="1"/>
  <c r="AN75" i="1"/>
  <c r="AV74" i="1"/>
  <c r="AN74" i="1"/>
  <c r="AI74" i="1"/>
  <c r="AV73" i="1"/>
  <c r="AN73" i="1"/>
  <c r="AI73" i="1"/>
  <c r="AV72" i="1"/>
  <c r="AP72" i="1"/>
  <c r="AN72" i="1"/>
  <c r="AI72" i="1"/>
  <c r="AV71" i="1"/>
  <c r="AN71" i="1"/>
  <c r="AI71" i="1"/>
  <c r="AV70" i="1"/>
  <c r="AN70" i="1"/>
  <c r="AI70" i="1"/>
  <c r="AV69" i="1"/>
  <c r="AP69" i="1"/>
  <c r="AN69" i="1"/>
  <c r="AI69" i="1"/>
  <c r="AV68" i="1"/>
  <c r="AN68" i="1"/>
  <c r="AI68" i="1"/>
  <c r="AV67" i="1"/>
  <c r="AN67" i="1"/>
  <c r="AI67" i="1"/>
  <c r="AV66" i="1"/>
  <c r="AP66" i="1"/>
  <c r="AN66" i="1"/>
  <c r="AI66" i="1"/>
  <c r="AV65" i="1"/>
  <c r="AN65" i="1"/>
  <c r="AI65" i="1"/>
  <c r="AV64" i="1"/>
  <c r="AN64" i="1"/>
  <c r="AI64" i="1"/>
  <c r="AV63" i="1"/>
  <c r="AP63" i="1"/>
  <c r="AN63" i="1"/>
  <c r="AV62" i="1"/>
  <c r="AL56" i="1"/>
  <c r="AL53" i="1" s="1"/>
  <c r="AK56" i="1"/>
  <c r="AK53" i="1" s="1"/>
  <c r="AN52" i="1"/>
  <c r="AO52" i="1" s="1"/>
  <c r="AI48" i="1"/>
  <c r="BA40" i="1"/>
  <c r="AZ40" i="1"/>
  <c r="AY40" i="1"/>
  <c r="AS40" i="1"/>
  <c r="AR40" i="1"/>
  <c r="AQ40" i="1"/>
  <c r="AP40" i="1"/>
  <c r="AN40" i="1"/>
  <c r="AM40" i="1"/>
  <c r="AL40" i="1"/>
  <c r="AK40" i="1"/>
  <c r="AJ40" i="1"/>
  <c r="AI40" i="1"/>
  <c r="AH40" i="1"/>
  <c r="AH43" i="1" s="1"/>
  <c r="Q40" i="1"/>
  <c r="P40" i="1"/>
  <c r="P43" i="1" s="1"/>
  <c r="O40" i="1"/>
  <c r="E40" i="1"/>
  <c r="D40" i="1"/>
  <c r="BK37" i="1"/>
  <c r="AV37" i="1"/>
  <c r="AG37" i="1" s="1"/>
  <c r="G35" i="2" s="1"/>
  <c r="AT37" i="1"/>
  <c r="AE37" i="1"/>
  <c r="F35" i="2" s="1"/>
  <c r="X34" i="2"/>
  <c r="BK36" i="1"/>
  <c r="BE36" i="1" s="1"/>
  <c r="AV36" i="1"/>
  <c r="AG36" i="1" s="1"/>
  <c r="G34" i="2" s="1"/>
  <c r="AT36" i="1"/>
  <c r="AE36" i="1"/>
  <c r="Z36" i="1"/>
  <c r="U36" i="1"/>
  <c r="J36" i="1"/>
  <c r="E34" i="2" s="1"/>
  <c r="F36" i="1"/>
  <c r="D34" i="2" s="1"/>
  <c r="B36" i="1"/>
  <c r="AV35" i="1"/>
  <c r="AG35" i="1" s="1"/>
  <c r="G33" i="2" s="1"/>
  <c r="AT35" i="1"/>
  <c r="AE35" i="1"/>
  <c r="Z35" i="1"/>
  <c r="U35" i="1"/>
  <c r="J35" i="1"/>
  <c r="E33" i="2" s="1"/>
  <c r="F35" i="1"/>
  <c r="D33" i="2" s="1"/>
  <c r="B35" i="1"/>
  <c r="C33" i="2" s="1"/>
  <c r="BK34" i="1"/>
  <c r="BE34" i="1" s="1"/>
  <c r="AV34" i="1"/>
  <c r="AG34" i="1" s="1"/>
  <c r="G32" i="2" s="1"/>
  <c r="AT34" i="1"/>
  <c r="AE34" i="1"/>
  <c r="Z34" i="1"/>
  <c r="U34" i="1"/>
  <c r="J34" i="1"/>
  <c r="E32" i="2" s="1"/>
  <c r="F34" i="1"/>
  <c r="B34" i="1"/>
  <c r="BK33" i="1"/>
  <c r="BE33" i="1" s="1"/>
  <c r="AV33" i="1"/>
  <c r="AG33" i="1" s="1"/>
  <c r="G31" i="2" s="1"/>
  <c r="AT33" i="1"/>
  <c r="AE33" i="1"/>
  <c r="Z33" i="1"/>
  <c r="U33" i="1"/>
  <c r="J33" i="1"/>
  <c r="F33" i="1"/>
  <c r="B33" i="1"/>
  <c r="C31" i="2" s="1"/>
  <c r="BK32" i="1"/>
  <c r="BE32" i="1" s="1"/>
  <c r="AV32" i="1"/>
  <c r="AG32" i="1" s="1"/>
  <c r="G30" i="2" s="1"/>
  <c r="AT32" i="1"/>
  <c r="AE32" i="1"/>
  <c r="Z32" i="1"/>
  <c r="U32" i="1"/>
  <c r="J32" i="1"/>
  <c r="E30" i="2" s="1"/>
  <c r="F32" i="1"/>
  <c r="B32" i="1"/>
  <c r="BK31" i="1"/>
  <c r="BE31" i="1" s="1"/>
  <c r="AV31" i="1"/>
  <c r="AG31" i="1" s="1"/>
  <c r="G29" i="2" s="1"/>
  <c r="AT31" i="1"/>
  <c r="AE31" i="1"/>
  <c r="Z31" i="1"/>
  <c r="U31" i="1"/>
  <c r="J31" i="1"/>
  <c r="F31" i="1"/>
  <c r="D29" i="2" s="1"/>
  <c r="B31" i="1"/>
  <c r="BK30" i="1"/>
  <c r="AV30" i="1"/>
  <c r="AG30" i="1" s="1"/>
  <c r="AT30" i="1"/>
  <c r="AE30" i="1"/>
  <c r="Z30" i="1"/>
  <c r="U30" i="1"/>
  <c r="J30" i="1"/>
  <c r="F30" i="1"/>
  <c r="D28" i="2" s="1"/>
  <c r="B30" i="1"/>
  <c r="C28" i="2" s="1"/>
  <c r="BK29" i="1"/>
  <c r="AV29" i="1"/>
  <c r="AT29" i="1"/>
  <c r="AE29" i="1"/>
  <c r="Z29" i="1"/>
  <c r="U29" i="1"/>
  <c r="J29" i="1"/>
  <c r="E27" i="2" s="1"/>
  <c r="F29" i="1"/>
  <c r="D27" i="2" s="1"/>
  <c r="B29" i="1"/>
  <c r="BK28" i="1"/>
  <c r="AV28" i="1"/>
  <c r="AG28" i="1" s="1"/>
  <c r="G26" i="2" s="1"/>
  <c r="AT28" i="1"/>
  <c r="AE28" i="1"/>
  <c r="Z28" i="1"/>
  <c r="U28" i="1"/>
  <c r="J28" i="1"/>
  <c r="F28" i="1"/>
  <c r="D26" i="2" s="1"/>
  <c r="B28" i="1"/>
  <c r="C26" i="2" s="1"/>
  <c r="X25" i="2"/>
  <c r="BK27" i="1"/>
  <c r="BE27" i="1" s="1"/>
  <c r="AV27" i="1"/>
  <c r="AG27" i="1" s="1"/>
  <c r="G25" i="2" s="1"/>
  <c r="AT27" i="1"/>
  <c r="AE27" i="1"/>
  <c r="Z27" i="1"/>
  <c r="U27" i="1"/>
  <c r="J27" i="1"/>
  <c r="E25" i="2" s="1"/>
  <c r="F27" i="1"/>
  <c r="D25" i="2" s="1"/>
  <c r="B27" i="1"/>
  <c r="X24" i="2"/>
  <c r="BK26" i="1"/>
  <c r="BE26" i="1" s="1"/>
  <c r="AV26" i="1"/>
  <c r="AG26" i="1" s="1"/>
  <c r="G24" i="2" s="1"/>
  <c r="AT26" i="1"/>
  <c r="AE26" i="1"/>
  <c r="Z26" i="1"/>
  <c r="U26" i="1"/>
  <c r="J26" i="1"/>
  <c r="F26" i="1"/>
  <c r="D24" i="2" s="1"/>
  <c r="B26" i="1"/>
  <c r="C24" i="2" s="1"/>
  <c r="X23" i="2"/>
  <c r="BK25" i="1"/>
  <c r="AV25" i="1"/>
  <c r="AG25" i="1" s="1"/>
  <c r="G23" i="2" s="1"/>
  <c r="AT25" i="1"/>
  <c r="AE25" i="1"/>
  <c r="Z25" i="1"/>
  <c r="U25" i="1"/>
  <c r="J25" i="1"/>
  <c r="E23" i="2" s="1"/>
  <c r="F25" i="1"/>
  <c r="B25" i="1"/>
  <c r="X22" i="2"/>
  <c r="BK24" i="1"/>
  <c r="BE24" i="1" s="1"/>
  <c r="AV24" i="1"/>
  <c r="AG24" i="1" s="1"/>
  <c r="G22" i="2" s="1"/>
  <c r="AT24" i="1"/>
  <c r="AE24" i="1"/>
  <c r="Z24" i="1"/>
  <c r="U24" i="1"/>
  <c r="J24" i="1"/>
  <c r="E22" i="2" s="1"/>
  <c r="F24" i="1"/>
  <c r="D22" i="2" s="1"/>
  <c r="B24" i="1"/>
  <c r="C22" i="2" s="1"/>
  <c r="X21" i="2"/>
  <c r="BK23" i="1"/>
  <c r="BE23" i="1" s="1"/>
  <c r="AV23" i="1"/>
  <c r="AG23" i="1" s="1"/>
  <c r="G21" i="2" s="1"/>
  <c r="AT23" i="1"/>
  <c r="AE23" i="1"/>
  <c r="Z23" i="1"/>
  <c r="U23" i="1"/>
  <c r="J23" i="1"/>
  <c r="E21" i="2" s="1"/>
  <c r="F23" i="1"/>
  <c r="D21" i="2" s="1"/>
  <c r="B23" i="1"/>
  <c r="C21" i="2" s="1"/>
  <c r="BK22" i="1"/>
  <c r="BE22" i="1" s="1"/>
  <c r="AV22" i="1"/>
  <c r="AG22" i="1" s="1"/>
  <c r="G20" i="2" s="1"/>
  <c r="AT22" i="1"/>
  <c r="AE22" i="1"/>
  <c r="Z22" i="1"/>
  <c r="U22" i="1"/>
  <c r="J22" i="1"/>
  <c r="E20" i="2" s="1"/>
  <c r="F22" i="1"/>
  <c r="D20" i="2" s="1"/>
  <c r="B22" i="1"/>
  <c r="C20" i="2" s="1"/>
  <c r="X19" i="2"/>
  <c r="BK21" i="1"/>
  <c r="AV21" i="1"/>
  <c r="AG21" i="1" s="1"/>
  <c r="G19" i="2" s="1"/>
  <c r="AT21" i="1"/>
  <c r="AE21" i="1"/>
  <c r="Z21" i="1"/>
  <c r="U21" i="1"/>
  <c r="J21" i="1"/>
  <c r="F21" i="1"/>
  <c r="B21" i="1"/>
  <c r="C19" i="2" s="1"/>
  <c r="BK20" i="1"/>
  <c r="BE20" i="1" s="1"/>
  <c r="AV20" i="1"/>
  <c r="AG20" i="1" s="1"/>
  <c r="G18" i="2" s="1"/>
  <c r="AT20" i="1"/>
  <c r="AE20" i="1"/>
  <c r="Z20" i="1"/>
  <c r="U20" i="1"/>
  <c r="J20" i="1"/>
  <c r="E18" i="2" s="1"/>
  <c r="F20" i="1"/>
  <c r="B20" i="1"/>
  <c r="X17" i="2"/>
  <c r="BK19" i="1"/>
  <c r="BE19" i="1" s="1"/>
  <c r="AV19" i="1"/>
  <c r="AG19" i="1" s="1"/>
  <c r="G17" i="2" s="1"/>
  <c r="AT19" i="1"/>
  <c r="AE19" i="1"/>
  <c r="Z19" i="1"/>
  <c r="U19" i="1"/>
  <c r="J19" i="1"/>
  <c r="E17" i="2" s="1"/>
  <c r="F19" i="1"/>
  <c r="D17" i="2" s="1"/>
  <c r="B19" i="1"/>
  <c r="C17" i="2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X16" i="2"/>
  <c r="BK18" i="1"/>
  <c r="AV18" i="1"/>
  <c r="AG18" i="1" s="1"/>
  <c r="AT18" i="1"/>
  <c r="AE18" i="1"/>
  <c r="Z18" i="1"/>
  <c r="U18" i="1"/>
  <c r="J18" i="1"/>
  <c r="F18" i="1"/>
  <c r="D16" i="2" s="1"/>
  <c r="B18" i="1"/>
  <c r="C16" i="2" s="1"/>
  <c r="X15" i="2"/>
  <c r="BK17" i="1"/>
  <c r="BE17" i="1" s="1"/>
  <c r="AV17" i="1"/>
  <c r="AG17" i="1" s="1"/>
  <c r="G15" i="2" s="1"/>
  <c r="AT17" i="1"/>
  <c r="AE17" i="1"/>
  <c r="Z17" i="1"/>
  <c r="U17" i="1"/>
  <c r="J17" i="1"/>
  <c r="E15" i="2" s="1"/>
  <c r="F17" i="1"/>
  <c r="D15" i="2" s="1"/>
  <c r="B17" i="1"/>
  <c r="X14" i="2"/>
  <c r="BK16" i="1"/>
  <c r="BE16" i="1" s="1"/>
  <c r="AV16" i="1"/>
  <c r="AG16" i="1" s="1"/>
  <c r="G14" i="2" s="1"/>
  <c r="AT16" i="1"/>
  <c r="AE16" i="1"/>
  <c r="Z16" i="1"/>
  <c r="U16" i="1"/>
  <c r="J16" i="1"/>
  <c r="F16" i="1"/>
  <c r="D14" i="2" s="1"/>
  <c r="B16" i="1"/>
  <c r="BK15" i="1"/>
  <c r="BE15" i="1" s="1"/>
  <c r="AV15" i="1"/>
  <c r="AG15" i="1" s="1"/>
  <c r="G13" i="2" s="1"/>
  <c r="AT15" i="1"/>
  <c r="AE15" i="1"/>
  <c r="Z15" i="1"/>
  <c r="U15" i="1"/>
  <c r="J15" i="1"/>
  <c r="E13" i="2" s="1"/>
  <c r="F15" i="1"/>
  <c r="D13" i="2" s="1"/>
  <c r="B15" i="1"/>
  <c r="X12" i="2"/>
  <c r="BK14" i="1"/>
  <c r="BE14" i="1" s="1"/>
  <c r="AV14" i="1"/>
  <c r="AG14" i="1" s="1"/>
  <c r="G12" i="2" s="1"/>
  <c r="AT14" i="1"/>
  <c r="AE14" i="1"/>
  <c r="Z14" i="1"/>
  <c r="U14" i="1"/>
  <c r="J14" i="1"/>
  <c r="F14" i="1"/>
  <c r="B14" i="1"/>
  <c r="C12" i="2" s="1"/>
  <c r="BK13" i="1"/>
  <c r="BE13" i="1" s="1"/>
  <c r="AV13" i="1"/>
  <c r="AG13" i="1" s="1"/>
  <c r="G11" i="2" s="1"/>
  <c r="AT13" i="1"/>
  <c r="AE13" i="1"/>
  <c r="Z13" i="1"/>
  <c r="U13" i="1"/>
  <c r="J13" i="1"/>
  <c r="E11" i="2" s="1"/>
  <c r="F13" i="1"/>
  <c r="B13" i="1"/>
  <c r="C11" i="2" s="1"/>
  <c r="X10" i="2"/>
  <c r="BK12" i="1"/>
  <c r="BE12" i="1" s="1"/>
  <c r="AV12" i="1"/>
  <c r="AG12" i="1" s="1"/>
  <c r="G10" i="2" s="1"/>
  <c r="AT12" i="1"/>
  <c r="AE12" i="1"/>
  <c r="Z12" i="1"/>
  <c r="U12" i="1"/>
  <c r="J12" i="1"/>
  <c r="E10" i="2" s="1"/>
  <c r="F12" i="1"/>
  <c r="D10" i="2" s="1"/>
  <c r="B12" i="1"/>
  <c r="C10" i="2" s="1"/>
  <c r="X9" i="2"/>
  <c r="BK11" i="1"/>
  <c r="AV11" i="1"/>
  <c r="AG11" i="1" s="1"/>
  <c r="AT11" i="1"/>
  <c r="AE11" i="1"/>
  <c r="Z11" i="1"/>
  <c r="U11" i="1"/>
  <c r="J11" i="1"/>
  <c r="E9" i="2" s="1"/>
  <c r="F11" i="1"/>
  <c r="D9" i="2" s="1"/>
  <c r="B11" i="1"/>
  <c r="C9" i="2" s="1"/>
  <c r="BK10" i="1"/>
  <c r="BE10" i="1" s="1"/>
  <c r="AV10" i="1"/>
  <c r="AG10" i="1" s="1"/>
  <c r="G8" i="2" s="1"/>
  <c r="AT10" i="1"/>
  <c r="AE10" i="1"/>
  <c r="Z10" i="1"/>
  <c r="U10" i="1"/>
  <c r="J10" i="1"/>
  <c r="F10" i="1"/>
  <c r="D8" i="2" s="1"/>
  <c r="B10" i="1"/>
  <c r="C8" i="2" s="1"/>
  <c r="BK9" i="1"/>
  <c r="AV9" i="1"/>
  <c r="AG9" i="1" s="1"/>
  <c r="AT9" i="1"/>
  <c r="AE9" i="1"/>
  <c r="Z9" i="1"/>
  <c r="U9" i="1"/>
  <c r="J9" i="1"/>
  <c r="F9" i="1"/>
  <c r="B9" i="1"/>
  <c r="A9" i="1"/>
  <c r="A10" i="1" s="1"/>
  <c r="A11" i="1" s="1"/>
  <c r="A12" i="1" s="1"/>
  <c r="A13" i="1" s="1"/>
  <c r="A14" i="1" s="1"/>
  <c r="A15" i="1" s="1"/>
  <c r="A16" i="1" s="1"/>
  <c r="A17" i="1" s="1"/>
  <c r="BE8" i="1"/>
  <c r="AG8" i="1"/>
  <c r="AT8" i="1"/>
  <c r="AE8" i="1"/>
  <c r="Z8" i="1"/>
  <c r="U8" i="1"/>
  <c r="J8" i="1"/>
  <c r="E6" i="2" s="1"/>
  <c r="F8" i="1"/>
  <c r="D6" i="2" s="1"/>
  <c r="B8" i="1"/>
  <c r="R29" i="2" l="1"/>
  <c r="AW30" i="1"/>
  <c r="G28" i="2"/>
  <c r="AW18" i="1"/>
  <c r="G16" i="2"/>
  <c r="R13" i="2"/>
  <c r="R14" i="2"/>
  <c r="R12" i="2"/>
  <c r="R11" i="2"/>
  <c r="AW11" i="1"/>
  <c r="G9" i="2"/>
  <c r="R10" i="2"/>
  <c r="R8" i="2"/>
  <c r="S35" i="2"/>
  <c r="T35" i="2" s="1"/>
  <c r="AG29" i="1"/>
  <c r="AF14" i="1"/>
  <c r="AF29" i="1"/>
  <c r="AF20" i="1"/>
  <c r="N15" i="1"/>
  <c r="AA12" i="1"/>
  <c r="AE29" i="2"/>
  <c r="AG29" i="2" s="1"/>
  <c r="AI29" i="2" s="1"/>
  <c r="N34" i="1"/>
  <c r="N17" i="1"/>
  <c r="AA19" i="1"/>
  <c r="V15" i="1"/>
  <c r="V9" i="1"/>
  <c r="AA13" i="1"/>
  <c r="AA15" i="1"/>
  <c r="AF26" i="1"/>
  <c r="AF28" i="1"/>
  <c r="AA8" i="1"/>
  <c r="F9" i="2"/>
  <c r="V16" i="1"/>
  <c r="AA21" i="1"/>
  <c r="N22" i="1"/>
  <c r="F26" i="2"/>
  <c r="N31" i="1"/>
  <c r="F30" i="2"/>
  <c r="AA34" i="1"/>
  <c r="BL23" i="1"/>
  <c r="AA29" i="1"/>
  <c r="AF37" i="1"/>
  <c r="F16" i="2"/>
  <c r="N10" i="1"/>
  <c r="V26" i="1"/>
  <c r="F25" i="2"/>
  <c r="AF9" i="1"/>
  <c r="V10" i="1"/>
  <c r="AA17" i="1"/>
  <c r="BL37" i="1"/>
  <c r="AA10" i="1"/>
  <c r="N24" i="1"/>
  <c r="AA26" i="1"/>
  <c r="V34" i="1"/>
  <c r="F12" i="2"/>
  <c r="AA24" i="1"/>
  <c r="AE24" i="2"/>
  <c r="AG24" i="2" s="1"/>
  <c r="AI24" i="2" s="1"/>
  <c r="AA20" i="1"/>
  <c r="F19" i="2"/>
  <c r="V22" i="1"/>
  <c r="N29" i="1"/>
  <c r="AA22" i="1"/>
  <c r="BL25" i="1"/>
  <c r="BL27" i="1"/>
  <c r="C29" i="2"/>
  <c r="AF31" i="1"/>
  <c r="AA11" i="1"/>
  <c r="AF15" i="1"/>
  <c r="BL22" i="1"/>
  <c r="AF32" i="1"/>
  <c r="AE14" i="2"/>
  <c r="AG14" i="2" s="1"/>
  <c r="AI14" i="2" s="1"/>
  <c r="D32" i="2"/>
  <c r="AE35" i="2"/>
  <c r="AG35" i="2" s="1"/>
  <c r="AI35" i="2" s="1"/>
  <c r="BL29" i="1"/>
  <c r="AF11" i="1"/>
  <c r="N12" i="1"/>
  <c r="BL18" i="1"/>
  <c r="V25" i="1"/>
  <c r="AF30" i="1"/>
  <c r="F29" i="2"/>
  <c r="BL35" i="1"/>
  <c r="AE40" i="1"/>
  <c r="AE43" i="1" s="1"/>
  <c r="AF36" i="1"/>
  <c r="AF17" i="1"/>
  <c r="BL28" i="1"/>
  <c r="AF34" i="1"/>
  <c r="N11" i="1"/>
  <c r="F10" i="2"/>
  <c r="AF13" i="1"/>
  <c r="AA25" i="1"/>
  <c r="V27" i="1"/>
  <c r="N30" i="1"/>
  <c r="AA31" i="1"/>
  <c r="AJ74" i="1"/>
  <c r="BL36" i="1"/>
  <c r="F27" i="2"/>
  <c r="F28" i="2"/>
  <c r="BL33" i="1"/>
  <c r="N36" i="1"/>
  <c r="AE33" i="2"/>
  <c r="AG33" i="2" s="1"/>
  <c r="AI33" i="2" s="1"/>
  <c r="B40" i="1"/>
  <c r="B43" i="1" s="1"/>
  <c r="AA9" i="1"/>
  <c r="F8" i="2"/>
  <c r="V20" i="1"/>
  <c r="AF21" i="1"/>
  <c r="F20" i="2"/>
  <c r="F21" i="2"/>
  <c r="F22" i="2"/>
  <c r="F23" i="2"/>
  <c r="F24" i="2"/>
  <c r="V29" i="1"/>
  <c r="BL32" i="1"/>
  <c r="AJ71" i="1"/>
  <c r="C15" i="2"/>
  <c r="AE25" i="2"/>
  <c r="AG25" i="2" s="1"/>
  <c r="AI25" i="2" s="1"/>
  <c r="AE27" i="2"/>
  <c r="AG27" i="2" s="1"/>
  <c r="AI27" i="2" s="1"/>
  <c r="U40" i="1"/>
  <c r="V41" i="1" s="1"/>
  <c r="AA16" i="1"/>
  <c r="AF18" i="1"/>
  <c r="AF19" i="1"/>
  <c r="AA33" i="1"/>
  <c r="F33" i="2"/>
  <c r="F34" i="2"/>
  <c r="AJ68" i="1"/>
  <c r="AE28" i="2"/>
  <c r="AG28" i="2" s="1"/>
  <c r="AI28" i="2" s="1"/>
  <c r="F6" i="2"/>
  <c r="AF10" i="1"/>
  <c r="AF16" i="1"/>
  <c r="F15" i="2"/>
  <c r="N18" i="1"/>
  <c r="N19" i="1"/>
  <c r="F18" i="2"/>
  <c r="AF25" i="1"/>
  <c r="AA27" i="1"/>
  <c r="V32" i="1"/>
  <c r="AF33" i="1"/>
  <c r="AE19" i="2"/>
  <c r="AG19" i="2" s="1"/>
  <c r="AI19" i="2" s="1"/>
  <c r="AE23" i="2"/>
  <c r="AG23" i="2" s="1"/>
  <c r="AI23" i="2" s="1"/>
  <c r="Z40" i="1"/>
  <c r="Z43" i="1" s="1"/>
  <c r="AA14" i="1"/>
  <c r="F13" i="2"/>
  <c r="F14" i="2"/>
  <c r="F17" i="2"/>
  <c r="AF22" i="1"/>
  <c r="AF24" i="1"/>
  <c r="AF27" i="1"/>
  <c r="AA32" i="1"/>
  <c r="V33" i="1"/>
  <c r="F32" i="2"/>
  <c r="AA36" i="1"/>
  <c r="E16" i="2"/>
  <c r="E26" i="2"/>
  <c r="BL8" i="1"/>
  <c r="AE16" i="2"/>
  <c r="AG16" i="2" s="1"/>
  <c r="AI16" i="2" s="1"/>
  <c r="AE7" i="2"/>
  <c r="AG7" i="2" s="1"/>
  <c r="AI7" i="2" s="1"/>
  <c r="AE10" i="2"/>
  <c r="AF10" i="2" s="1"/>
  <c r="AH10" i="2" s="1"/>
  <c r="BL21" i="1"/>
  <c r="N37" i="2"/>
  <c r="AE13" i="2"/>
  <c r="AG13" i="2" s="1"/>
  <c r="AI13" i="2" s="1"/>
  <c r="AB37" i="2"/>
  <c r="AI50" i="1"/>
  <c r="AI54" i="1" s="1"/>
  <c r="BL11" i="1"/>
  <c r="BL9" i="1"/>
  <c r="BL30" i="1"/>
  <c r="AE6" i="2"/>
  <c r="AG6" i="2" s="1"/>
  <c r="AI6" i="2" s="1"/>
  <c r="AE18" i="2"/>
  <c r="AG18" i="2" s="1"/>
  <c r="AI18" i="2" s="1"/>
  <c r="AA37" i="2"/>
  <c r="AE9" i="2"/>
  <c r="AG9" i="2" s="1"/>
  <c r="AI9" i="2" s="1"/>
  <c r="AE12" i="2"/>
  <c r="AG12" i="2" s="1"/>
  <c r="AI12" i="2" s="1"/>
  <c r="BE21" i="1"/>
  <c r="AC37" i="2"/>
  <c r="AE30" i="2"/>
  <c r="AF30" i="2" s="1"/>
  <c r="AH30" i="2" s="1"/>
  <c r="AE22" i="2"/>
  <c r="AG22" i="2" s="1"/>
  <c r="AI22" i="2" s="1"/>
  <c r="BL15" i="1"/>
  <c r="BL17" i="1"/>
  <c r="BL13" i="1"/>
  <c r="BL20" i="1"/>
  <c r="AE31" i="2"/>
  <c r="AF31" i="2" s="1"/>
  <c r="AH31" i="2" s="1"/>
  <c r="AE34" i="2"/>
  <c r="AG34" i="2" s="1"/>
  <c r="AI34" i="2" s="1"/>
  <c r="BL24" i="1"/>
  <c r="BE25" i="1"/>
  <c r="BE29" i="1"/>
  <c r="AE8" i="2"/>
  <c r="AG8" i="2" s="1"/>
  <c r="AI8" i="2" s="1"/>
  <c r="AE11" i="2"/>
  <c r="AG11" i="2" s="1"/>
  <c r="AI11" i="2" s="1"/>
  <c r="AE20" i="2"/>
  <c r="AG20" i="2" s="1"/>
  <c r="AI20" i="2" s="1"/>
  <c r="AE26" i="2"/>
  <c r="AG26" i="2" s="1"/>
  <c r="AI26" i="2" s="1"/>
  <c r="BL10" i="1"/>
  <c r="AE17" i="2"/>
  <c r="AG17" i="2" s="1"/>
  <c r="AI17" i="2" s="1"/>
  <c r="AE15" i="2"/>
  <c r="AF15" i="2" s="1"/>
  <c r="AH15" i="2" s="1"/>
  <c r="AE21" i="2"/>
  <c r="AG21" i="2" s="1"/>
  <c r="AI21" i="2" s="1"/>
  <c r="AE32" i="2"/>
  <c r="AG32" i="2" s="1"/>
  <c r="AI32" i="2" s="1"/>
  <c r="Z37" i="2"/>
  <c r="X20" i="2"/>
  <c r="X13" i="2"/>
  <c r="BL14" i="1"/>
  <c r="BL16" i="1"/>
  <c r="AW32" i="1"/>
  <c r="AW24" i="1"/>
  <c r="AW33" i="1"/>
  <c r="AW36" i="1"/>
  <c r="AW20" i="1"/>
  <c r="P37" i="2"/>
  <c r="Q37" i="2"/>
  <c r="R7" i="2"/>
  <c r="AT40" i="1"/>
  <c r="O37" i="2"/>
  <c r="J37" i="2"/>
  <c r="R6" i="2"/>
  <c r="I37" i="2"/>
  <c r="L37" i="2"/>
  <c r="M37" i="2"/>
  <c r="AW35" i="1"/>
  <c r="AW8" i="1"/>
  <c r="AG40" i="1"/>
  <c r="G6" i="2"/>
  <c r="AW26" i="1"/>
  <c r="AW27" i="1"/>
  <c r="AW28" i="1"/>
  <c r="AW31" i="1"/>
  <c r="AW12" i="1"/>
  <c r="AW16" i="1"/>
  <c r="G7" i="2"/>
  <c r="AW9" i="1"/>
  <c r="AW19" i="1"/>
  <c r="X32" i="2"/>
  <c r="BL34" i="1"/>
  <c r="AW14" i="1"/>
  <c r="AW13" i="1"/>
  <c r="AW23" i="1"/>
  <c r="AW21" i="1"/>
  <c r="BK45" i="1"/>
  <c r="X8" i="2"/>
  <c r="F11" i="2"/>
  <c r="C14" i="2"/>
  <c r="D31" i="2"/>
  <c r="Y37" i="2"/>
  <c r="N26" i="1"/>
  <c r="F40" i="1"/>
  <c r="K37" i="2"/>
  <c r="AF8" i="1"/>
  <c r="BE9" i="1"/>
  <c r="V12" i="1"/>
  <c r="N14" i="1"/>
  <c r="V19" i="1"/>
  <c r="N21" i="1"/>
  <c r="BL26" i="1"/>
  <c r="BE28" i="1"/>
  <c r="V31" i="1"/>
  <c r="N33" i="1"/>
  <c r="J40" i="1"/>
  <c r="AV40" i="1"/>
  <c r="BM45" i="1"/>
  <c r="D7" i="2"/>
  <c r="E14" i="2"/>
  <c r="X18" i="2"/>
  <c r="D19" i="2"/>
  <c r="E24" i="2"/>
  <c r="F31" i="2"/>
  <c r="C34" i="2"/>
  <c r="C7" i="2"/>
  <c r="E31" i="2"/>
  <c r="N9" i="1"/>
  <c r="N28" i="1"/>
  <c r="E7" i="2"/>
  <c r="X11" i="2"/>
  <c r="D12" i="2"/>
  <c r="E19" i="2"/>
  <c r="C27" i="2"/>
  <c r="E29" i="2"/>
  <c r="BL12" i="1"/>
  <c r="V17" i="1"/>
  <c r="V36" i="1"/>
  <c r="BE11" i="1"/>
  <c r="V14" i="1"/>
  <c r="N16" i="1"/>
  <c r="BE18" i="1"/>
  <c r="V21" i="1"/>
  <c r="N23" i="1"/>
  <c r="AW25" i="1"/>
  <c r="BE30" i="1"/>
  <c r="N35" i="1"/>
  <c r="F7" i="2"/>
  <c r="E12" i="2"/>
  <c r="C32" i="2"/>
  <c r="AF12" i="1"/>
  <c r="V23" i="1"/>
  <c r="N25" i="1"/>
  <c r="V35" i="1"/>
  <c r="C30" i="2"/>
  <c r="BL31" i="1"/>
  <c r="AW15" i="1"/>
  <c r="V18" i="1"/>
  <c r="N20" i="1"/>
  <c r="AW22" i="1"/>
  <c r="AA28" i="1"/>
  <c r="V30" i="1"/>
  <c r="N32" i="1"/>
  <c r="AW34" i="1"/>
  <c r="AW37" i="1"/>
  <c r="C13" i="2"/>
  <c r="C23" i="2"/>
  <c r="D30" i="2"/>
  <c r="V24" i="1"/>
  <c r="V28" i="1"/>
  <c r="C25" i="2"/>
  <c r="V11" i="1"/>
  <c r="N13" i="1"/>
  <c r="N8" i="1"/>
  <c r="AW10" i="1"/>
  <c r="AA23" i="1"/>
  <c r="N27" i="1"/>
  <c r="AA35" i="1"/>
  <c r="BE37" i="1"/>
  <c r="C6" i="2"/>
  <c r="E8" i="2"/>
  <c r="C18" i="2"/>
  <c r="D23" i="2"/>
  <c r="BL19" i="1"/>
  <c r="V13" i="1"/>
  <c r="AW17" i="1"/>
  <c r="AA18" i="1"/>
  <c r="AA30" i="1"/>
  <c r="D18" i="2"/>
  <c r="V8" i="1"/>
  <c r="AF23" i="1"/>
  <c r="AF35" i="1"/>
  <c r="D11" i="2"/>
  <c r="E28" i="2"/>
  <c r="H37" i="2"/>
  <c r="AW29" i="1" l="1"/>
  <c r="G27" i="2"/>
  <c r="S27" i="2" s="1"/>
  <c r="T27" i="2" s="1"/>
  <c r="S7" i="2"/>
  <c r="T7" i="2" s="1"/>
  <c r="AF29" i="2"/>
  <c r="AH29" i="2" s="1"/>
  <c r="S31" i="2"/>
  <c r="T31" i="2" s="1"/>
  <c r="S34" i="2"/>
  <c r="T34" i="2" s="1"/>
  <c r="S21" i="2"/>
  <c r="T21" i="2" s="1"/>
  <c r="S19" i="2"/>
  <c r="T19" i="2" s="1"/>
  <c r="S11" i="2"/>
  <c r="T11" i="2" s="1"/>
  <c r="S15" i="2"/>
  <c r="T15" i="2" s="1"/>
  <c r="S33" i="2"/>
  <c r="T33" i="2" s="1"/>
  <c r="S20" i="2"/>
  <c r="T20" i="2" s="1"/>
  <c r="S26" i="2"/>
  <c r="T26" i="2" s="1"/>
  <c r="S16" i="2"/>
  <c r="T16" i="2" s="1"/>
  <c r="S28" i="2"/>
  <c r="T28" i="2" s="1"/>
  <c r="S22" i="2"/>
  <c r="T22" i="2" s="1"/>
  <c r="S29" i="2"/>
  <c r="T29" i="2" s="1"/>
  <c r="S14" i="2"/>
  <c r="T14" i="2" s="1"/>
  <c r="S6" i="2"/>
  <c r="T6" i="2" s="1"/>
  <c r="U6" i="2"/>
  <c r="S8" i="2"/>
  <c r="T8" i="2" s="1"/>
  <c r="S12" i="2"/>
  <c r="T12" i="2" s="1"/>
  <c r="S17" i="2"/>
  <c r="T17" i="2" s="1"/>
  <c r="S10" i="2"/>
  <c r="T10" i="2" s="1"/>
  <c r="S9" i="2"/>
  <c r="T9" i="2" s="1"/>
  <c r="S32" i="2"/>
  <c r="T32" i="2" s="1"/>
  <c r="S13" i="2"/>
  <c r="T13" i="2" s="1"/>
  <c r="S24" i="2"/>
  <c r="T24" i="2" s="1"/>
  <c r="S25" i="2"/>
  <c r="T25" i="2" s="1"/>
  <c r="S30" i="2"/>
  <c r="T30" i="2" s="1"/>
  <c r="S18" i="2"/>
  <c r="T18" i="2" s="1"/>
  <c r="S23" i="2"/>
  <c r="T23" i="2" s="1"/>
  <c r="AF16" i="2"/>
  <c r="AH16" i="2" s="1"/>
  <c r="AF35" i="2"/>
  <c r="AH35" i="2" s="1"/>
  <c r="AF24" i="2"/>
  <c r="AH24" i="2" s="1"/>
  <c r="AG31" i="2"/>
  <c r="AI31" i="2" s="1"/>
  <c r="AF28" i="2"/>
  <c r="AH28" i="2" s="1"/>
  <c r="AF25" i="2"/>
  <c r="AH25" i="2" s="1"/>
  <c r="AF14" i="2"/>
  <c r="AH14" i="2" s="1"/>
  <c r="AF34" i="2"/>
  <c r="AH34" i="2" s="1"/>
  <c r="AF7" i="2"/>
  <c r="AH7" i="2" s="1"/>
  <c r="AF27" i="2"/>
  <c r="AH27" i="2" s="1"/>
  <c r="E37" i="2"/>
  <c r="AF23" i="2"/>
  <c r="AH23" i="2" s="1"/>
  <c r="D37" i="2"/>
  <c r="AF22" i="2"/>
  <c r="AH22" i="2" s="1"/>
  <c r="AF33" i="2"/>
  <c r="AH33" i="2" s="1"/>
  <c r="AF19" i="2"/>
  <c r="AH19" i="2" s="1"/>
  <c r="U43" i="1"/>
  <c r="AF32" i="2"/>
  <c r="AH32" i="2" s="1"/>
  <c r="AG30" i="2"/>
  <c r="AI30" i="2" s="1"/>
  <c r="V40" i="1"/>
  <c r="V43" i="1" s="1"/>
  <c r="AF13" i="2"/>
  <c r="AH13" i="2" s="1"/>
  <c r="AF17" i="2"/>
  <c r="AH17" i="2" s="1"/>
  <c r="AG10" i="2"/>
  <c r="AI10" i="2" s="1"/>
  <c r="AF6" i="2"/>
  <c r="AH6" i="2" s="1"/>
  <c r="AF18" i="2"/>
  <c r="AH18" i="2" s="1"/>
  <c r="AF11" i="2"/>
  <c r="AH11" i="2" s="1"/>
  <c r="AF12" i="2"/>
  <c r="AH12" i="2" s="1"/>
  <c r="AG15" i="2"/>
  <c r="AI15" i="2" s="1"/>
  <c r="AE37" i="2"/>
  <c r="AF9" i="2"/>
  <c r="AH9" i="2" s="1"/>
  <c r="AT41" i="1"/>
  <c r="AT44" i="1" s="1"/>
  <c r="R37" i="2"/>
  <c r="AV41" i="1"/>
  <c r="AF21" i="2"/>
  <c r="AH21" i="2" s="1"/>
  <c r="AF8" i="2"/>
  <c r="AH8" i="2" s="1"/>
  <c r="AF20" i="2"/>
  <c r="AH20" i="2" s="1"/>
  <c r="AF26" i="2"/>
  <c r="AH26" i="2" s="1"/>
  <c r="BL45" i="1"/>
  <c r="J43" i="1"/>
  <c r="AF40" i="1"/>
  <c r="AF43" i="1" s="1"/>
  <c r="F43" i="1"/>
  <c r="AA40" i="1"/>
  <c r="AA43" i="1" s="1"/>
  <c r="AA41" i="1"/>
  <c r="C37" i="2"/>
  <c r="G37" i="2"/>
  <c r="X37" i="2"/>
  <c r="N40" i="1"/>
  <c r="N43" i="1" s="1"/>
  <c r="F37" i="2"/>
  <c r="AT43" i="1"/>
  <c r="U7" i="2" l="1"/>
  <c r="V6" i="2"/>
  <c r="AI37" i="2"/>
  <c r="C38" i="2"/>
  <c r="C39" i="2" s="1"/>
  <c r="AH37" i="2"/>
  <c r="AF37" i="2"/>
  <c r="AG37" i="2"/>
  <c r="S37" i="2"/>
  <c r="V7" i="2" l="1"/>
  <c r="U8" i="2"/>
  <c r="T37" i="2"/>
  <c r="V8" i="2" l="1"/>
  <c r="U9" i="2"/>
  <c r="V9" i="2" l="1"/>
  <c r="U10" i="2"/>
  <c r="V10" i="2" l="1"/>
  <c r="U11" i="2"/>
  <c r="V11" i="2" l="1"/>
  <c r="U12" i="2"/>
  <c r="V12" i="2" l="1"/>
  <c r="U13" i="2"/>
  <c r="V13" i="2" l="1"/>
  <c r="U14" i="2"/>
  <c r="V14" i="2" l="1"/>
  <c r="U15" i="2"/>
  <c r="V15" i="2" l="1"/>
  <c r="U16" i="2"/>
  <c r="V16" i="2" l="1"/>
  <c r="U17" i="2"/>
  <c r="V17" i="2" l="1"/>
  <c r="U18" i="2"/>
  <c r="V18" i="2" l="1"/>
  <c r="U19" i="2"/>
  <c r="V19" i="2" l="1"/>
  <c r="U20" i="2"/>
  <c r="V20" i="2" l="1"/>
  <c r="U21" i="2"/>
  <c r="V21" i="2" l="1"/>
  <c r="U22" i="2"/>
  <c r="V22" i="2" l="1"/>
  <c r="U23" i="2"/>
  <c r="V23" i="2" l="1"/>
  <c r="U24" i="2"/>
  <c r="V24" i="2" l="1"/>
  <c r="U25" i="2"/>
  <c r="V25" i="2" l="1"/>
  <c r="U26" i="2"/>
  <c r="V26" i="2" l="1"/>
  <c r="U27" i="2"/>
  <c r="V27" i="2" l="1"/>
  <c r="U28" i="2"/>
  <c r="V28" i="2" l="1"/>
  <c r="U29" i="2"/>
  <c r="V29" i="2" l="1"/>
  <c r="U30" i="2"/>
  <c r="V30" i="2" l="1"/>
  <c r="U31" i="2"/>
  <c r="V31" i="2" l="1"/>
  <c r="U32" i="2"/>
  <c r="V32" i="2" l="1"/>
  <c r="U33" i="2"/>
  <c r="V33" i="2" l="1"/>
  <c r="U34" i="2"/>
  <c r="V34" i="2" l="1"/>
  <c r="U35" i="2"/>
  <c r="U37" i="2" s="1"/>
  <c r="V35" i="2" l="1"/>
  <c r="V37" i="2" s="1"/>
</calcChain>
</file>

<file path=xl/comments1.xml><?xml version="1.0" encoding="utf-8"?>
<comments xmlns="http://schemas.openxmlformats.org/spreadsheetml/2006/main">
  <authors>
    <author>Produksi-PM</author>
  </authors>
  <commentList>
    <comment ref="AI1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  <comment ref="AN28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  <comment ref="AN29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  <comment ref="AN30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  <comment ref="AN31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  <comment ref="AN32" authorId="0">
      <text>
        <r>
          <rPr>
            <b/>
            <sz val="9"/>
            <color indexed="81"/>
            <rFont val="Tahoma"/>
            <family val="2"/>
          </rPr>
          <t>Produksi-PM:</t>
        </r>
        <r>
          <rPr>
            <sz val="9"/>
            <color indexed="81"/>
            <rFont val="Tahoma"/>
            <family val="2"/>
          </rPr>
          <t xml:space="preserve">
Error</t>
        </r>
      </text>
    </comment>
  </commentList>
</comments>
</file>

<file path=xl/sharedStrings.xml><?xml version="1.0" encoding="utf-8"?>
<sst xmlns="http://schemas.openxmlformats.org/spreadsheetml/2006/main" count="174" uniqueCount="123">
  <si>
    <t>LAPORAN PEMAKAIAN BAHAN BAKAR DI BOILER DAN STEAM</t>
  </si>
  <si>
    <t>Juni</t>
  </si>
  <si>
    <t>B O I L E R 1</t>
  </si>
  <si>
    <t>B O I L E R 2</t>
  </si>
  <si>
    <t>B O I L E R 3</t>
  </si>
  <si>
    <t>Total</t>
  </si>
  <si>
    <t>Fresh</t>
  </si>
  <si>
    <t>S T E A M B O I L E R 1</t>
  </si>
  <si>
    <t xml:space="preserve">Effisiensi </t>
  </si>
  <si>
    <t>S T E A M B O I L E R 2</t>
  </si>
  <si>
    <t>S T E A M B O I L E R 3</t>
  </si>
  <si>
    <t>STEAM</t>
  </si>
  <si>
    <t>Steam ( ton )</t>
  </si>
  <si>
    <t>Totalizer</t>
  </si>
  <si>
    <t>Steam</t>
  </si>
  <si>
    <t>Fresh water</t>
  </si>
  <si>
    <t>Steam Sun Unit 2 (DCS)</t>
  </si>
  <si>
    <t>Tgl</t>
  </si>
  <si>
    <t>Batubara</t>
  </si>
  <si>
    <t>Water</t>
  </si>
  <si>
    <t>Bottom Ash/Fly Ash</t>
  </si>
  <si>
    <t>Shift</t>
  </si>
  <si>
    <t>Boiler 1</t>
  </si>
  <si>
    <t>Boiler 2</t>
  </si>
  <si>
    <t>Boiler 3</t>
  </si>
  <si>
    <t>SINERGY</t>
  </si>
  <si>
    <t>PM 11</t>
  </si>
  <si>
    <t>PM 12</t>
  </si>
  <si>
    <t>DIP(PM12)</t>
  </si>
  <si>
    <t>PM 14</t>
  </si>
  <si>
    <t>PM 15</t>
  </si>
  <si>
    <t>DIP(PM15)</t>
  </si>
  <si>
    <t>PM 16</t>
  </si>
  <si>
    <t>DIP(PM16)</t>
  </si>
  <si>
    <t>PM 17</t>
  </si>
  <si>
    <t>DIP(PM17)</t>
  </si>
  <si>
    <t>TOTAL</t>
  </si>
  <si>
    <t>Sinergy</t>
  </si>
  <si>
    <t>t/h</t>
  </si>
  <si>
    <t>DIP2</t>
  </si>
  <si>
    <t>SP</t>
  </si>
  <si>
    <t>Selisih SP-PM18-PM19</t>
  </si>
  <si>
    <t xml:space="preserve">PM 18 </t>
  </si>
  <si>
    <t>PM 19</t>
  </si>
  <si>
    <t>PM 20</t>
  </si>
  <si>
    <t>PM 21</t>
  </si>
  <si>
    <t>PM 22</t>
  </si>
  <si>
    <t>Total Konsumsi</t>
  </si>
  <si>
    <t>Selisih</t>
  </si>
  <si>
    <t>Totalizer (grup boiler)</t>
  </si>
  <si>
    <t>Shift 1</t>
  </si>
  <si>
    <t>Shift 2</t>
  </si>
  <si>
    <t>Shift 3</t>
  </si>
  <si>
    <t>B. Baru</t>
  </si>
  <si>
    <t>I</t>
  </si>
  <si>
    <t>II</t>
  </si>
  <si>
    <t>III</t>
  </si>
  <si>
    <t xml:space="preserve"> </t>
  </si>
  <si>
    <t>Average</t>
  </si>
  <si>
    <t>RATA-RATA</t>
  </si>
  <si>
    <t>STD BB / Ton steam = &lt; dr 200</t>
  </si>
  <si>
    <t>Data pemakaian steam :</t>
  </si>
  <si>
    <t>Flowmeter akhir</t>
  </si>
  <si>
    <t>Flowmeter awal</t>
  </si>
  <si>
    <t>Total pemakaian</t>
  </si>
  <si>
    <t>Pengurangan</t>
  </si>
  <si>
    <t>Konversi steam</t>
  </si>
  <si>
    <t>Total tagihan</t>
  </si>
  <si>
    <t>Rata rata bln Oktober</t>
  </si>
  <si>
    <t>F 10,3</t>
  </si>
  <si>
    <t>F 12</t>
  </si>
  <si>
    <t>MG 14</t>
  </si>
  <si>
    <t>MG 17</t>
  </si>
  <si>
    <t>DATA PEMAKAIAN STEAM PER HARI ( TPD )</t>
  </si>
  <si>
    <t>TGL</t>
  </si>
  <si>
    <t>TOTAL BATUBARA</t>
  </si>
  <si>
    <t xml:space="preserve">STEAM </t>
  </si>
  <si>
    <t>KOSUMSI STEAM PM 11</t>
  </si>
  <si>
    <t>KOSUMSI STEAM PM 12</t>
  </si>
  <si>
    <t>KOSUMSI STEAM PM 14</t>
  </si>
  <si>
    <t>KOSUMSI STEAM PM 15</t>
  </si>
  <si>
    <t>KOSUMSI STEAM PM 16</t>
  </si>
  <si>
    <t>KOSUMSI STEAM PM 17</t>
  </si>
  <si>
    <t>KOSUMSI  STEAM DIP-PM12</t>
  </si>
  <si>
    <t>KOSUMSI STEAM DIP-PM15</t>
  </si>
  <si>
    <t>KOSUMSI STEAM DIP-PM16</t>
  </si>
  <si>
    <t>KOSUMSI STEAM DIP-PM17</t>
  </si>
  <si>
    <t xml:space="preserve">TOTAL KOSUMSI STEAM </t>
  </si>
  <si>
    <t>Steam SIN-SUN 2</t>
  </si>
  <si>
    <t>Konsumsi</t>
  </si>
  <si>
    <t>Total konsumsi</t>
  </si>
  <si>
    <t>Percentage</t>
  </si>
  <si>
    <t>Total Boiler 1</t>
  </si>
  <si>
    <t>Total Boiler 2</t>
  </si>
  <si>
    <t>Total Boiler 3</t>
  </si>
  <si>
    <t>BOILER 1+2+3</t>
  </si>
  <si>
    <t>STEAM SINERGY</t>
  </si>
  <si>
    <t>SELISIH BOILER - PM</t>
  </si>
  <si>
    <t>PM18</t>
  </si>
  <si>
    <t>PM19</t>
  </si>
  <si>
    <t>PM20</t>
  </si>
  <si>
    <t>PM21</t>
  </si>
  <si>
    <t>PM22</t>
  </si>
  <si>
    <t>SIN-SUN2</t>
  </si>
  <si>
    <t>SP-SUN2</t>
  </si>
  <si>
    <t>TOTAL BB</t>
  </si>
  <si>
    <t>Eff</t>
  </si>
  <si>
    <t>KETERANGAN</t>
  </si>
  <si>
    <t>PM STOP</t>
  </si>
  <si>
    <t>% (TODAY)</t>
  </si>
  <si>
    <t>% (TODATE)</t>
  </si>
  <si>
    <t>TODAY</t>
  </si>
  <si>
    <t>TODATE</t>
  </si>
  <si>
    <t>Bulan : November 2025</t>
  </si>
  <si>
    <t>Bulan November</t>
  </si>
  <si>
    <t>PM 14 1440menit</t>
  </si>
  <si>
    <t>PM 14 1440menit, PM 15 415menit</t>
  </si>
  <si>
    <t>PM 14 1440menit, PM 16 901menit, Steam Yankee PM 12 Error</t>
  </si>
  <si>
    <t>PM 14 1440menit, PM 17 460menit</t>
  </si>
  <si>
    <t>PM 14 653menit</t>
  </si>
  <si>
    <t>PM 14 723menit</t>
  </si>
  <si>
    <t>Steam PM 16 Error</t>
  </si>
  <si>
    <t>Steam PM 16 Error &amp; stop 760menit, PM 12 470menit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</si>
</sst>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[$-409]mmmm\-yy;@"/>
    <numFmt numFmtId="165" formatCode="_(* #,##0_);_(* \(#,##0\);_(* &quot;-&quot;??_);_(@_)"/>
    <numFmt numFmtId="166" formatCode="_(* #,##0.00_);_(* \(#,##0.00\);_(* &quot;-&quot;??_);_(@_)"/>
    <numFmt numFmtId="167" formatCode="_(* #,##0.000_);_(* \(#,##0.000\);_(* &quot;-&quot;??_);_(@_)"/>
    <numFmt numFmtId="168" formatCode="_ * #,##0_ ;_ * \-#,##0_ ;_ * &quot;-&quot;??_ ;_ @_ "/>
    <numFmt numFmtId="169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43" fontId="12" fillId="0" borderId="0"/>
    <xf numFmtId="0" fontId="2" fillId="0" borderId="0"/>
  </cellStyleXfs>
  <cellXfs count="288">
    <xf numFmtId="0" fontId="0" fillId="0" borderId="0" xfId="0"/>
    <xf numFmtId="0" fontId="3" fillId="0" borderId="0" xfId="3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3" applyFont="1"/>
    <xf numFmtId="164" fontId="5" fillId="0" borderId="0" xfId="3" applyNumberFormat="1" applyFont="1"/>
    <xf numFmtId="17" fontId="5" fillId="0" borderId="0" xfId="3" applyNumberFormat="1" applyFont="1"/>
    <xf numFmtId="17" fontId="0" fillId="0" borderId="0" xfId="0" applyNumberFormat="1" applyAlignment="1">
      <alignment vertical="center"/>
    </xf>
    <xf numFmtId="0" fontId="6" fillId="0" borderId="0" xfId="3" applyFont="1"/>
    <xf numFmtId="0" fontId="6" fillId="0" borderId="1" xfId="3" applyFont="1" applyBorder="1" applyAlignment="1">
      <alignment horizontal="center"/>
    </xf>
    <xf numFmtId="0" fontId="9" fillId="4" borderId="2" xfId="3" applyFont="1" applyFill="1" applyBorder="1" applyAlignment="1">
      <alignment horizontal="center"/>
    </xf>
    <xf numFmtId="0" fontId="9" fillId="5" borderId="4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6" fillId="0" borderId="4" xfId="3" applyFont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0" borderId="9" xfId="4" applyFont="1" applyBorder="1" applyAlignment="1">
      <alignment horizontal="center" vertical="center"/>
    </xf>
    <xf numFmtId="0" fontId="6" fillId="5" borderId="6" xfId="4" applyFont="1" applyFill="1" applyBorder="1" applyAlignment="1">
      <alignment horizontal="center"/>
    </xf>
    <xf numFmtId="0" fontId="4" fillId="5" borderId="6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7" fillId="2" borderId="6" xfId="3" applyFont="1" applyFill="1" applyBorder="1" applyAlignment="1">
      <alignment horizontal="center"/>
    </xf>
    <xf numFmtId="0" fontId="6" fillId="6" borderId="4" xfId="3" applyFont="1" applyFill="1" applyBorder="1"/>
    <xf numFmtId="0" fontId="6" fillId="11" borderId="4" xfId="3" applyFont="1" applyFill="1" applyBorder="1"/>
    <xf numFmtId="0" fontId="6" fillId="12" borderId="4" xfId="3" applyFont="1" applyFill="1" applyBorder="1"/>
    <xf numFmtId="0" fontId="8" fillId="3" borderId="6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6" borderId="4" xfId="3" applyFont="1" applyFill="1" applyBorder="1" applyAlignment="1">
      <alignment horizontal="center"/>
    </xf>
    <xf numFmtId="0" fontId="6" fillId="7" borderId="4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9" borderId="4" xfId="3" applyFont="1" applyFill="1" applyBorder="1" applyAlignment="1">
      <alignment horizontal="center"/>
    </xf>
    <xf numFmtId="0" fontId="9" fillId="0" borderId="6" xfId="4" applyFont="1" applyBorder="1" applyAlignment="1">
      <alignment horizontal="center" vertical="center"/>
    </xf>
    <xf numFmtId="0" fontId="6" fillId="0" borderId="4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65" fontId="0" fillId="13" borderId="4" xfId="0" applyNumberFormat="1" applyFill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1" xfId="3" applyFont="1" applyBorder="1" applyAlignment="1">
      <alignment horizontal="center"/>
    </xf>
    <xf numFmtId="0" fontId="6" fillId="0" borderId="10" xfId="3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166" fontId="6" fillId="0" borderId="6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/>
    </xf>
    <xf numFmtId="0" fontId="6" fillId="0" borderId="6" xfId="4" applyFont="1" applyBorder="1"/>
    <xf numFmtId="0" fontId="4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165" fontId="0" fillId="0" borderId="4" xfId="0" applyNumberFormat="1" applyBorder="1" applyAlignment="1">
      <alignment vertical="center"/>
    </xf>
    <xf numFmtId="165" fontId="6" fillId="0" borderId="0" xfId="1" applyNumberFormat="1" applyFont="1"/>
    <xf numFmtId="0" fontId="0" fillId="13" borderId="4" xfId="0" applyFill="1" applyBorder="1" applyAlignment="1">
      <alignment vertical="center"/>
    </xf>
    <xf numFmtId="165" fontId="6" fillId="0" borderId="4" xfId="5" applyNumberFormat="1" applyFont="1" applyBorder="1" applyAlignment="1">
      <alignment horizontal="center"/>
    </xf>
    <xf numFmtId="165" fontId="6" fillId="13" borderId="6" xfId="5" applyNumberFormat="1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65" fontId="6" fillId="0" borderId="10" xfId="5" applyNumberFormat="1" applyFont="1" applyBorder="1" applyAlignment="1">
      <alignment horizontal="center"/>
    </xf>
    <xf numFmtId="165" fontId="6" fillId="0" borderId="10" xfId="3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6" xfId="1" applyFont="1" applyBorder="1" applyAlignment="1">
      <alignment horizontal="center"/>
    </xf>
    <xf numFmtId="166" fontId="6" fillId="0" borderId="4" xfId="6" applyFont="1" applyBorder="1">
      <alignment vertical="center"/>
    </xf>
    <xf numFmtId="166" fontId="6" fillId="0" borderId="4" xfId="6" applyFont="1" applyFill="1" applyBorder="1">
      <alignment vertical="center"/>
    </xf>
    <xf numFmtId="167" fontId="13" fillId="0" borderId="4" xfId="7" applyNumberFormat="1" applyFont="1" applyBorder="1" applyAlignment="1" applyProtection="1">
      <alignment vertical="justify" wrapText="1"/>
      <protection locked="0"/>
    </xf>
    <xf numFmtId="167" fontId="1" fillId="0" borderId="4" xfId="1" applyNumberFormat="1" applyFont="1" applyBorder="1" applyAlignment="1">
      <alignment vertical="center"/>
    </xf>
    <xf numFmtId="165" fontId="6" fillId="0" borderId="3" xfId="1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0" fontId="15" fillId="0" borderId="6" xfId="0" applyFont="1" applyBorder="1"/>
    <xf numFmtId="4" fontId="15" fillId="0" borderId="6" xfId="0" applyNumberFormat="1" applyFont="1" applyBorder="1"/>
    <xf numFmtId="4" fontId="2" fillId="0" borderId="6" xfId="8" applyNumberFormat="1" applyBorder="1" applyAlignment="1" applyProtection="1">
      <alignment vertical="justify" wrapText="1"/>
      <protection locked="0"/>
    </xf>
    <xf numFmtId="4" fontId="0" fillId="0" borderId="4" xfId="0" applyNumberFormat="1" applyBorder="1" applyAlignment="1">
      <alignment vertical="center"/>
    </xf>
    <xf numFmtId="165" fontId="6" fillId="13" borderId="4" xfId="5" applyNumberFormat="1" applyFont="1" applyFill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4" xfId="0" applyNumberFormat="1" applyBorder="1" applyAlignment="1" applyProtection="1">
      <alignment vertical="justify" wrapText="1"/>
      <protection locked="0"/>
    </xf>
    <xf numFmtId="0" fontId="6" fillId="13" borderId="4" xfId="3" applyFont="1" applyFill="1" applyBorder="1" applyAlignment="1">
      <alignment horizontal="center"/>
    </xf>
    <xf numFmtId="165" fontId="6" fillId="13" borderId="10" xfId="5" applyNumberFormat="1" applyFont="1" applyFill="1" applyBorder="1" applyAlignment="1">
      <alignment horizontal="center"/>
    </xf>
    <xf numFmtId="166" fontId="6" fillId="13" borderId="6" xfId="1" applyFont="1" applyFill="1" applyBorder="1" applyAlignment="1">
      <alignment horizontal="center"/>
    </xf>
    <xf numFmtId="166" fontId="6" fillId="13" borderId="4" xfId="6" applyFont="1" applyFill="1" applyBorder="1">
      <alignment vertical="center"/>
    </xf>
    <xf numFmtId="4" fontId="0" fillId="0" borderId="4" xfId="0" applyNumberFormat="1" applyBorder="1" applyAlignment="1" applyProtection="1">
      <alignment vertical="center" wrapText="1"/>
      <protection locked="0"/>
    </xf>
    <xf numFmtId="0" fontId="0" fillId="13" borderId="0" xfId="0" applyFill="1" applyAlignment="1">
      <alignment vertical="center"/>
    </xf>
    <xf numFmtId="165" fontId="10" fillId="13" borderId="11" xfId="5" applyNumberFormat="1" applyFont="1" applyFill="1" applyBorder="1" applyAlignment="1"/>
    <xf numFmtId="165" fontId="10" fillId="13" borderId="4" xfId="5" applyNumberFormat="1" applyFont="1" applyFill="1" applyBorder="1" applyAlignment="1"/>
    <xf numFmtId="165" fontId="10" fillId="13" borderId="11" xfId="5" applyNumberFormat="1" applyFont="1" applyFill="1" applyBorder="1" applyAlignment="1">
      <alignment horizontal="center"/>
    </xf>
    <xf numFmtId="165" fontId="10" fillId="13" borderId="4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165" fontId="6" fillId="0" borderId="4" xfId="3" applyNumberFormat="1" applyFont="1" applyBorder="1" applyAlignment="1">
      <alignment horizontal="center"/>
    </xf>
    <xf numFmtId="165" fontId="10" fillId="0" borderId="4" xfId="5" applyNumberFormat="1" applyFont="1" applyFill="1" applyBorder="1" applyAlignment="1">
      <alignment horizontal="center"/>
    </xf>
    <xf numFmtId="165" fontId="6" fillId="0" borderId="4" xfId="5" applyNumberFormat="1" applyFont="1" applyFill="1" applyBorder="1" applyAlignment="1">
      <alignment horizontal="center"/>
    </xf>
    <xf numFmtId="165" fontId="10" fillId="13" borderId="6" xfId="5" applyNumberFormat="1" applyFont="1" applyFill="1" applyBorder="1" applyAlignment="1">
      <alignment horizontal="center"/>
    </xf>
    <xf numFmtId="165" fontId="6" fillId="0" borderId="10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/>
    </xf>
    <xf numFmtId="167" fontId="1" fillId="0" borderId="4" xfId="1" applyNumberFormat="1" applyFont="1" applyBorder="1" applyAlignment="1" applyProtection="1">
      <alignment vertical="center" wrapText="1"/>
      <protection locked="0"/>
    </xf>
    <xf numFmtId="167" fontId="1" fillId="0" borderId="4" xfId="1" applyNumberFormat="1" applyFont="1" applyBorder="1" applyAlignment="1" applyProtection="1">
      <alignment vertical="justify" wrapText="1"/>
      <protection locked="0"/>
    </xf>
    <xf numFmtId="0" fontId="5" fillId="0" borderId="4" xfId="3" applyFont="1" applyBorder="1" applyAlignment="1">
      <alignment horizontal="center" vertical="center"/>
    </xf>
    <xf numFmtId="165" fontId="5" fillId="0" borderId="4" xfId="3" applyNumberFormat="1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166" fontId="9" fillId="13" borderId="4" xfId="1" applyFont="1" applyFill="1" applyBorder="1" applyAlignment="1">
      <alignment vertical="center"/>
    </xf>
    <xf numFmtId="166" fontId="6" fillId="0" borderId="4" xfId="6" applyFont="1" applyBorder="1" applyAlignment="1">
      <alignment horizontal="center" vertical="center"/>
    </xf>
    <xf numFmtId="166" fontId="9" fillId="13" borderId="4" xfId="6" applyFont="1" applyFill="1" applyBorder="1">
      <alignment vertical="center"/>
    </xf>
    <xf numFmtId="165" fontId="6" fillId="13" borderId="4" xfId="6" applyNumberFormat="1" applyFont="1" applyFill="1" applyBorder="1">
      <alignment vertical="center"/>
    </xf>
    <xf numFmtId="168" fontId="16" fillId="0" borderId="4" xfId="5" applyNumberFormat="1" applyFont="1" applyBorder="1" applyAlignment="1">
      <alignment horizontal="center" vertical="center"/>
    </xf>
    <xf numFmtId="167" fontId="1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9" fontId="16" fillId="0" borderId="4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9" fontId="6" fillId="0" borderId="2" xfId="4" applyNumberFormat="1" applyFont="1" applyBorder="1" applyAlignment="1">
      <alignment vertical="center"/>
    </xf>
    <xf numFmtId="169" fontId="6" fillId="0" borderId="2" xfId="4" applyNumberFormat="1" applyFont="1" applyBorder="1" applyAlignment="1">
      <alignment horizontal="center" vertical="center"/>
    </xf>
    <xf numFmtId="167" fontId="17" fillId="0" borderId="2" xfId="1" applyNumberFormat="1" applyFont="1" applyBorder="1" applyAlignment="1">
      <alignment vertical="center"/>
    </xf>
    <xf numFmtId="166" fontId="18" fillId="0" borderId="4" xfId="1" applyFont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5" fontId="6" fillId="0" borderId="0" xfId="3" applyNumberFormat="1" applyFont="1"/>
    <xf numFmtId="168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4" applyFont="1"/>
    <xf numFmtId="166" fontId="6" fillId="0" borderId="0" xfId="4" applyNumberFormat="1" applyFont="1"/>
    <xf numFmtId="166" fontId="10" fillId="0" borderId="0" xfId="4" applyNumberFormat="1" applyFont="1"/>
    <xf numFmtId="166" fontId="6" fillId="0" borderId="0" xfId="4" applyNumberFormat="1" applyFont="1" applyAlignment="1">
      <alignment horizontal="center"/>
    </xf>
    <xf numFmtId="166" fontId="6" fillId="0" borderId="0" xfId="1" applyFont="1"/>
    <xf numFmtId="166" fontId="4" fillId="0" borderId="0" xfId="1" applyFont="1"/>
    <xf numFmtId="166" fontId="10" fillId="0" borderId="0" xfId="1" applyFont="1"/>
    <xf numFmtId="166" fontId="7" fillId="0" borderId="0" xfId="1" applyFont="1"/>
    <xf numFmtId="166" fontId="1" fillId="0" borderId="4" xfId="1" applyFont="1" applyBorder="1" applyAlignment="1">
      <alignment vertical="center"/>
    </xf>
    <xf numFmtId="0" fontId="6" fillId="0" borderId="4" xfId="3" applyFont="1" applyBorder="1"/>
    <xf numFmtId="168" fontId="6" fillId="0" borderId="4" xfId="1" applyNumberFormat="1" applyFont="1" applyFill="1" applyBorder="1" applyAlignment="1">
      <alignment vertical="center"/>
    </xf>
    <xf numFmtId="166" fontId="6" fillId="0" borderId="4" xfId="4" applyNumberFormat="1" applyFont="1" applyBorder="1"/>
    <xf numFmtId="166" fontId="6" fillId="0" borderId="5" xfId="4" applyNumberFormat="1" applyFont="1" applyBorder="1" applyAlignment="1">
      <alignment horizontal="center" vertical="center"/>
    </xf>
    <xf numFmtId="166" fontId="4" fillId="0" borderId="4" xfId="4" applyNumberFormat="1" applyFont="1" applyBorder="1"/>
    <xf numFmtId="0" fontId="7" fillId="0" borderId="4" xfId="4" applyFont="1" applyBorder="1"/>
    <xf numFmtId="166" fontId="10" fillId="0" borderId="1" xfId="4" applyNumberFormat="1" applyFont="1" applyBorder="1"/>
    <xf numFmtId="0" fontId="7" fillId="0" borderId="1" xfId="4" applyFont="1" applyBorder="1"/>
    <xf numFmtId="10" fontId="6" fillId="0" borderId="4" xfId="2" applyNumberFormat="1" applyFont="1" applyFill="1" applyBorder="1" applyAlignment="1">
      <alignment vertical="center"/>
    </xf>
    <xf numFmtId="9" fontId="6" fillId="0" borderId="4" xfId="2" applyFont="1" applyFill="1" applyBorder="1" applyAlignment="1">
      <alignment vertical="center"/>
    </xf>
    <xf numFmtId="0" fontId="6" fillId="0" borderId="4" xfId="4" applyFont="1" applyBorder="1"/>
    <xf numFmtId="166" fontId="6" fillId="0" borderId="9" xfId="4" applyNumberFormat="1" applyFont="1" applyBorder="1" applyAlignment="1">
      <alignment horizontal="center" vertical="center"/>
    </xf>
    <xf numFmtId="0" fontId="4" fillId="0" borderId="4" xfId="4" applyFont="1" applyBorder="1"/>
    <xf numFmtId="0" fontId="6" fillId="0" borderId="1" xfId="4" applyFont="1" applyBorder="1"/>
    <xf numFmtId="0" fontId="6" fillId="0" borderId="0" xfId="4" applyFont="1" applyAlignment="1">
      <alignment horizontal="center"/>
    </xf>
    <xf numFmtId="0" fontId="4" fillId="0" borderId="0" xfId="4" applyFont="1"/>
    <xf numFmtId="0" fontId="9" fillId="0" borderId="0" xfId="4" applyFont="1"/>
    <xf numFmtId="166" fontId="9" fillId="0" borderId="0" xfId="4" applyNumberFormat="1" applyFont="1"/>
    <xf numFmtId="165" fontId="4" fillId="0" borderId="0" xfId="4" applyNumberFormat="1" applyFont="1"/>
    <xf numFmtId="166" fontId="0" fillId="0" borderId="0" xfId="0" applyNumberFormat="1" applyAlignment="1">
      <alignment vertical="center"/>
    </xf>
    <xf numFmtId="165" fontId="19" fillId="0" borderId="0" xfId="4" applyNumberFormat="1" applyFont="1"/>
    <xf numFmtId="167" fontId="1" fillId="0" borderId="0" xfId="1" applyNumberFormat="1" applyFont="1" applyBorder="1" applyAlignment="1" applyProtection="1">
      <alignment vertical="justify" wrapText="1"/>
      <protection locked="0"/>
    </xf>
    <xf numFmtId="167" fontId="1" fillId="0" borderId="0" xfId="1" applyNumberFormat="1" applyFont="1" applyBorder="1" applyAlignment="1" applyProtection="1">
      <alignment vertical="center" wrapText="1"/>
      <protection locked="0"/>
    </xf>
    <xf numFmtId="165" fontId="1" fillId="0" borderId="12" xfId="1" applyNumberFormat="1" applyFont="1" applyBorder="1" applyAlignment="1" applyProtection="1">
      <alignment vertical="justify" wrapText="1"/>
      <protection locked="0"/>
    </xf>
    <xf numFmtId="165" fontId="19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1" fillId="0" borderId="12" xfId="1" applyFont="1" applyBorder="1" applyAlignment="1">
      <alignment vertical="center"/>
    </xf>
    <xf numFmtId="165" fontId="6" fillId="0" borderId="0" xfId="5" applyNumberFormat="1" applyFont="1">
      <alignment vertical="center"/>
    </xf>
    <xf numFmtId="0" fontId="0" fillId="14" borderId="0" xfId="0" applyFill="1" applyAlignment="1">
      <alignment vertical="center"/>
    </xf>
    <xf numFmtId="165" fontId="5" fillId="0" borderId="0" xfId="5" applyNumberFormat="1" applyFont="1">
      <alignment vertical="center"/>
    </xf>
    <xf numFmtId="0" fontId="7" fillId="0" borderId="0" xfId="0" applyFont="1" applyAlignment="1">
      <alignment vertical="center"/>
    </xf>
    <xf numFmtId="166" fontId="0" fillId="0" borderId="3" xfId="0" applyNumberFormat="1" applyBorder="1" applyAlignment="1">
      <alignment vertical="center"/>
    </xf>
    <xf numFmtId="16" fontId="0" fillId="0" borderId="4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16" fontId="0" fillId="0" borderId="4" xfId="0" applyNumberFormat="1" applyBorder="1" applyAlignment="1">
      <alignment horizontal="center" vertical="center"/>
    </xf>
    <xf numFmtId="166" fontId="19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wrapText="1"/>
    </xf>
    <xf numFmtId="166" fontId="1" fillId="0" borderId="4" xfId="1" applyFont="1" applyFill="1" applyBorder="1" applyAlignment="1">
      <alignment vertical="center"/>
    </xf>
    <xf numFmtId="166" fontId="1" fillId="0" borderId="4" xfId="1" applyFont="1" applyFill="1" applyBorder="1"/>
    <xf numFmtId="166" fontId="15" fillId="0" borderId="4" xfId="1" applyFont="1" applyFill="1" applyBorder="1" applyAlignment="1" applyProtection="1">
      <alignment vertical="justify" wrapText="1"/>
      <protection locked="0"/>
    </xf>
    <xf numFmtId="166" fontId="15" fillId="0" borderId="4" xfId="1" applyFont="1" applyBorder="1" applyAlignment="1" applyProtection="1">
      <alignment vertical="justify" wrapText="1"/>
      <protection locked="0"/>
    </xf>
    <xf numFmtId="10" fontId="19" fillId="0" borderId="4" xfId="2" applyNumberFormat="1" applyFont="1" applyFill="1" applyBorder="1"/>
    <xf numFmtId="4" fontId="0" fillId="0" borderId="4" xfId="0" applyNumberFormat="1" applyBorder="1"/>
    <xf numFmtId="9" fontId="0" fillId="0" borderId="4" xfId="0" applyNumberFormat="1" applyBorder="1"/>
    <xf numFmtId="0" fontId="0" fillId="13" borderId="0" xfId="0" applyFill="1"/>
    <xf numFmtId="166" fontId="20" fillId="0" borderId="4" xfId="1" applyFont="1" applyBorder="1" applyAlignment="1">
      <alignment horizontal="center" vertical="center" wrapText="1"/>
    </xf>
    <xf numFmtId="166" fontId="20" fillId="0" borderId="4" xfId="1" applyFont="1" applyBorder="1" applyAlignment="1">
      <alignment vertical="center"/>
    </xf>
    <xf numFmtId="166" fontId="20" fillId="0" borderId="4" xfId="1" applyFont="1" applyBorder="1" applyAlignment="1">
      <alignment horizontal="center" vertical="center"/>
    </xf>
    <xf numFmtId="168" fontId="0" fillId="0" borderId="0" xfId="0" applyNumberFormat="1" applyAlignment="1">
      <alignment wrapText="1"/>
    </xf>
    <xf numFmtId="166" fontId="1" fillId="0" borderId="0" xfId="1" applyFont="1"/>
    <xf numFmtId="166" fontId="1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1" applyNumberFormat="1" applyFont="1" applyAlignment="1">
      <alignment wrapText="1"/>
    </xf>
    <xf numFmtId="166" fontId="19" fillId="0" borderId="0" xfId="1" applyFont="1" applyAlignment="1">
      <alignment vertical="center"/>
    </xf>
    <xf numFmtId="166" fontId="0" fillId="0" borderId="0" xfId="0" applyNumberFormat="1"/>
    <xf numFmtId="0" fontId="0" fillId="14" borderId="4" xfId="0" applyFill="1" applyBorder="1" applyAlignment="1">
      <alignment horizontal="center"/>
    </xf>
    <xf numFmtId="0" fontId="0" fillId="14" borderId="4" xfId="0" applyFill="1" applyBorder="1" applyAlignment="1">
      <alignment horizontal="center" vertical="center"/>
    </xf>
    <xf numFmtId="14" fontId="0" fillId="0" borderId="4" xfId="0" applyNumberFormat="1" applyBorder="1" applyAlignment="1">
      <alignment horizontal="center"/>
    </xf>
    <xf numFmtId="4" fontId="0" fillId="0" borderId="6" xfId="0" applyNumberFormat="1" applyBorder="1"/>
    <xf numFmtId="0" fontId="19" fillId="0" borderId="4" xfId="0" applyFont="1" applyBorder="1" applyAlignment="1">
      <alignment horizontal="center" vertical="center" wrapText="1"/>
    </xf>
    <xf numFmtId="166" fontId="0" fillId="0" borderId="0" xfId="0" applyNumberFormat="1" applyAlignment="1">
      <alignment horizontal="left"/>
    </xf>
    <xf numFmtId="10" fontId="20" fillId="15" borderId="4" xfId="2" applyNumberFormat="1" applyFont="1" applyFill="1" applyBorder="1" applyAlignment="1">
      <alignment horizontal="center" vertical="center"/>
    </xf>
    <xf numFmtId="14" fontId="0" fillId="14" borderId="4" xfId="0" applyNumberFormat="1" applyFill="1" applyBorder="1" applyAlignment="1">
      <alignment horizontal="center"/>
    </xf>
    <xf numFmtId="14" fontId="0" fillId="10" borderId="4" xfId="0" applyNumberFormat="1" applyFill="1" applyBorder="1" applyAlignment="1">
      <alignment horizontal="center"/>
    </xf>
    <xf numFmtId="167" fontId="13" fillId="14" borderId="4" xfId="7" applyNumberFormat="1" applyFont="1" applyFill="1" applyBorder="1" applyAlignment="1" applyProtection="1">
      <alignment vertical="justify" wrapText="1"/>
      <protection locked="0"/>
    </xf>
    <xf numFmtId="14" fontId="0" fillId="16" borderId="4" xfId="0" applyNumberFormat="1" applyFill="1" applyBorder="1" applyAlignment="1">
      <alignment horizontal="center"/>
    </xf>
    <xf numFmtId="0" fontId="0" fillId="14" borderId="4" xfId="0" applyFill="1" applyBorder="1" applyAlignment="1">
      <alignment vertical="center"/>
    </xf>
    <xf numFmtId="165" fontId="0" fillId="14" borderId="4" xfId="0" applyNumberFormat="1" applyFill="1" applyBorder="1" applyAlignment="1">
      <alignment vertical="center"/>
    </xf>
    <xf numFmtId="165" fontId="6" fillId="14" borderId="4" xfId="1" applyNumberFormat="1" applyFont="1" applyFill="1" applyBorder="1" applyAlignment="1">
      <alignment vertical="center"/>
    </xf>
    <xf numFmtId="165" fontId="1" fillId="14" borderId="4" xfId="1" applyNumberFormat="1" applyFont="1" applyFill="1" applyBorder="1" applyAlignment="1">
      <alignment vertical="center"/>
    </xf>
    <xf numFmtId="166" fontId="0" fillId="0" borderId="5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166" fontId="6" fillId="0" borderId="9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8" borderId="5" xfId="4" applyFont="1" applyFill="1" applyBorder="1" applyAlignment="1">
      <alignment horizontal="center" vertical="center"/>
    </xf>
    <xf numFmtId="0" fontId="6" fillId="8" borderId="6" xfId="4" applyFont="1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/>
    </xf>
    <xf numFmtId="0" fontId="6" fillId="9" borderId="2" xfId="3" applyFont="1" applyFill="1" applyBorder="1" applyAlignment="1">
      <alignment horizontal="center"/>
    </xf>
    <xf numFmtId="0" fontId="6" fillId="9" borderId="3" xfId="3" applyFont="1" applyFill="1" applyBorder="1" applyAlignment="1">
      <alignment horizontal="center"/>
    </xf>
    <xf numFmtId="0" fontId="6" fillId="9" borderId="5" xfId="4" applyFont="1" applyFill="1" applyBorder="1" applyAlignment="1">
      <alignment horizontal="center" vertical="center"/>
    </xf>
    <xf numFmtId="0" fontId="6" fillId="9" borderId="6" xfId="4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168" fontId="6" fillId="0" borderId="5" xfId="1" applyNumberFormat="1" applyFont="1" applyFill="1" applyBorder="1" applyAlignment="1">
      <alignment horizontal="center" vertical="center"/>
    </xf>
    <xf numFmtId="168" fontId="6" fillId="0" borderId="9" xfId="1" applyNumberFormat="1" applyFont="1" applyFill="1" applyBorder="1" applyAlignment="1">
      <alignment horizontal="center" vertical="center"/>
    </xf>
    <xf numFmtId="168" fontId="6" fillId="0" borderId="6" xfId="1" applyNumberFormat="1" applyFont="1" applyFill="1" applyBorder="1" applyAlignment="1">
      <alignment horizontal="center" vertical="center"/>
    </xf>
    <xf numFmtId="9" fontId="6" fillId="0" borderId="5" xfId="2" applyFont="1" applyFill="1" applyBorder="1" applyAlignment="1">
      <alignment horizontal="center" vertical="center"/>
    </xf>
    <xf numFmtId="9" fontId="6" fillId="0" borderId="9" xfId="2" applyFont="1" applyFill="1" applyBorder="1" applyAlignment="1">
      <alignment horizontal="center" vertical="center"/>
    </xf>
    <xf numFmtId="9" fontId="6" fillId="0" borderId="6" xfId="2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/>
    </xf>
    <xf numFmtId="0" fontId="6" fillId="7" borderId="2" xfId="3" applyFont="1" applyFill="1" applyBorder="1" applyAlignment="1">
      <alignment horizontal="center"/>
    </xf>
    <xf numFmtId="0" fontId="6" fillId="7" borderId="3" xfId="3" applyFont="1" applyFill="1" applyBorder="1" applyAlignment="1">
      <alignment horizontal="center"/>
    </xf>
    <xf numFmtId="0" fontId="6" fillId="7" borderId="5" xfId="4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center"/>
    </xf>
    <xf numFmtId="0" fontId="6" fillId="8" borderId="2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6" fillId="5" borderId="1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</cellXfs>
  <cellStyles count="9">
    <cellStyle name="Comma" xfId="1" builtinId="3"/>
    <cellStyle name="Comma 2 4 5 2" xfId="7"/>
    <cellStyle name="Comma_Sheet1" xfId="5"/>
    <cellStyle name="Comma_Sheet1_1" xfId="6"/>
    <cellStyle name="Normal" xfId="0" builtinId="0"/>
    <cellStyle name="Normal 6" xfId="8"/>
    <cellStyle name="Normal_Sheet1" xfId="3"/>
    <cellStyle name="Normal_Sheet1_1" xfId="4"/>
    <cellStyle name="Percent" xfId="2" builtinId="5"/>
  </cellStyles>
  <dxfs count="0"/>
  <tableStyles count="0" defaultTableStyle="TableStyleMedium2" defaultPivotStyle="PivotStyleLight16"/>
  <colors>
    <mruColors>
      <color rgb="FFFF99CC"/>
      <color rgb="FFFF66CC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Steam!$H$4</c:f>
              <c:strCache>
                <c:ptCount val="1"/>
                <c:pt idx="0">
                  <c:v>KOSUMSI STEAM PM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Steam!$H$6:$H$31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DC-4164-9A8E-679E12C48B3D}"/>
            </c:ext>
          </c:extLst>
        </c:ser>
        <c:ser>
          <c:idx val="1"/>
          <c:order val="1"/>
          <c:tx>
            <c:strRef>
              <c:f>Steam!$I$4</c:f>
              <c:strCache>
                <c:ptCount val="1"/>
                <c:pt idx="0">
                  <c:v>KOSUMSI STEAM PM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Steam!$I$6:$I$31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DC-4164-9A8E-679E12C48B3D}"/>
            </c:ext>
          </c:extLst>
        </c:ser>
        <c:ser>
          <c:idx val="2"/>
          <c:order val="2"/>
          <c:tx>
            <c:strRef>
              <c:f>Steam!$J$4</c:f>
              <c:strCache>
                <c:ptCount val="1"/>
                <c:pt idx="0">
                  <c:v>KOSUMSI STEAM PM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Steam!$J$6:$J$31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0DC-4164-9A8E-679E12C48B3D}"/>
            </c:ext>
          </c:extLst>
        </c:ser>
        <c:ser>
          <c:idx val="3"/>
          <c:order val="3"/>
          <c:tx>
            <c:strRef>
              <c:f>Steam!$K$4</c:f>
              <c:strCache>
                <c:ptCount val="1"/>
                <c:pt idx="0">
                  <c:v>KOSUMSI STEAM PM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Steam!$K$6:$K$31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DC-4164-9A8E-679E12C48B3D}"/>
            </c:ext>
          </c:extLst>
        </c:ser>
        <c:ser>
          <c:idx val="4"/>
          <c:order val="4"/>
          <c:tx>
            <c:strRef>
              <c:f>Steam!$L$4</c:f>
              <c:strCache>
                <c:ptCount val="1"/>
                <c:pt idx="0">
                  <c:v>KOSUMSI STEAM PM 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Steam!$L$6:$L$31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DC-4164-9A8E-679E12C48B3D}"/>
            </c:ext>
          </c:extLst>
        </c:ser>
        <c:ser>
          <c:idx val="5"/>
          <c:order val="5"/>
          <c:tx>
            <c:strRef>
              <c:f>Steam!$M$4</c:f>
              <c:strCache>
                <c:ptCount val="1"/>
                <c:pt idx="0">
                  <c:v>KOSUMSI STEAM PM 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Steam!$M$6:$M$31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DC-4164-9A8E-679E12C48B3D}"/>
            </c:ext>
          </c:extLst>
        </c:ser>
        <c:ser>
          <c:idx val="6"/>
          <c:order val="6"/>
          <c:tx>
            <c:strRef>
              <c:f>Steam!$N$4</c:f>
              <c:strCache>
                <c:ptCount val="1"/>
                <c:pt idx="0">
                  <c:v>KOSUMSI  STEAM DIP-PM12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Steam!$N$6:$N$31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0DC-4164-9A8E-679E12C4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19104"/>
        <c:axId val="155920640"/>
      </c:lineChart>
      <c:catAx>
        <c:axId val="15591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0640"/>
        <c:crosses val="autoZero"/>
        <c:auto val="1"/>
        <c:lblAlgn val="ctr"/>
        <c:lblOffset val="100"/>
        <c:noMultiLvlLbl val="0"/>
      </c:catAx>
      <c:valAx>
        <c:axId val="15592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1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% (SELISIH - BOILER)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Lit>
              <c:formatCode>General</c:formatCode>
              <c:ptCount val="2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</c:numLit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C-4099-A892-BE59FE6C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381696"/>
        <c:axId val="150383616"/>
      </c:lineChart>
      <c:catAx>
        <c:axId val="150381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3616"/>
        <c:crosses val="autoZero"/>
        <c:auto val="1"/>
        <c:lblAlgn val="ctr"/>
        <c:lblOffset val="100"/>
        <c:noMultiLvlLbl val="0"/>
      </c:catAx>
      <c:valAx>
        <c:axId val="15038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8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750792</xdr:colOff>
      <xdr:row>40</xdr:row>
      <xdr:rowOff>134477</xdr:rowOff>
    </xdr:from>
    <xdr:to>
      <xdr:col>16</xdr:col>
      <xdr:colOff>414618</xdr:colOff>
      <xdr:row>58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235324</xdr:colOff>
      <xdr:row>40</xdr:row>
      <xdr:rowOff>123264</xdr:rowOff>
    </xdr:from>
    <xdr:to>
      <xdr:col>25</xdr:col>
      <xdr:colOff>78443</xdr:colOff>
      <xdr:row>58</xdr:row>
      <xdr:rowOff>123257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10.%20OKTOBER\10.%20Batubara%20Steam%20Okt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03.%20Steam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duksi%20PM%2018\11.%20November\02.%20Steam%20PM%20SUN%20unit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8">
          <cell r="AU38">
            <v>19189</v>
          </cell>
          <cell r="BN38">
            <v>104425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GT"/>
      <sheetName val="SEPT"/>
      <sheetName val="OKT"/>
      <sheetName val="N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152.922</v>
          </cell>
          <cell r="C2">
            <v>127.483</v>
          </cell>
          <cell r="D2">
            <v>12.8</v>
          </cell>
          <cell r="E2">
            <v>25.3</v>
          </cell>
          <cell r="F2">
            <v>62.9</v>
          </cell>
          <cell r="G2">
            <v>7.9</v>
          </cell>
          <cell r="H2">
            <v>137.69999999999999</v>
          </cell>
          <cell r="I2">
            <v>0</v>
          </cell>
          <cell r="J2">
            <v>86.3</v>
          </cell>
          <cell r="K2">
            <v>7.3</v>
          </cell>
        </row>
        <row r="3">
          <cell r="B3">
            <v>158.39499999999998</v>
          </cell>
          <cell r="C3">
            <v>129.185</v>
          </cell>
          <cell r="D3">
            <v>13.6</v>
          </cell>
          <cell r="E3">
            <v>23.5</v>
          </cell>
          <cell r="F3">
            <v>67.8</v>
          </cell>
          <cell r="G3">
            <v>10.9</v>
          </cell>
          <cell r="H3">
            <v>135.19999999999999</v>
          </cell>
          <cell r="I3">
            <v>0</v>
          </cell>
          <cell r="J3">
            <v>73.900000000000006</v>
          </cell>
          <cell r="K3">
            <v>8</v>
          </cell>
        </row>
        <row r="4">
          <cell r="B4">
            <v>167.041</v>
          </cell>
          <cell r="C4">
            <v>137.22300000000001</v>
          </cell>
          <cell r="D4">
            <v>11.2</v>
          </cell>
          <cell r="E4">
            <v>23.4</v>
          </cell>
          <cell r="F4">
            <v>69</v>
          </cell>
          <cell r="G4">
            <v>9.9</v>
          </cell>
          <cell r="H4">
            <v>58.3</v>
          </cell>
          <cell r="I4">
            <v>0</v>
          </cell>
          <cell r="J4">
            <v>87.9</v>
          </cell>
          <cell r="K4">
            <v>8.1</v>
          </cell>
        </row>
        <row r="5">
          <cell r="B5">
            <v>147.04700000000003</v>
          </cell>
          <cell r="C5">
            <v>138.83099999999999</v>
          </cell>
          <cell r="D5">
            <v>15.2</v>
          </cell>
          <cell r="E5">
            <v>7.1</v>
          </cell>
          <cell r="F5">
            <v>68.5</v>
          </cell>
          <cell r="G5">
            <v>11.1</v>
          </cell>
          <cell r="H5">
            <v>139.5</v>
          </cell>
          <cell r="I5">
            <v>0</v>
          </cell>
          <cell r="J5">
            <v>100.8</v>
          </cell>
          <cell r="K5">
            <v>10.5</v>
          </cell>
        </row>
        <row r="6">
          <cell r="B6">
            <v>115.56500000000001</v>
          </cell>
          <cell r="C6">
            <v>141.54000000000002</v>
          </cell>
          <cell r="D6">
            <v>15.2</v>
          </cell>
          <cell r="E6">
            <v>3.3</v>
          </cell>
          <cell r="F6">
            <v>45.6</v>
          </cell>
          <cell r="G6">
            <v>6</v>
          </cell>
          <cell r="H6">
            <v>134.6</v>
          </cell>
          <cell r="I6">
            <v>0</v>
          </cell>
          <cell r="J6">
            <v>85.1</v>
          </cell>
          <cell r="K6">
            <v>8.3000000000000007</v>
          </cell>
        </row>
        <row r="7">
          <cell r="B7">
            <v>116.557</v>
          </cell>
          <cell r="C7">
            <v>144.62700000000001</v>
          </cell>
          <cell r="D7">
            <v>14.4</v>
          </cell>
          <cell r="E7">
            <v>4.3</v>
          </cell>
          <cell r="F7">
            <v>70.7</v>
          </cell>
          <cell r="G7">
            <v>11</v>
          </cell>
          <cell r="H7">
            <v>137</v>
          </cell>
          <cell r="I7">
            <v>0</v>
          </cell>
          <cell r="J7">
            <v>93.1</v>
          </cell>
          <cell r="K7">
            <v>7.9</v>
          </cell>
        </row>
        <row r="8">
          <cell r="B8">
            <v>118.98599999999999</v>
          </cell>
          <cell r="C8">
            <v>125.8</v>
          </cell>
          <cell r="D8">
            <v>12.8</v>
          </cell>
          <cell r="E8">
            <v>27.7</v>
          </cell>
          <cell r="F8">
            <v>66.099999999999994</v>
          </cell>
          <cell r="G8">
            <v>10.8</v>
          </cell>
          <cell r="H8">
            <v>136.4</v>
          </cell>
          <cell r="I8">
            <v>0</v>
          </cell>
          <cell r="J8">
            <v>98.9</v>
          </cell>
          <cell r="K8">
            <v>9</v>
          </cell>
        </row>
        <row r="9">
          <cell r="B9">
            <v>113.193</v>
          </cell>
          <cell r="C9">
            <v>131.1</v>
          </cell>
          <cell r="D9">
            <v>14.4</v>
          </cell>
          <cell r="E9">
            <v>29.6</v>
          </cell>
          <cell r="F9">
            <v>66.599999999999994</v>
          </cell>
          <cell r="G9">
            <v>10.4</v>
          </cell>
          <cell r="H9">
            <v>137.80000000000001</v>
          </cell>
          <cell r="I9">
            <v>0</v>
          </cell>
          <cell r="J9">
            <v>99.5</v>
          </cell>
          <cell r="K9">
            <v>9.4</v>
          </cell>
        </row>
        <row r="10">
          <cell r="B10">
            <v>117.13600000000001</v>
          </cell>
          <cell r="C10">
            <v>128.4</v>
          </cell>
          <cell r="D10">
            <v>15.2</v>
          </cell>
          <cell r="E10">
            <v>34.799999999999997</v>
          </cell>
          <cell r="F10">
            <v>65.8</v>
          </cell>
          <cell r="G10">
            <v>10.8</v>
          </cell>
          <cell r="H10">
            <v>138.5</v>
          </cell>
          <cell r="I10">
            <v>0</v>
          </cell>
          <cell r="J10">
            <v>101.5</v>
          </cell>
          <cell r="K10">
            <v>10.8</v>
          </cell>
        </row>
        <row r="11">
          <cell r="B11">
            <v>119.291</v>
          </cell>
          <cell r="C11">
            <v>130.5</v>
          </cell>
          <cell r="D11">
            <v>13.6</v>
          </cell>
          <cell r="E11">
            <v>33.799999999999997</v>
          </cell>
          <cell r="F11">
            <v>65.900000000000006</v>
          </cell>
          <cell r="G11">
            <v>9.6</v>
          </cell>
          <cell r="H11">
            <v>136.30000000000001</v>
          </cell>
          <cell r="I11">
            <v>0</v>
          </cell>
          <cell r="J11">
            <v>99.2</v>
          </cell>
          <cell r="K11">
            <v>9.3000000000000007</v>
          </cell>
        </row>
        <row r="12">
          <cell r="B12">
            <v>122.351</v>
          </cell>
          <cell r="C12">
            <v>135.02000000000001</v>
          </cell>
          <cell r="D12">
            <v>14.4</v>
          </cell>
          <cell r="E12">
            <v>34</v>
          </cell>
          <cell r="F12">
            <v>69.900000000000006</v>
          </cell>
          <cell r="G12">
            <v>9.8000000000000007</v>
          </cell>
          <cell r="H12">
            <v>128.6</v>
          </cell>
          <cell r="I12">
            <v>0</v>
          </cell>
          <cell r="J12">
            <v>101.1</v>
          </cell>
          <cell r="K12">
            <v>9.1</v>
          </cell>
        </row>
        <row r="13">
          <cell r="B13">
            <v>122.351</v>
          </cell>
          <cell r="C13">
            <v>137.70400000000001</v>
          </cell>
          <cell r="D13">
            <v>13.6</v>
          </cell>
          <cell r="E13">
            <v>24.5</v>
          </cell>
          <cell r="F13">
            <v>71.599999999999994</v>
          </cell>
          <cell r="G13">
            <v>8.6</v>
          </cell>
          <cell r="H13">
            <v>132.5</v>
          </cell>
          <cell r="I13">
            <v>0</v>
          </cell>
          <cell r="J13">
            <v>102.1</v>
          </cell>
          <cell r="K13">
            <v>9.4</v>
          </cell>
        </row>
        <row r="14">
          <cell r="B14">
            <v>95.803999999999988</v>
          </cell>
          <cell r="C14">
            <v>140.548</v>
          </cell>
          <cell r="D14">
            <v>14.4</v>
          </cell>
          <cell r="E14">
            <v>13.5</v>
          </cell>
          <cell r="F14">
            <v>61.5</v>
          </cell>
          <cell r="G14">
            <v>8.1</v>
          </cell>
          <cell r="H14">
            <v>131.9</v>
          </cell>
          <cell r="I14">
            <v>0</v>
          </cell>
          <cell r="J14">
            <v>72</v>
          </cell>
          <cell r="K14">
            <v>7.2</v>
          </cell>
        </row>
        <row r="15">
          <cell r="B15">
            <v>115.551</v>
          </cell>
          <cell r="C15">
            <v>139.785</v>
          </cell>
          <cell r="D15">
            <v>13.6</v>
          </cell>
          <cell r="E15">
            <v>21.4</v>
          </cell>
          <cell r="F15">
            <v>68.8</v>
          </cell>
          <cell r="G15">
            <v>9.6999999999999993</v>
          </cell>
          <cell r="H15">
            <v>126.5</v>
          </cell>
          <cell r="I15">
            <v>0</v>
          </cell>
          <cell r="J15">
            <v>99.6</v>
          </cell>
          <cell r="K15">
            <v>10.199999999999999</v>
          </cell>
        </row>
        <row r="16">
          <cell r="B16">
            <v>120.89399999999999</v>
          </cell>
          <cell r="C16">
            <v>126.21899999999999</v>
          </cell>
          <cell r="D16">
            <v>17.600000000000001</v>
          </cell>
          <cell r="E16">
            <v>19</v>
          </cell>
          <cell r="F16">
            <v>70.8</v>
          </cell>
          <cell r="G16">
            <v>10.8</v>
          </cell>
          <cell r="H16">
            <v>126.9</v>
          </cell>
          <cell r="I16">
            <v>0</v>
          </cell>
          <cell r="J16">
            <v>101.8</v>
          </cell>
          <cell r="K16">
            <v>10.8</v>
          </cell>
        </row>
        <row r="17">
          <cell r="B17">
            <v>124.68400000000001</v>
          </cell>
          <cell r="C17">
            <v>135.37299999999999</v>
          </cell>
          <cell r="D17">
            <v>16.100000000000001</v>
          </cell>
          <cell r="E17">
            <v>54.8</v>
          </cell>
          <cell r="F17">
            <v>71.5</v>
          </cell>
          <cell r="G17">
            <v>12</v>
          </cell>
          <cell r="H17">
            <v>123.8</v>
          </cell>
          <cell r="I17">
            <v>0</v>
          </cell>
          <cell r="J17">
            <v>82.4</v>
          </cell>
          <cell r="K17">
            <v>9.6</v>
          </cell>
        </row>
        <row r="18">
          <cell r="B18">
            <v>111.85</v>
          </cell>
          <cell r="C18">
            <v>134.84299999999999</v>
          </cell>
          <cell r="D18">
            <v>14.8</v>
          </cell>
          <cell r="E18">
            <v>61.1</v>
          </cell>
          <cell r="F18">
            <v>70.400000000000006</v>
          </cell>
          <cell r="G18">
            <v>11.6</v>
          </cell>
          <cell r="H18">
            <v>131.69999999999999</v>
          </cell>
          <cell r="I18">
            <v>0</v>
          </cell>
          <cell r="J18">
            <v>101.1</v>
          </cell>
          <cell r="K18">
            <v>11.2</v>
          </cell>
        </row>
        <row r="19">
          <cell r="B19">
            <v>123.029</v>
          </cell>
          <cell r="C19">
            <v>137.15899999999999</v>
          </cell>
          <cell r="D19">
            <v>16</v>
          </cell>
          <cell r="E19">
            <v>55.8</v>
          </cell>
          <cell r="F19">
            <v>65.599999999999994</v>
          </cell>
          <cell r="G19">
            <v>9</v>
          </cell>
          <cell r="H19">
            <v>132</v>
          </cell>
          <cell r="I19">
            <v>0</v>
          </cell>
          <cell r="J19">
            <v>99.3</v>
          </cell>
          <cell r="K19">
            <v>10.1</v>
          </cell>
        </row>
        <row r="20">
          <cell r="B20">
            <v>136.767</v>
          </cell>
          <cell r="C20">
            <v>136.566</v>
          </cell>
          <cell r="D20">
            <v>16.2</v>
          </cell>
          <cell r="E20">
            <v>29.1</v>
          </cell>
          <cell r="F20">
            <v>69.400000000000006</v>
          </cell>
          <cell r="G20">
            <v>10.4</v>
          </cell>
          <cell r="H20">
            <v>130.1</v>
          </cell>
          <cell r="I20">
            <v>0</v>
          </cell>
          <cell r="J20">
            <v>81.900000000000006</v>
          </cell>
          <cell r="K20">
            <v>8.6</v>
          </cell>
        </row>
        <row r="21">
          <cell r="B21">
            <v>134.458</v>
          </cell>
          <cell r="C21">
            <v>134.851</v>
          </cell>
          <cell r="D21">
            <v>18</v>
          </cell>
          <cell r="E21">
            <v>33.4</v>
          </cell>
          <cell r="F21">
            <v>69.7</v>
          </cell>
          <cell r="G21">
            <v>10</v>
          </cell>
          <cell r="H21">
            <v>128.80000000000001</v>
          </cell>
          <cell r="I21">
            <v>0</v>
          </cell>
          <cell r="J21">
            <v>99.8</v>
          </cell>
          <cell r="K21">
            <v>9.4</v>
          </cell>
        </row>
        <row r="22">
          <cell r="B22">
            <v>132.78200000000001</v>
          </cell>
          <cell r="C22">
            <v>134.19999999999999</v>
          </cell>
          <cell r="D22">
            <v>17.600000000000001</v>
          </cell>
          <cell r="E22">
            <v>55.5</v>
          </cell>
          <cell r="F22">
            <v>70.3</v>
          </cell>
          <cell r="G22">
            <v>9.8000000000000007</v>
          </cell>
          <cell r="H22">
            <v>128</v>
          </cell>
          <cell r="I22">
            <v>0</v>
          </cell>
          <cell r="J22">
            <v>100.4</v>
          </cell>
          <cell r="K22">
            <v>9.8000000000000007</v>
          </cell>
        </row>
        <row r="23">
          <cell r="B23">
            <v>123.97099999999999</v>
          </cell>
          <cell r="C23">
            <v>134.357</v>
          </cell>
          <cell r="D23">
            <v>17</v>
          </cell>
          <cell r="E23">
            <v>52.9</v>
          </cell>
          <cell r="F23">
            <v>70.2</v>
          </cell>
          <cell r="G23">
            <v>9.6999999999999993</v>
          </cell>
          <cell r="H23">
            <v>128</v>
          </cell>
          <cell r="I23">
            <v>0</v>
          </cell>
          <cell r="J23">
            <v>99.5</v>
          </cell>
          <cell r="K23">
            <v>10.1</v>
          </cell>
        </row>
        <row r="24">
          <cell r="B24">
            <v>131.047</v>
          </cell>
          <cell r="C24">
            <v>135.596</v>
          </cell>
          <cell r="D24">
            <v>17.600000000000001</v>
          </cell>
          <cell r="E24">
            <v>55.5</v>
          </cell>
          <cell r="F24">
            <v>69.099999999999994</v>
          </cell>
          <cell r="G24">
            <v>10.5</v>
          </cell>
          <cell r="H24">
            <v>128</v>
          </cell>
          <cell r="I24">
            <v>0</v>
          </cell>
          <cell r="J24">
            <v>86.9</v>
          </cell>
          <cell r="K24">
            <v>9.4</v>
          </cell>
        </row>
        <row r="25">
          <cell r="B25">
            <v>128.20599999999999</v>
          </cell>
          <cell r="C25">
            <v>133.47799999999998</v>
          </cell>
          <cell r="D25">
            <v>20.399999999999999</v>
          </cell>
          <cell r="E25">
            <v>53.5</v>
          </cell>
          <cell r="F25">
            <v>67.599999999999994</v>
          </cell>
          <cell r="G25">
            <v>10.6</v>
          </cell>
          <cell r="H25">
            <v>128</v>
          </cell>
          <cell r="I25">
            <v>0</v>
          </cell>
          <cell r="J25">
            <v>100.1</v>
          </cell>
          <cell r="K25">
            <v>11</v>
          </cell>
        </row>
        <row r="26">
          <cell r="B26">
            <v>125.011</v>
          </cell>
          <cell r="C26">
            <v>91.77</v>
          </cell>
          <cell r="D26">
            <v>12.8</v>
          </cell>
          <cell r="E26">
            <v>54.4</v>
          </cell>
          <cell r="F26">
            <v>68.900000000000006</v>
          </cell>
          <cell r="G26">
            <v>10.199999999999999</v>
          </cell>
          <cell r="H26">
            <v>86</v>
          </cell>
          <cell r="I26">
            <v>0</v>
          </cell>
          <cell r="J26">
            <v>98.7</v>
          </cell>
          <cell r="K26">
            <v>10.7</v>
          </cell>
        </row>
        <row r="27">
          <cell r="B27">
            <v>129.50300000000001</v>
          </cell>
          <cell r="C27">
            <v>130.43700000000001</v>
          </cell>
          <cell r="D27">
            <v>20.399999999999999</v>
          </cell>
          <cell r="E27">
            <v>54.8</v>
          </cell>
          <cell r="F27">
            <v>68.3</v>
          </cell>
          <cell r="G27">
            <v>9.6</v>
          </cell>
          <cell r="H27">
            <v>100.5</v>
          </cell>
          <cell r="I27">
            <v>0</v>
          </cell>
          <cell r="J27">
            <v>97</v>
          </cell>
          <cell r="K27">
            <v>9.5</v>
          </cell>
        </row>
        <row r="28">
          <cell r="B28">
            <v>127.277</v>
          </cell>
          <cell r="C28">
            <v>117.465</v>
          </cell>
          <cell r="D28">
            <v>20.100000000000001</v>
          </cell>
          <cell r="E28">
            <v>54.1</v>
          </cell>
          <cell r="F28">
            <v>61.9</v>
          </cell>
          <cell r="G28">
            <v>8.4</v>
          </cell>
          <cell r="H28">
            <v>120.6</v>
          </cell>
          <cell r="I28">
            <v>0</v>
          </cell>
          <cell r="J28">
            <v>98.3</v>
          </cell>
          <cell r="K28">
            <v>9.8000000000000007</v>
          </cell>
        </row>
        <row r="29">
          <cell r="B29">
            <v>124.27</v>
          </cell>
          <cell r="C29">
            <v>115.19</v>
          </cell>
          <cell r="D29">
            <v>20.3</v>
          </cell>
          <cell r="E29">
            <v>52.8</v>
          </cell>
          <cell r="F29">
            <v>67.3</v>
          </cell>
          <cell r="G29">
            <v>10.1</v>
          </cell>
          <cell r="H29">
            <v>124.8</v>
          </cell>
          <cell r="I29">
            <v>0</v>
          </cell>
          <cell r="J29">
            <v>100.6</v>
          </cell>
          <cell r="K29">
            <v>10.4</v>
          </cell>
        </row>
        <row r="30">
          <cell r="B30">
            <v>123.578</v>
          </cell>
          <cell r="C30">
            <v>116.161</v>
          </cell>
          <cell r="D30">
            <v>20.399999999999999</v>
          </cell>
          <cell r="E30">
            <v>50.3</v>
          </cell>
          <cell r="F30">
            <v>66.900000000000006</v>
          </cell>
          <cell r="G30">
            <v>10.199999999999999</v>
          </cell>
          <cell r="H30">
            <v>120.6</v>
          </cell>
          <cell r="I30">
            <v>0</v>
          </cell>
          <cell r="J30">
            <v>97.3</v>
          </cell>
          <cell r="K30">
            <v>9.6</v>
          </cell>
        </row>
        <row r="31">
          <cell r="B31">
            <v>119.416</v>
          </cell>
          <cell r="C31">
            <v>113.27800000000001</v>
          </cell>
          <cell r="D31">
            <v>19.2</v>
          </cell>
          <cell r="E31">
            <v>52.1</v>
          </cell>
          <cell r="F31">
            <v>66.7</v>
          </cell>
          <cell r="G31">
            <v>9.8000000000000007</v>
          </cell>
          <cell r="H31">
            <v>124.4</v>
          </cell>
          <cell r="I31">
            <v>0</v>
          </cell>
          <cell r="J31">
            <v>98.4</v>
          </cell>
          <cell r="K31">
            <v>10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KT"/>
      <sheetName val="NOV"/>
    </sheetNames>
    <sheetDataSet>
      <sheetData sheetId="0"/>
      <sheetData sheetId="1">
        <row r="3">
          <cell r="B3">
            <v>145.80000000000001</v>
          </cell>
          <cell r="C3">
            <v>71.8</v>
          </cell>
          <cell r="D3">
            <v>0</v>
          </cell>
          <cell r="E3">
            <v>126.80000000000001</v>
          </cell>
          <cell r="H3">
            <v>401.2</v>
          </cell>
        </row>
        <row r="4">
          <cell r="B4">
            <v>132.1</v>
          </cell>
          <cell r="C4">
            <v>108.4</v>
          </cell>
          <cell r="D4">
            <v>0</v>
          </cell>
          <cell r="E4">
            <v>126.9</v>
          </cell>
          <cell r="H4">
            <v>404.2</v>
          </cell>
        </row>
        <row r="5">
          <cell r="B5">
            <v>144.80000000000001</v>
          </cell>
          <cell r="C5">
            <v>147.30000000000001</v>
          </cell>
          <cell r="D5">
            <v>5.6</v>
          </cell>
          <cell r="E5">
            <v>125.7</v>
          </cell>
          <cell r="H5">
            <v>460.4</v>
          </cell>
        </row>
        <row r="6">
          <cell r="B6">
            <v>153</v>
          </cell>
          <cell r="C6">
            <v>147.5</v>
          </cell>
          <cell r="D6">
            <v>46.300000000000004</v>
          </cell>
          <cell r="E6">
            <v>124.1</v>
          </cell>
          <cell r="H6">
            <v>518.79999999999995</v>
          </cell>
        </row>
        <row r="7">
          <cell r="B7">
            <v>154.19999999999999</v>
          </cell>
          <cell r="C7">
            <v>140</v>
          </cell>
          <cell r="D7">
            <v>112.6</v>
          </cell>
          <cell r="E7">
            <v>66.099999999999994</v>
          </cell>
          <cell r="H7">
            <v>532.6</v>
          </cell>
        </row>
        <row r="8">
          <cell r="B8">
            <v>147.69999999999999</v>
          </cell>
          <cell r="C8">
            <v>153.4</v>
          </cell>
          <cell r="D8">
            <v>143.30000000000001</v>
          </cell>
          <cell r="E8">
            <v>45.7</v>
          </cell>
          <cell r="H8">
            <v>560.5</v>
          </cell>
        </row>
        <row r="9">
          <cell r="B9">
            <v>157.19999999999999</v>
          </cell>
          <cell r="C9">
            <v>157.19999999999999</v>
          </cell>
          <cell r="D9">
            <v>136.19999999999999</v>
          </cell>
          <cell r="E9">
            <v>112.5</v>
          </cell>
          <cell r="H9">
            <v>583.9</v>
          </cell>
        </row>
        <row r="10">
          <cell r="B10">
            <v>160.30000000000001</v>
          </cell>
          <cell r="C10">
            <v>157.80000000000001</v>
          </cell>
          <cell r="D10">
            <v>133.30000000000001</v>
          </cell>
          <cell r="E10">
            <v>128.30000000000001</v>
          </cell>
          <cell r="H10">
            <v>627.20000000000005</v>
          </cell>
        </row>
        <row r="11">
          <cell r="B11">
            <v>146.1</v>
          </cell>
          <cell r="C11">
            <v>158</v>
          </cell>
          <cell r="D11">
            <v>126.8</v>
          </cell>
          <cell r="E11">
            <v>124.7</v>
          </cell>
          <cell r="H11">
            <v>612.20000000000005</v>
          </cell>
        </row>
        <row r="12">
          <cell r="B12">
            <v>102</v>
          </cell>
          <cell r="C12">
            <v>157.80000000000001</v>
          </cell>
          <cell r="D12">
            <v>141.9</v>
          </cell>
          <cell r="E12">
            <v>114</v>
          </cell>
          <cell r="H12">
            <v>535.5</v>
          </cell>
        </row>
        <row r="13">
          <cell r="B13">
            <v>4.5999999999999996</v>
          </cell>
          <cell r="C13">
            <v>155.1</v>
          </cell>
          <cell r="D13">
            <v>134.19999999999999</v>
          </cell>
          <cell r="E13">
            <v>116.8</v>
          </cell>
          <cell r="H13">
            <v>443.8</v>
          </cell>
        </row>
        <row r="14">
          <cell r="B14">
            <v>29.1</v>
          </cell>
          <cell r="C14">
            <v>148.19999999999999</v>
          </cell>
          <cell r="D14">
            <v>133.80000000000001</v>
          </cell>
          <cell r="E14">
            <v>116.3</v>
          </cell>
          <cell r="H14">
            <v>466.4</v>
          </cell>
        </row>
        <row r="15">
          <cell r="B15">
            <v>0</v>
          </cell>
          <cell r="C15">
            <v>152.5</v>
          </cell>
          <cell r="D15">
            <v>145.39999999999998</v>
          </cell>
          <cell r="E15">
            <v>119.3</v>
          </cell>
          <cell r="H15">
            <v>465.8</v>
          </cell>
        </row>
        <row r="16">
          <cell r="B16">
            <v>95</v>
          </cell>
          <cell r="C16">
            <v>160.1</v>
          </cell>
          <cell r="D16">
            <v>150.9</v>
          </cell>
          <cell r="E16">
            <v>127.5</v>
          </cell>
          <cell r="H16">
            <v>583</v>
          </cell>
        </row>
        <row r="17">
          <cell r="B17">
            <v>128.4</v>
          </cell>
          <cell r="C17">
            <v>150.1</v>
          </cell>
          <cell r="D17">
            <v>152.5</v>
          </cell>
          <cell r="E17">
            <v>126.3</v>
          </cell>
          <cell r="H17">
            <v>590.29999999999995</v>
          </cell>
        </row>
        <row r="18">
          <cell r="B18">
            <v>136.5</v>
          </cell>
          <cell r="C18">
            <v>134.4</v>
          </cell>
          <cell r="D18">
            <v>169.39999999999998</v>
          </cell>
          <cell r="E18">
            <v>128.80000000000001</v>
          </cell>
          <cell r="H18">
            <v>624.1</v>
          </cell>
        </row>
        <row r="19">
          <cell r="B19">
            <v>132.9</v>
          </cell>
          <cell r="C19">
            <v>152.69999999999999</v>
          </cell>
          <cell r="D19">
            <v>131.60000000000002</v>
          </cell>
          <cell r="E19">
            <v>115</v>
          </cell>
          <cell r="H19">
            <v>587</v>
          </cell>
        </row>
        <row r="20">
          <cell r="B20">
            <v>142.30000000000001</v>
          </cell>
          <cell r="C20">
            <v>148.69999999999999</v>
          </cell>
          <cell r="D20">
            <v>114.1</v>
          </cell>
          <cell r="E20">
            <v>118</v>
          </cell>
          <cell r="H20">
            <v>576.20000000000005</v>
          </cell>
        </row>
        <row r="21">
          <cell r="B21">
            <v>129</v>
          </cell>
          <cell r="C21">
            <v>150.5</v>
          </cell>
          <cell r="D21">
            <v>130</v>
          </cell>
          <cell r="E21">
            <v>126.7</v>
          </cell>
          <cell r="H21">
            <v>590.70000000000005</v>
          </cell>
        </row>
        <row r="22">
          <cell r="B22">
            <v>137.4</v>
          </cell>
          <cell r="C22">
            <v>149.9</v>
          </cell>
          <cell r="D22">
            <v>135.5</v>
          </cell>
          <cell r="E22">
            <v>131</v>
          </cell>
          <cell r="H22">
            <v>603.70000000000005</v>
          </cell>
        </row>
        <row r="23">
          <cell r="B23">
            <v>88</v>
          </cell>
          <cell r="C23">
            <v>150.19999999999999</v>
          </cell>
          <cell r="D23">
            <v>130.30000000000001</v>
          </cell>
          <cell r="E23">
            <v>129.19999999999999</v>
          </cell>
          <cell r="H23">
            <v>543</v>
          </cell>
        </row>
        <row r="24">
          <cell r="B24">
            <v>67.099999999999994</v>
          </cell>
          <cell r="C24">
            <v>139.6</v>
          </cell>
          <cell r="D24">
            <v>129.9</v>
          </cell>
          <cell r="E24">
            <v>121.9</v>
          </cell>
          <cell r="H24">
            <v>501.6</v>
          </cell>
        </row>
        <row r="25">
          <cell r="B25">
            <v>106.7</v>
          </cell>
          <cell r="C25">
            <v>146.80000000000001</v>
          </cell>
          <cell r="D25">
            <v>131.4</v>
          </cell>
          <cell r="E25">
            <v>125.69999999999999</v>
          </cell>
          <cell r="H25">
            <v>552.1</v>
          </cell>
        </row>
        <row r="26">
          <cell r="B26">
            <v>114.30000000000001</v>
          </cell>
          <cell r="C26">
            <v>152.69999999999999</v>
          </cell>
          <cell r="D26">
            <v>135</v>
          </cell>
          <cell r="E26">
            <v>122.5</v>
          </cell>
          <cell r="H26">
            <v>569.29999999999995</v>
          </cell>
        </row>
        <row r="27">
          <cell r="B27">
            <v>131.19999999999999</v>
          </cell>
          <cell r="C27">
            <v>151.69999999999999</v>
          </cell>
          <cell r="D27">
            <v>133</v>
          </cell>
          <cell r="E27">
            <v>122.2</v>
          </cell>
          <cell r="H27">
            <v>609</v>
          </cell>
        </row>
        <row r="28">
          <cell r="B28">
            <v>138.5</v>
          </cell>
          <cell r="C28">
            <v>153.30000000000001</v>
          </cell>
          <cell r="D28">
            <v>127.5</v>
          </cell>
          <cell r="E28">
            <v>128.30000000000001</v>
          </cell>
          <cell r="H28">
            <v>592</v>
          </cell>
        </row>
        <row r="29">
          <cell r="B29">
            <v>123.7</v>
          </cell>
          <cell r="C29">
            <v>142.39999999999998</v>
          </cell>
          <cell r="D29">
            <v>128.6</v>
          </cell>
          <cell r="E29">
            <v>119.80000000000001</v>
          </cell>
          <cell r="H29">
            <v>566.4</v>
          </cell>
        </row>
        <row r="30">
          <cell r="B30">
            <v>134.80000000000001</v>
          </cell>
          <cell r="C30">
            <v>141.19999999999999</v>
          </cell>
          <cell r="D30">
            <v>129.9</v>
          </cell>
          <cell r="E30">
            <v>120.2</v>
          </cell>
          <cell r="H30">
            <v>573</v>
          </cell>
        </row>
        <row r="31">
          <cell r="B31">
            <v>140.4</v>
          </cell>
          <cell r="C31">
            <v>144.1</v>
          </cell>
          <cell r="D31">
            <v>129</v>
          </cell>
          <cell r="E31">
            <v>121.30000000000001</v>
          </cell>
          <cell r="H31">
            <v>582</v>
          </cell>
        </row>
        <row r="32">
          <cell r="B32">
            <v>129.80000000000001</v>
          </cell>
          <cell r="C32">
            <v>146</v>
          </cell>
          <cell r="D32">
            <v>127.10000000000001</v>
          </cell>
          <cell r="E32">
            <v>125</v>
          </cell>
          <cell r="H32">
            <v>578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U144"/>
  <sheetViews>
    <sheetView zoomScale="85" zoomScaleNormal="85" workbookViewId="0">
      <pane xSplit="1" ySplit="6" topLeftCell="BN25" activePane="bottomRight" state="frozen"/>
      <selection activeCell="BN38" sqref="BN38"/>
      <selection pane="topRight" activeCell="BN38" sqref="BN38"/>
      <selection pane="bottomLeft" activeCell="BN38" sqref="BN38"/>
      <selection pane="bottomRight" activeCell="BK7" sqref="BK7"/>
    </sheetView>
  </sheetViews>
  <sheetFormatPr defaultColWidth="9.140625" defaultRowHeight="15" x14ac:dyDescent="0.25"/>
  <cols>
    <col min="1" max="1" width="9.140625" style="2"/>
    <col min="2" max="2" width="12" style="2" hidden="1" customWidth="1"/>
    <col min="3" max="5" width="9.140625" style="2" hidden="1" customWidth="1"/>
    <col min="6" max="6" width="11" style="2" hidden="1" customWidth="1"/>
    <col min="7" max="9" width="9.140625" style="2" hidden="1" customWidth="1"/>
    <col min="10" max="10" width="12.7109375" style="2" hidden="1" customWidth="1"/>
    <col min="11" max="13" width="9.140625" style="2" hidden="1" customWidth="1"/>
    <col min="14" max="14" width="11.5703125" style="2" hidden="1" customWidth="1"/>
    <col min="15" max="20" width="9.140625" style="2" hidden="1" customWidth="1"/>
    <col min="21" max="21" width="10.140625" style="2" hidden="1" customWidth="1"/>
    <col min="22" max="25" width="9.140625" style="2" hidden="1" customWidth="1"/>
    <col min="26" max="26" width="10.42578125" style="3" hidden="1" customWidth="1"/>
    <col min="27" max="27" width="13.85546875" style="2" hidden="1" customWidth="1"/>
    <col min="28" max="30" width="9.140625" style="2" hidden="1" customWidth="1"/>
    <col min="31" max="31" width="10.7109375" style="2" hidden="1" customWidth="1"/>
    <col min="32" max="32" width="10.42578125" style="2" hidden="1" customWidth="1"/>
    <col min="33" max="33" width="11.5703125" style="2" customWidth="1"/>
    <col min="34" max="34" width="12.28515625" style="2" bestFit="1" customWidth="1"/>
    <col min="35" max="35" width="12.42578125" style="4" bestFit="1" customWidth="1"/>
    <col min="36" max="36" width="13" style="4" bestFit="1" customWidth="1"/>
    <col min="37" max="38" width="11.42578125" style="2" bestFit="1" customWidth="1"/>
    <col min="39" max="39" width="11.42578125" style="2" customWidth="1"/>
    <col min="40" max="40" width="11.42578125" style="2" bestFit="1" customWidth="1"/>
    <col min="41" max="45" width="11.42578125" style="2" customWidth="1"/>
    <col min="46" max="46" width="12.28515625" style="2" bestFit="1" customWidth="1"/>
    <col min="47" max="47" width="11.5703125" style="167" bestFit="1" customWidth="1"/>
    <col min="48" max="49" width="9.85546875" style="2" customWidth="1"/>
    <col min="50" max="50" width="9.85546875" style="2" bestFit="1" customWidth="1"/>
    <col min="51" max="53" width="9.140625" style="2" customWidth="1"/>
    <col min="54" max="54" width="12.7109375" style="2" bestFit="1" customWidth="1"/>
    <col min="55" max="56" width="9.140625" style="2"/>
    <col min="57" max="57" width="21.140625" style="2" bestFit="1" customWidth="1"/>
    <col min="58" max="62" width="9.140625" style="2"/>
    <col min="63" max="63" width="15.42578125" style="2" bestFit="1" customWidth="1"/>
    <col min="64" max="64" width="15.42578125" style="2" customWidth="1"/>
    <col min="65" max="65" width="5.85546875" style="2" bestFit="1" customWidth="1"/>
    <col min="66" max="66" width="21.42578125" style="167" bestFit="1" customWidth="1"/>
    <col min="67" max="16384" width="9.140625" style="2"/>
  </cols>
  <sheetData>
    <row r="1" spans="1:1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22" x14ac:dyDescent="0.25">
      <c r="A2" s="5" t="s">
        <v>113</v>
      </c>
      <c r="B2" s="6">
        <v>45748</v>
      </c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7">
        <v>43160</v>
      </c>
      <c r="O2" s="5"/>
      <c r="P2" s="5"/>
      <c r="Q2" s="5"/>
      <c r="R2" s="5"/>
      <c r="S2" s="5"/>
      <c r="T2" s="5"/>
      <c r="AE2" s="2" t="s">
        <v>1</v>
      </c>
      <c r="AL2" s="8"/>
      <c r="AM2" s="8"/>
      <c r="AN2" s="8"/>
      <c r="AO2" s="8"/>
      <c r="AP2" s="8"/>
      <c r="AQ2" s="8"/>
      <c r="AR2" s="8"/>
      <c r="AS2" s="8"/>
    </row>
    <row r="3" spans="1:1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122" x14ac:dyDescent="0.25">
      <c r="A4" s="10"/>
      <c r="B4" s="262" t="s">
        <v>2</v>
      </c>
      <c r="C4" s="263"/>
      <c r="D4" s="263"/>
      <c r="E4" s="264"/>
      <c r="F4" s="265" t="s">
        <v>3</v>
      </c>
      <c r="G4" s="266"/>
      <c r="H4" s="266"/>
      <c r="I4" s="267"/>
      <c r="J4" s="262" t="s">
        <v>4</v>
      </c>
      <c r="K4" s="263"/>
      <c r="L4" s="263"/>
      <c r="M4" s="263"/>
      <c r="N4" s="11" t="s">
        <v>5</v>
      </c>
      <c r="O4" s="12" t="s">
        <v>6</v>
      </c>
      <c r="P4" s="249" t="s">
        <v>5</v>
      </c>
      <c r="Q4" s="250"/>
      <c r="R4" s="268" t="s">
        <v>7</v>
      </c>
      <c r="S4" s="268"/>
      <c r="T4" s="268"/>
      <c r="U4" s="268"/>
      <c r="V4" s="13" t="s">
        <v>8</v>
      </c>
      <c r="W4" s="269" t="s">
        <v>9</v>
      </c>
      <c r="X4" s="269"/>
      <c r="Y4" s="269"/>
      <c r="Z4" s="269"/>
      <c r="AA4" s="14" t="s">
        <v>8</v>
      </c>
      <c r="AB4" s="270" t="s">
        <v>10</v>
      </c>
      <c r="AC4" s="270"/>
      <c r="AD4" s="270"/>
      <c r="AE4" s="270"/>
      <c r="AF4" s="15" t="s">
        <v>8</v>
      </c>
      <c r="AG4" s="16" t="s">
        <v>11</v>
      </c>
      <c r="AH4" s="271" t="s">
        <v>12</v>
      </c>
      <c r="AI4" s="272"/>
      <c r="AJ4" s="272"/>
      <c r="AK4" s="272"/>
      <c r="AL4" s="272"/>
      <c r="AM4" s="272"/>
      <c r="AN4" s="272"/>
      <c r="AO4" s="272"/>
      <c r="AP4" s="273"/>
      <c r="AQ4" s="17"/>
      <c r="AR4" s="17"/>
      <c r="AS4" s="17"/>
      <c r="AT4" s="18"/>
      <c r="AU4" s="224" t="s">
        <v>13</v>
      </c>
      <c r="AV4" s="224"/>
      <c r="AW4" s="224"/>
      <c r="AX4" s="224"/>
      <c r="AY4" s="224" t="s">
        <v>14</v>
      </c>
      <c r="AZ4" s="224"/>
      <c r="BA4" s="224"/>
      <c r="BB4" s="18" t="s">
        <v>15</v>
      </c>
      <c r="BD4" s="224" t="s">
        <v>16</v>
      </c>
      <c r="BE4" s="224"/>
      <c r="BF4" s="224"/>
      <c r="BG4" s="224"/>
      <c r="BH4" s="224"/>
      <c r="BI4" s="224"/>
      <c r="BJ4" s="224"/>
      <c r="BK4" s="259" t="s">
        <v>13</v>
      </c>
      <c r="BL4" s="260"/>
      <c r="BM4" s="260"/>
      <c r="BN4" s="261"/>
    </row>
    <row r="5" spans="1:122" x14ac:dyDescent="0.25">
      <c r="A5" s="19" t="s">
        <v>17</v>
      </c>
      <c r="B5" s="20" t="s">
        <v>5</v>
      </c>
      <c r="C5" s="21"/>
      <c r="D5" s="22"/>
      <c r="E5" s="23"/>
      <c r="F5" s="24" t="s">
        <v>5</v>
      </c>
      <c r="G5" s="21"/>
      <c r="H5" s="21"/>
      <c r="I5" s="21"/>
      <c r="J5" s="20" t="s">
        <v>5</v>
      </c>
      <c r="K5" s="21"/>
      <c r="L5" s="22"/>
      <c r="M5" s="23"/>
      <c r="N5" s="25" t="s">
        <v>18</v>
      </c>
      <c r="O5" s="12" t="s">
        <v>19</v>
      </c>
      <c r="P5" s="249" t="s">
        <v>20</v>
      </c>
      <c r="Q5" s="250"/>
      <c r="R5" s="251" t="s">
        <v>21</v>
      </c>
      <c r="S5" s="252"/>
      <c r="T5" s="253"/>
      <c r="U5" s="254" t="s">
        <v>5</v>
      </c>
      <c r="V5" s="254" t="s">
        <v>22</v>
      </c>
      <c r="W5" s="256" t="s">
        <v>21</v>
      </c>
      <c r="X5" s="257"/>
      <c r="Y5" s="258"/>
      <c r="Z5" s="231" t="s">
        <v>5</v>
      </c>
      <c r="AA5" s="231" t="s">
        <v>23</v>
      </c>
      <c r="AB5" s="233" t="s">
        <v>21</v>
      </c>
      <c r="AC5" s="234"/>
      <c r="AD5" s="235"/>
      <c r="AE5" s="236" t="s">
        <v>5</v>
      </c>
      <c r="AF5" s="236" t="s">
        <v>24</v>
      </c>
      <c r="AG5" s="26" t="s">
        <v>25</v>
      </c>
      <c r="AH5" s="27" t="s">
        <v>26</v>
      </c>
      <c r="AI5" s="28" t="s">
        <v>27</v>
      </c>
      <c r="AJ5" s="28" t="s">
        <v>28</v>
      </c>
      <c r="AK5" s="27" t="s">
        <v>29</v>
      </c>
      <c r="AL5" s="29" t="s">
        <v>30</v>
      </c>
      <c r="AM5" s="29" t="s">
        <v>31</v>
      </c>
      <c r="AN5" s="29" t="s">
        <v>32</v>
      </c>
      <c r="AO5" s="29" t="s">
        <v>33</v>
      </c>
      <c r="AP5" s="29" t="s">
        <v>34</v>
      </c>
      <c r="AQ5" s="29" t="s">
        <v>35</v>
      </c>
      <c r="AR5" s="29"/>
      <c r="AS5" s="29"/>
      <c r="AT5" s="18" t="s">
        <v>36</v>
      </c>
      <c r="AU5" s="212" t="s">
        <v>37</v>
      </c>
      <c r="AV5" s="18"/>
      <c r="AW5" s="18"/>
      <c r="AX5" s="18" t="s">
        <v>38</v>
      </c>
      <c r="AY5" s="18" t="s">
        <v>39</v>
      </c>
      <c r="AZ5" s="18">
        <v>15</v>
      </c>
      <c r="BA5" s="18">
        <v>17</v>
      </c>
      <c r="BB5" s="18"/>
      <c r="BD5" s="18" t="s">
        <v>40</v>
      </c>
      <c r="BE5" s="30" t="s">
        <v>41</v>
      </c>
      <c r="BF5" s="18" t="s">
        <v>42</v>
      </c>
      <c r="BG5" s="18" t="s">
        <v>43</v>
      </c>
      <c r="BH5" s="18" t="s">
        <v>44</v>
      </c>
      <c r="BI5" s="18" t="s">
        <v>45</v>
      </c>
      <c r="BJ5" s="18" t="s">
        <v>46</v>
      </c>
      <c r="BK5" s="18" t="s">
        <v>47</v>
      </c>
      <c r="BL5" s="30" t="s">
        <v>48</v>
      </c>
      <c r="BM5" s="18" t="s">
        <v>5</v>
      </c>
      <c r="BN5" s="212" t="s">
        <v>49</v>
      </c>
    </row>
    <row r="6" spans="1:122" x14ac:dyDescent="0.25">
      <c r="A6" s="19" t="s">
        <v>21</v>
      </c>
      <c r="B6" s="31" t="s">
        <v>22</v>
      </c>
      <c r="C6" s="32" t="s">
        <v>50</v>
      </c>
      <c r="D6" s="33" t="s">
        <v>51</v>
      </c>
      <c r="E6" s="34" t="s">
        <v>52</v>
      </c>
      <c r="F6" s="35" t="s">
        <v>23</v>
      </c>
      <c r="G6" s="32" t="s">
        <v>50</v>
      </c>
      <c r="H6" s="33" t="s">
        <v>51</v>
      </c>
      <c r="I6" s="34" t="s">
        <v>52</v>
      </c>
      <c r="J6" s="31" t="s">
        <v>24</v>
      </c>
      <c r="K6" s="32" t="s">
        <v>50</v>
      </c>
      <c r="L6" s="33" t="s">
        <v>51</v>
      </c>
      <c r="M6" s="34" t="s">
        <v>52</v>
      </c>
      <c r="N6" s="25" t="s">
        <v>53</v>
      </c>
      <c r="O6" s="12" t="s">
        <v>53</v>
      </c>
      <c r="P6" s="36" t="s">
        <v>22</v>
      </c>
      <c r="Q6" s="37" t="s">
        <v>23</v>
      </c>
      <c r="R6" s="38" t="s">
        <v>54</v>
      </c>
      <c r="S6" s="38" t="s">
        <v>55</v>
      </c>
      <c r="T6" s="38" t="s">
        <v>56</v>
      </c>
      <c r="U6" s="255"/>
      <c r="V6" s="255"/>
      <c r="W6" s="39" t="s">
        <v>54</v>
      </c>
      <c r="X6" s="39" t="s">
        <v>55</v>
      </c>
      <c r="Y6" s="39" t="s">
        <v>56</v>
      </c>
      <c r="Z6" s="232"/>
      <c r="AA6" s="232"/>
      <c r="AB6" s="40" t="s">
        <v>54</v>
      </c>
      <c r="AC6" s="40" t="s">
        <v>55</v>
      </c>
      <c r="AD6" s="40" t="s">
        <v>56</v>
      </c>
      <c r="AE6" s="237"/>
      <c r="AF6" s="237"/>
      <c r="AG6" s="41"/>
      <c r="AH6" s="42"/>
      <c r="AI6" s="43"/>
      <c r="AJ6" s="43"/>
      <c r="AK6" s="42"/>
      <c r="AL6" s="44"/>
      <c r="AM6" s="44"/>
      <c r="AN6" s="44"/>
      <c r="AO6" s="44"/>
      <c r="AP6" s="44"/>
      <c r="AQ6" s="44"/>
      <c r="AR6" s="44"/>
      <c r="AS6" s="44"/>
      <c r="AT6" s="18"/>
      <c r="AU6" s="213"/>
      <c r="AV6" s="18"/>
      <c r="AW6" s="18"/>
      <c r="AX6" s="18"/>
      <c r="AY6" s="18"/>
      <c r="AZ6" s="46"/>
      <c r="BA6" s="46"/>
      <c r="BB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212"/>
    </row>
    <row r="7" spans="1:122" x14ac:dyDescent="0.25">
      <c r="A7" s="47">
        <v>31</v>
      </c>
      <c r="B7" s="48"/>
      <c r="C7" s="47"/>
      <c r="D7" s="47"/>
      <c r="E7" s="47"/>
      <c r="F7" s="49"/>
      <c r="G7" s="50"/>
      <c r="H7" s="50"/>
      <c r="I7" s="50"/>
      <c r="J7" s="48"/>
      <c r="K7" s="47"/>
      <c r="L7" s="47"/>
      <c r="M7" s="47"/>
      <c r="N7" s="48"/>
      <c r="O7" s="48"/>
      <c r="P7" s="48"/>
      <c r="Q7" s="48"/>
      <c r="R7" s="48"/>
      <c r="S7" s="48"/>
      <c r="T7" s="48"/>
      <c r="U7" s="42"/>
      <c r="V7" s="51"/>
      <c r="W7" s="51"/>
      <c r="X7" s="51"/>
      <c r="Y7" s="51"/>
      <c r="Z7" s="52"/>
      <c r="AA7" s="53"/>
      <c r="AB7" s="51"/>
      <c r="AC7" s="51"/>
      <c r="AD7" s="51"/>
      <c r="AE7" s="53"/>
      <c r="AF7" s="53"/>
      <c r="AG7" s="53"/>
      <c r="AH7" s="54"/>
      <c r="AI7" s="55"/>
      <c r="AJ7" s="55"/>
      <c r="AK7" s="51"/>
      <c r="AL7" s="56"/>
      <c r="AM7" s="56"/>
      <c r="AN7" s="56"/>
      <c r="AO7" s="56"/>
      <c r="AP7" s="56"/>
      <c r="AQ7" s="56"/>
      <c r="AR7" s="56"/>
      <c r="AS7" s="56"/>
      <c r="AT7" s="18"/>
      <c r="AU7" s="213">
        <f>+[1]Master!$AU$38</f>
        <v>19189</v>
      </c>
      <c r="AV7" s="58"/>
      <c r="AW7" s="45"/>
      <c r="AX7" s="59"/>
      <c r="AY7" s="57"/>
      <c r="AZ7" s="18"/>
      <c r="BA7" s="18"/>
      <c r="BB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212">
        <f>+[1]Master!$BN$38</f>
        <v>104425</v>
      </c>
    </row>
    <row r="8" spans="1:122" ht="14.45" customHeight="1" x14ac:dyDescent="0.25">
      <c r="A8" s="19">
        <v>1</v>
      </c>
      <c r="B8" s="60">
        <f>SUM(C8:E8)</f>
        <v>0</v>
      </c>
      <c r="C8" s="60"/>
      <c r="D8" s="61"/>
      <c r="E8" s="61"/>
      <c r="F8" s="60">
        <f>SUM(G8:I8)</f>
        <v>0</v>
      </c>
      <c r="G8" s="61"/>
      <c r="H8" s="61"/>
      <c r="I8" s="61"/>
      <c r="J8" s="60">
        <f t="shared" ref="J8:J35" si="0">SUM(K8:M8)</f>
        <v>0</v>
      </c>
      <c r="K8" s="47"/>
      <c r="L8" s="62"/>
      <c r="M8" s="62"/>
      <c r="N8" s="60">
        <f>B8+F8+J8</f>
        <v>0</v>
      </c>
      <c r="O8" s="63"/>
      <c r="P8" s="64"/>
      <c r="Q8" s="64"/>
      <c r="R8" s="61"/>
      <c r="S8" s="61"/>
      <c r="T8" s="61"/>
      <c r="U8" s="65">
        <f t="shared" ref="U8:U15" si="1">SUM(R8:T8)</f>
        <v>0</v>
      </c>
      <c r="V8" s="66" t="e">
        <f>B8/U8</f>
        <v>#DIV/0!</v>
      </c>
      <c r="W8" s="61"/>
      <c r="X8" s="61"/>
      <c r="Y8" s="61"/>
      <c r="Z8" s="67">
        <f>SUM(W8:Y8)</f>
        <v>0</v>
      </c>
      <c r="AA8" s="67" t="e">
        <f t="shared" ref="AA8:AA36" si="2">F8/Z8</f>
        <v>#DIV/0!</v>
      </c>
      <c r="AB8" s="61"/>
      <c r="AC8" s="61"/>
      <c r="AD8" s="61"/>
      <c r="AE8" s="67">
        <f>SUM(AB8:AD8)</f>
        <v>0</v>
      </c>
      <c r="AF8" s="67" t="e">
        <f t="shared" ref="AF8:AF37" si="3">J8/AE8</f>
        <v>#DIV/0!</v>
      </c>
      <c r="AG8" s="68">
        <f>AV8</f>
        <v>656</v>
      </c>
      <c r="AH8" s="69">
        <f>+[2]NOV!B2</f>
        <v>152.922</v>
      </c>
      <c r="AI8" s="69">
        <f>+[2]NOV!C2</f>
        <v>127.483</v>
      </c>
      <c r="AJ8" s="69">
        <f>+[2]NOV!D2</f>
        <v>12.8</v>
      </c>
      <c r="AK8" s="69">
        <f>+[2]NOV!E2</f>
        <v>25.3</v>
      </c>
      <c r="AL8" s="69">
        <f>+[2]NOV!F2</f>
        <v>62.9</v>
      </c>
      <c r="AM8" s="69">
        <f>+[2]NOV!G2</f>
        <v>7.9</v>
      </c>
      <c r="AN8" s="69">
        <f>+[2]NOV!H2</f>
        <v>137.69999999999999</v>
      </c>
      <c r="AO8" s="69">
        <f>+[2]NOV!I2</f>
        <v>0</v>
      </c>
      <c r="AP8" s="69">
        <f>+[2]NOV!J2</f>
        <v>86.3</v>
      </c>
      <c r="AQ8" s="69">
        <f>+[2]NOV!K2</f>
        <v>7.3</v>
      </c>
      <c r="AR8" s="69"/>
      <c r="AS8" s="69"/>
      <c r="AT8" s="70">
        <f>SUM(AH8:AS8)</f>
        <v>620.60499999999979</v>
      </c>
      <c r="AU8" s="213">
        <v>19845</v>
      </c>
      <c r="AV8" s="71">
        <f t="shared" ref="AV8:AV37" si="4">AU8-AU7</f>
        <v>656</v>
      </c>
      <c r="AW8" s="72">
        <f t="shared" ref="AW8:AW37" si="5">AG8-AV8</f>
        <v>0</v>
      </c>
      <c r="AX8" s="18">
        <v>27.94</v>
      </c>
      <c r="AY8" s="73"/>
      <c r="AZ8" s="57"/>
      <c r="BA8" s="18"/>
      <c r="BB8" s="18"/>
      <c r="BD8" s="74">
        <f>+[3]NOV!H3</f>
        <v>401.2</v>
      </c>
      <c r="BE8" s="75">
        <f>BD8-BK8</f>
        <v>56.799999999999955</v>
      </c>
      <c r="BF8" s="76">
        <f>+[3]NOV!B3</f>
        <v>145.80000000000001</v>
      </c>
      <c r="BG8" s="76">
        <f>+[3]NOV!C3</f>
        <v>71.8</v>
      </c>
      <c r="BH8" s="76">
        <f>+[3]NOV!D3</f>
        <v>0</v>
      </c>
      <c r="BI8" s="76">
        <f>+[3]NOV!E3</f>
        <v>126.80000000000001</v>
      </c>
      <c r="BJ8" s="18"/>
      <c r="BK8" s="77">
        <f>SUM(BF8:BJ8)</f>
        <v>344.40000000000003</v>
      </c>
      <c r="BL8" s="77">
        <f>ABS(BM8-BK8)</f>
        <v>55.599999999999966</v>
      </c>
      <c r="BM8" s="18">
        <f t="shared" ref="BM8:BM37" si="6">BN8-BN7</f>
        <v>400</v>
      </c>
      <c r="BN8" s="212">
        <v>104825</v>
      </c>
    </row>
    <row r="9" spans="1:122" s="82" customFormat="1" ht="14.45" customHeight="1" x14ac:dyDescent="0.25">
      <c r="A9" s="19">
        <f t="shared" ref="A9:A36" si="7">A8+1</f>
        <v>2</v>
      </c>
      <c r="B9" s="60">
        <f t="shared" ref="B9:B36" si="8">SUM(C9:E9)</f>
        <v>0</v>
      </c>
      <c r="C9" s="60"/>
      <c r="D9" s="78"/>
      <c r="E9" s="78"/>
      <c r="F9" s="60">
        <f t="shared" ref="F9:F35" si="9">SUM(G9:I9)</f>
        <v>0</v>
      </c>
      <c r="G9" s="61"/>
      <c r="H9" s="78"/>
      <c r="I9" s="78"/>
      <c r="J9" s="60">
        <f t="shared" si="0"/>
        <v>0</v>
      </c>
      <c r="K9" s="79"/>
      <c r="L9" s="79"/>
      <c r="M9" s="79"/>
      <c r="N9" s="60">
        <f t="shared" ref="N9:N36" si="10">B9+F9+J9</f>
        <v>0</v>
      </c>
      <c r="O9" s="63"/>
      <c r="P9" s="64"/>
      <c r="Q9" s="64"/>
      <c r="R9" s="61"/>
      <c r="S9" s="61"/>
      <c r="T9" s="61"/>
      <c r="U9" s="65">
        <f t="shared" si="1"/>
        <v>0</v>
      </c>
      <c r="V9" s="66" t="e">
        <f t="shared" ref="V9:V35" si="11">B9/U9</f>
        <v>#DIV/0!</v>
      </c>
      <c r="W9" s="61"/>
      <c r="X9" s="61"/>
      <c r="Y9" s="61"/>
      <c r="Z9" s="67">
        <f>SUM(W9:Y9)</f>
        <v>0</v>
      </c>
      <c r="AA9" s="67" t="e">
        <f t="shared" si="2"/>
        <v>#DIV/0!</v>
      </c>
      <c r="AB9" s="61"/>
      <c r="AC9" s="61"/>
      <c r="AD9" s="61"/>
      <c r="AE9" s="67">
        <f t="shared" ref="AE9:AE35" si="12">SUM(AB9:AD9)</f>
        <v>0</v>
      </c>
      <c r="AF9" s="67" t="e">
        <f t="shared" si="3"/>
        <v>#DIV/0!</v>
      </c>
      <c r="AG9" s="68">
        <f t="shared" ref="AG9:AG37" si="13">AV9</f>
        <v>653</v>
      </c>
      <c r="AH9" s="69">
        <f>+[2]NOV!B3</f>
        <v>158.39499999999998</v>
      </c>
      <c r="AI9" s="69">
        <f>+[2]NOV!C3</f>
        <v>129.185</v>
      </c>
      <c r="AJ9" s="69">
        <f>+[2]NOV!D3</f>
        <v>13.6</v>
      </c>
      <c r="AK9" s="69">
        <f>+[2]NOV!E3</f>
        <v>23.5</v>
      </c>
      <c r="AL9" s="69">
        <f>+[2]NOV!F3</f>
        <v>67.8</v>
      </c>
      <c r="AM9" s="69">
        <f>+[2]NOV!G3</f>
        <v>10.9</v>
      </c>
      <c r="AN9" s="69">
        <f>+[2]NOV!H3</f>
        <v>135.19999999999999</v>
      </c>
      <c r="AO9" s="69">
        <f>+[2]NOV!I3</f>
        <v>0</v>
      </c>
      <c r="AP9" s="69">
        <f>+[2]NOV!J3</f>
        <v>73.900000000000006</v>
      </c>
      <c r="AQ9" s="69">
        <f>+[2]NOV!K3</f>
        <v>8</v>
      </c>
      <c r="AR9" s="69"/>
      <c r="AS9" s="69"/>
      <c r="AT9" s="70">
        <f t="shared" ref="AT9:AT37" si="14">SUM(AH9:AS9)</f>
        <v>620.4799999999999</v>
      </c>
      <c r="AU9" s="213">
        <v>20498</v>
      </c>
      <c r="AV9" s="71">
        <f t="shared" si="4"/>
        <v>653</v>
      </c>
      <c r="AW9" s="72">
        <f t="shared" si="5"/>
        <v>0</v>
      </c>
      <c r="AX9" s="80">
        <v>23.35</v>
      </c>
      <c r="AY9" s="57"/>
      <c r="AZ9" s="81"/>
      <c r="BA9" s="81"/>
      <c r="BB9" s="18"/>
      <c r="BC9" s="2"/>
      <c r="BD9" s="74">
        <f>+[3]NOV!H4</f>
        <v>404.2</v>
      </c>
      <c r="BE9" s="75">
        <f t="shared" ref="BE9:BE37" si="15">BD9-BK9</f>
        <v>36.800000000000011</v>
      </c>
      <c r="BF9" s="76">
        <f>+[3]NOV!B4</f>
        <v>132.1</v>
      </c>
      <c r="BG9" s="76">
        <f>+[3]NOV!C4</f>
        <v>108.4</v>
      </c>
      <c r="BH9" s="76">
        <f>+[3]NOV!D4</f>
        <v>0</v>
      </c>
      <c r="BI9" s="76">
        <f>+[3]NOV!E4</f>
        <v>126.9</v>
      </c>
      <c r="BJ9" s="18"/>
      <c r="BK9" s="77">
        <f t="shared" ref="BK9:BK37" si="16">SUM(BF9:BJ9)</f>
        <v>367.4</v>
      </c>
      <c r="BL9" s="77">
        <f t="shared" ref="BL9:BL37" si="17">ABS(BM9-BK9)</f>
        <v>33.600000000000023</v>
      </c>
      <c r="BM9" s="18">
        <f t="shared" si="6"/>
        <v>401</v>
      </c>
      <c r="BN9" s="212">
        <v>105226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ht="14.45" customHeight="1" x14ac:dyDescent="0.25">
      <c r="A10" s="19">
        <f t="shared" si="7"/>
        <v>3</v>
      </c>
      <c r="B10" s="60">
        <f t="shared" si="8"/>
        <v>0</v>
      </c>
      <c r="C10" s="60"/>
      <c r="D10" s="78"/>
      <c r="E10" s="78"/>
      <c r="F10" s="60">
        <f t="shared" si="9"/>
        <v>0</v>
      </c>
      <c r="G10" s="61"/>
      <c r="H10" s="78"/>
      <c r="I10" s="78"/>
      <c r="J10" s="60">
        <f t="shared" si="0"/>
        <v>0</v>
      </c>
      <c r="K10" s="79"/>
      <c r="L10" s="79"/>
      <c r="M10" s="79"/>
      <c r="N10" s="60">
        <f t="shared" si="10"/>
        <v>0</v>
      </c>
      <c r="O10" s="63"/>
      <c r="P10" s="64"/>
      <c r="Q10" s="64"/>
      <c r="R10" s="61"/>
      <c r="S10" s="61"/>
      <c r="T10" s="61"/>
      <c r="U10" s="65">
        <f t="shared" si="1"/>
        <v>0</v>
      </c>
      <c r="V10" s="66" t="e">
        <f t="shared" si="11"/>
        <v>#DIV/0!</v>
      </c>
      <c r="W10" s="61"/>
      <c r="X10" s="61"/>
      <c r="Y10" s="61"/>
      <c r="Z10" s="67">
        <f>SUM(W10:Y10)</f>
        <v>0</v>
      </c>
      <c r="AA10" s="67" t="e">
        <f t="shared" si="2"/>
        <v>#DIV/0!</v>
      </c>
      <c r="AB10" s="61"/>
      <c r="AC10" s="61"/>
      <c r="AD10" s="61"/>
      <c r="AE10" s="67">
        <f t="shared" si="12"/>
        <v>0</v>
      </c>
      <c r="AF10" s="67" t="e">
        <f t="shared" si="3"/>
        <v>#DIV/0!</v>
      </c>
      <c r="AG10" s="68">
        <f t="shared" si="13"/>
        <v>592</v>
      </c>
      <c r="AH10" s="69">
        <f>+[2]NOV!B4</f>
        <v>167.041</v>
      </c>
      <c r="AI10" s="210">
        <f>+[2]NOV!C4</f>
        <v>137.22300000000001</v>
      </c>
      <c r="AJ10" s="69">
        <f>+[2]NOV!D4</f>
        <v>11.2</v>
      </c>
      <c r="AK10" s="69">
        <f>+[2]NOV!E4</f>
        <v>23.4</v>
      </c>
      <c r="AL10" s="69">
        <f>+[2]NOV!F4</f>
        <v>69</v>
      </c>
      <c r="AM10" s="69">
        <f>+[2]NOV!G4</f>
        <v>9.9</v>
      </c>
      <c r="AN10" s="69">
        <f>+[2]NOV!H4</f>
        <v>58.3</v>
      </c>
      <c r="AO10" s="69">
        <f>+[2]NOV!I4</f>
        <v>0</v>
      </c>
      <c r="AP10" s="69">
        <f>+[2]NOV!J4</f>
        <v>87.9</v>
      </c>
      <c r="AQ10" s="69">
        <f>+[2]NOV!K4</f>
        <v>8.1</v>
      </c>
      <c r="AR10" s="69"/>
      <c r="AS10" s="69"/>
      <c r="AT10" s="70">
        <f t="shared" si="14"/>
        <v>572.06399999999996</v>
      </c>
      <c r="AU10" s="213">
        <v>21090</v>
      </c>
      <c r="AV10" s="71">
        <f t="shared" si="4"/>
        <v>592</v>
      </c>
      <c r="AW10" s="72">
        <f t="shared" si="5"/>
        <v>0</v>
      </c>
      <c r="AX10" s="18">
        <v>26.71</v>
      </c>
      <c r="AY10" s="57"/>
      <c r="AZ10" s="18"/>
      <c r="BA10" s="18"/>
      <c r="BB10" s="18"/>
      <c r="BD10" s="74">
        <f>+[3]NOV!H5</f>
        <v>460.4</v>
      </c>
      <c r="BE10" s="75">
        <f t="shared" si="15"/>
        <v>36.999999999999943</v>
      </c>
      <c r="BF10" s="76">
        <f>+[3]NOV!B5</f>
        <v>144.80000000000001</v>
      </c>
      <c r="BG10" s="76">
        <f>+[3]NOV!C5</f>
        <v>147.30000000000001</v>
      </c>
      <c r="BH10" s="76">
        <f>+[3]NOV!D5</f>
        <v>5.6</v>
      </c>
      <c r="BI10" s="76">
        <f>+[3]NOV!E5</f>
        <v>125.7</v>
      </c>
      <c r="BJ10" s="18"/>
      <c r="BK10" s="77">
        <f t="shared" si="16"/>
        <v>423.40000000000003</v>
      </c>
      <c r="BL10" s="77">
        <f t="shared" si="17"/>
        <v>30.599999999999966</v>
      </c>
      <c r="BM10" s="18">
        <f t="shared" si="6"/>
        <v>454</v>
      </c>
      <c r="BN10" s="212">
        <v>105680</v>
      </c>
    </row>
    <row r="11" spans="1:122" s="89" customFormat="1" ht="14.45" customHeight="1" x14ac:dyDescent="0.25">
      <c r="A11" s="84">
        <f t="shared" si="7"/>
        <v>4</v>
      </c>
      <c r="B11" s="60">
        <f t="shared" si="8"/>
        <v>0</v>
      </c>
      <c r="C11" s="60"/>
      <c r="D11" s="78"/>
      <c r="E11" s="78"/>
      <c r="F11" s="60">
        <f t="shared" si="9"/>
        <v>0</v>
      </c>
      <c r="G11" s="61"/>
      <c r="H11" s="78"/>
      <c r="I11" s="78"/>
      <c r="J11" s="60">
        <f t="shared" si="0"/>
        <v>0</v>
      </c>
      <c r="K11" s="79"/>
      <c r="L11" s="79"/>
      <c r="M11" s="79"/>
      <c r="N11" s="60">
        <f t="shared" si="10"/>
        <v>0</v>
      </c>
      <c r="O11" s="85"/>
      <c r="P11" s="64"/>
      <c r="Q11" s="64"/>
      <c r="R11" s="61"/>
      <c r="S11" s="61"/>
      <c r="T11" s="61"/>
      <c r="U11" s="65">
        <f t="shared" si="1"/>
        <v>0</v>
      </c>
      <c r="V11" s="86" t="e">
        <f t="shared" si="11"/>
        <v>#DIV/0!</v>
      </c>
      <c r="W11" s="61"/>
      <c r="X11" s="61"/>
      <c r="Y11" s="61"/>
      <c r="Z11" s="67">
        <f>SUM(W11:Y11)</f>
        <v>0</v>
      </c>
      <c r="AA11" s="67" t="e">
        <f>F11/Z11</f>
        <v>#DIV/0!</v>
      </c>
      <c r="AB11" s="61"/>
      <c r="AC11" s="61"/>
      <c r="AD11" s="61"/>
      <c r="AE11" s="87">
        <f t="shared" si="12"/>
        <v>0</v>
      </c>
      <c r="AF11" s="87" t="e">
        <f>J11/AE11</f>
        <v>#DIV/0!</v>
      </c>
      <c r="AG11" s="68">
        <f t="shared" si="13"/>
        <v>656</v>
      </c>
      <c r="AH11" s="69">
        <f>+[2]NOV!B5</f>
        <v>147.04700000000003</v>
      </c>
      <c r="AI11" s="69">
        <f>+[2]NOV!C5</f>
        <v>138.83099999999999</v>
      </c>
      <c r="AJ11" s="69">
        <f>+[2]NOV!D5</f>
        <v>15.2</v>
      </c>
      <c r="AK11" s="69">
        <f>+[2]NOV!E5</f>
        <v>7.1</v>
      </c>
      <c r="AL11" s="69">
        <f>+[2]NOV!F5</f>
        <v>68.5</v>
      </c>
      <c r="AM11" s="69">
        <f>+[2]NOV!G5</f>
        <v>11.1</v>
      </c>
      <c r="AN11" s="69">
        <f>+[2]NOV!H5</f>
        <v>139.5</v>
      </c>
      <c r="AO11" s="69">
        <f>+[2]NOV!I5</f>
        <v>0</v>
      </c>
      <c r="AP11" s="69">
        <f>+[2]NOV!J5</f>
        <v>100.8</v>
      </c>
      <c r="AQ11" s="69">
        <f>+[2]NOV!K5</f>
        <v>10.5</v>
      </c>
      <c r="AR11" s="69"/>
      <c r="AS11" s="69"/>
      <c r="AT11" s="70">
        <f t="shared" si="14"/>
        <v>638.57799999999997</v>
      </c>
      <c r="AU11" s="213">
        <v>21746</v>
      </c>
      <c r="AV11" s="71">
        <f t="shared" si="4"/>
        <v>656</v>
      </c>
      <c r="AW11" s="72">
        <f t="shared" si="5"/>
        <v>0</v>
      </c>
      <c r="AX11" s="59">
        <v>26.2</v>
      </c>
      <c r="AY11" s="57"/>
      <c r="AZ11" s="59"/>
      <c r="BA11" s="45"/>
      <c r="BB11" s="18"/>
      <c r="BC11" s="2"/>
      <c r="BD11" s="74">
        <f>+[3]NOV!H6</f>
        <v>518.79999999999995</v>
      </c>
      <c r="BE11" s="75">
        <f t="shared" si="15"/>
        <v>47.899999999999977</v>
      </c>
      <c r="BF11" s="76">
        <f>+[3]NOV!B6</f>
        <v>153</v>
      </c>
      <c r="BG11" s="76">
        <f>+[3]NOV!C6</f>
        <v>147.5</v>
      </c>
      <c r="BH11" s="76">
        <f>+[3]NOV!D6</f>
        <v>46.300000000000004</v>
      </c>
      <c r="BI11" s="76">
        <f>+[3]NOV!E6</f>
        <v>124.1</v>
      </c>
      <c r="BJ11" s="18"/>
      <c r="BK11" s="77">
        <f t="shared" si="16"/>
        <v>470.9</v>
      </c>
      <c r="BL11" s="77">
        <f t="shared" si="17"/>
        <v>42.100000000000023</v>
      </c>
      <c r="BM11" s="18">
        <f t="shared" si="6"/>
        <v>513</v>
      </c>
      <c r="BN11" s="212">
        <v>106193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ht="14.45" customHeight="1" x14ac:dyDescent="0.25">
      <c r="A12" s="19">
        <f t="shared" si="7"/>
        <v>5</v>
      </c>
      <c r="B12" s="60">
        <f t="shared" si="8"/>
        <v>0</v>
      </c>
      <c r="C12" s="60"/>
      <c r="D12" s="90"/>
      <c r="E12" s="91"/>
      <c r="F12" s="60">
        <f t="shared" si="9"/>
        <v>0</v>
      </c>
      <c r="G12" s="61"/>
      <c r="H12" s="60"/>
      <c r="I12" s="60"/>
      <c r="J12" s="60">
        <f t="shared" si="0"/>
        <v>0</v>
      </c>
      <c r="K12" s="79"/>
      <c r="L12" s="79"/>
      <c r="M12" s="79"/>
      <c r="N12" s="60">
        <f t="shared" si="10"/>
        <v>0</v>
      </c>
      <c r="O12" s="63"/>
      <c r="P12" s="64"/>
      <c r="Q12" s="64"/>
      <c r="R12" s="61"/>
      <c r="S12" s="61"/>
      <c r="T12" s="61"/>
      <c r="U12" s="65">
        <f t="shared" si="1"/>
        <v>0</v>
      </c>
      <c r="V12" s="66" t="e">
        <f t="shared" si="11"/>
        <v>#DIV/0!</v>
      </c>
      <c r="W12" s="61"/>
      <c r="X12" s="61"/>
      <c r="Y12" s="61"/>
      <c r="Z12" s="67">
        <f t="shared" ref="Z12:Z35" si="18">SUM(W12:Y12)</f>
        <v>0</v>
      </c>
      <c r="AA12" s="67" t="e">
        <f t="shared" si="2"/>
        <v>#DIV/0!</v>
      </c>
      <c r="AB12" s="61"/>
      <c r="AC12" s="61"/>
      <c r="AD12" s="61"/>
      <c r="AE12" s="67">
        <f t="shared" si="12"/>
        <v>0</v>
      </c>
      <c r="AF12" s="67" t="e">
        <f t="shared" si="3"/>
        <v>#DIV/0!</v>
      </c>
      <c r="AG12" s="68">
        <f t="shared" si="13"/>
        <v>580</v>
      </c>
      <c r="AH12" s="69">
        <f>+[2]NOV!B6</f>
        <v>115.56500000000001</v>
      </c>
      <c r="AI12" s="69">
        <f>+[2]NOV!C6</f>
        <v>141.54000000000002</v>
      </c>
      <c r="AJ12" s="69">
        <f>+[2]NOV!D6</f>
        <v>15.2</v>
      </c>
      <c r="AK12" s="69">
        <f>+[2]NOV!E6</f>
        <v>3.3</v>
      </c>
      <c r="AL12" s="69">
        <f>+[2]NOV!F6</f>
        <v>45.6</v>
      </c>
      <c r="AM12" s="69">
        <f>+[2]NOV!G6</f>
        <v>6</v>
      </c>
      <c r="AN12" s="69">
        <f>+[2]NOV!H6</f>
        <v>134.6</v>
      </c>
      <c r="AO12" s="69">
        <f>+[2]NOV!I6</f>
        <v>0</v>
      </c>
      <c r="AP12" s="69">
        <f>+[2]NOV!J6</f>
        <v>85.1</v>
      </c>
      <c r="AQ12" s="69">
        <f>+[2]NOV!K6</f>
        <v>8.3000000000000007</v>
      </c>
      <c r="AR12" s="69"/>
      <c r="AS12" s="69"/>
      <c r="AT12" s="70">
        <f t="shared" si="14"/>
        <v>555.20500000000004</v>
      </c>
      <c r="AU12" s="213">
        <v>22326</v>
      </c>
      <c r="AV12" s="71">
        <f t="shared" si="4"/>
        <v>580</v>
      </c>
      <c r="AW12" s="72">
        <f t="shared" si="5"/>
        <v>0</v>
      </c>
      <c r="AX12" s="18">
        <v>26.23</v>
      </c>
      <c r="AY12" s="57"/>
      <c r="AZ12" s="18"/>
      <c r="BA12" s="18"/>
      <c r="BB12" s="18"/>
      <c r="BD12" s="74">
        <f>+[3]NOV!H7</f>
        <v>532.6</v>
      </c>
      <c r="BE12" s="75">
        <f t="shared" si="15"/>
        <v>59.700000000000045</v>
      </c>
      <c r="BF12" s="76">
        <f>+[3]NOV!B7</f>
        <v>154.19999999999999</v>
      </c>
      <c r="BG12" s="76">
        <f>+[3]NOV!C7</f>
        <v>140</v>
      </c>
      <c r="BH12" s="76">
        <f>+[3]NOV!D7</f>
        <v>112.6</v>
      </c>
      <c r="BI12" s="76">
        <f>+[3]NOV!E7</f>
        <v>66.099999999999994</v>
      </c>
      <c r="BJ12" s="18"/>
      <c r="BK12" s="77">
        <f t="shared" si="16"/>
        <v>472.9</v>
      </c>
      <c r="BL12" s="77">
        <f t="shared" si="17"/>
        <v>57.100000000000023</v>
      </c>
      <c r="BM12" s="18">
        <f t="shared" si="6"/>
        <v>530</v>
      </c>
      <c r="BN12" s="212">
        <v>106723</v>
      </c>
    </row>
    <row r="13" spans="1:122" ht="14.45" customHeight="1" x14ac:dyDescent="0.25">
      <c r="A13" s="19">
        <f t="shared" si="7"/>
        <v>6</v>
      </c>
      <c r="B13" s="60">
        <f t="shared" si="8"/>
        <v>0</v>
      </c>
      <c r="C13" s="60"/>
      <c r="D13" s="92"/>
      <c r="E13" s="93"/>
      <c r="F13" s="60">
        <f t="shared" si="9"/>
        <v>0</v>
      </c>
      <c r="G13" s="61"/>
      <c r="H13" s="60"/>
      <c r="I13" s="60"/>
      <c r="J13" s="60">
        <f t="shared" si="0"/>
        <v>0</v>
      </c>
      <c r="K13" s="79"/>
      <c r="L13" s="79"/>
      <c r="M13" s="79"/>
      <c r="N13" s="60">
        <f t="shared" si="10"/>
        <v>0</v>
      </c>
      <c r="O13" s="63"/>
      <c r="P13" s="64"/>
      <c r="Q13" s="64"/>
      <c r="R13" s="79"/>
      <c r="S13" s="61"/>
      <c r="T13" s="61"/>
      <c r="U13" s="65">
        <f t="shared" si="1"/>
        <v>0</v>
      </c>
      <c r="V13" s="66" t="e">
        <f t="shared" si="11"/>
        <v>#DIV/0!</v>
      </c>
      <c r="W13" s="61"/>
      <c r="X13" s="61"/>
      <c r="Y13" s="61"/>
      <c r="Z13" s="67">
        <f t="shared" si="18"/>
        <v>0</v>
      </c>
      <c r="AA13" s="67" t="e">
        <f t="shared" si="2"/>
        <v>#DIV/0!</v>
      </c>
      <c r="AB13" s="61"/>
      <c r="AC13" s="61"/>
      <c r="AD13" s="61"/>
      <c r="AE13" s="67">
        <f t="shared" si="12"/>
        <v>0</v>
      </c>
      <c r="AF13" s="67" t="e">
        <f t="shared" si="3"/>
        <v>#DIV/0!</v>
      </c>
      <c r="AG13" s="68">
        <f t="shared" si="13"/>
        <v>632</v>
      </c>
      <c r="AH13" s="69">
        <f>+[2]NOV!B7</f>
        <v>116.557</v>
      </c>
      <c r="AI13" s="69">
        <f>+[2]NOV!C7</f>
        <v>144.62700000000001</v>
      </c>
      <c r="AJ13" s="69">
        <f>+[2]NOV!D7</f>
        <v>14.4</v>
      </c>
      <c r="AK13" s="69">
        <f>+[2]NOV!E7</f>
        <v>4.3</v>
      </c>
      <c r="AL13" s="69">
        <f>+[2]NOV!F7</f>
        <v>70.7</v>
      </c>
      <c r="AM13" s="69">
        <f>+[2]NOV!G7</f>
        <v>11</v>
      </c>
      <c r="AN13" s="69">
        <f>+[2]NOV!H7</f>
        <v>137</v>
      </c>
      <c r="AO13" s="69">
        <f>+[2]NOV!I7</f>
        <v>0</v>
      </c>
      <c r="AP13" s="69">
        <f>+[2]NOV!J7</f>
        <v>93.1</v>
      </c>
      <c r="AQ13" s="69">
        <f>+[2]NOV!K7</f>
        <v>7.9</v>
      </c>
      <c r="AR13" s="69"/>
      <c r="AS13" s="69"/>
      <c r="AT13" s="70">
        <f t="shared" si="14"/>
        <v>599.58399999999995</v>
      </c>
      <c r="AU13" s="213">
        <v>22958</v>
      </c>
      <c r="AV13" s="71">
        <f t="shared" si="4"/>
        <v>632</v>
      </c>
      <c r="AW13" s="72">
        <f t="shared" si="5"/>
        <v>0</v>
      </c>
      <c r="AX13" s="18">
        <v>26.77</v>
      </c>
      <c r="AY13" s="57"/>
      <c r="AZ13" s="18"/>
      <c r="BA13" s="18"/>
      <c r="BB13" s="18"/>
      <c r="BD13" s="74">
        <f>+[3]NOV!H8</f>
        <v>560.5</v>
      </c>
      <c r="BE13" s="75">
        <f t="shared" si="15"/>
        <v>70.399999999999977</v>
      </c>
      <c r="BF13" s="76">
        <f>+[3]NOV!B8</f>
        <v>147.69999999999999</v>
      </c>
      <c r="BG13" s="76">
        <f>+[3]NOV!C8</f>
        <v>153.4</v>
      </c>
      <c r="BH13" s="76">
        <f>+[3]NOV!D8</f>
        <v>143.30000000000001</v>
      </c>
      <c r="BI13" s="76">
        <f>+[3]NOV!E8</f>
        <v>45.7</v>
      </c>
      <c r="BJ13" s="18"/>
      <c r="BK13" s="77">
        <f t="shared" si="16"/>
        <v>490.1</v>
      </c>
      <c r="BL13" s="77">
        <f t="shared" si="17"/>
        <v>53.899999999999977</v>
      </c>
      <c r="BM13" s="18">
        <f t="shared" si="6"/>
        <v>544</v>
      </c>
      <c r="BN13" s="212">
        <v>107267</v>
      </c>
    </row>
    <row r="14" spans="1:122" s="89" customFormat="1" ht="14.45" customHeight="1" x14ac:dyDescent="0.25">
      <c r="A14" s="84">
        <f t="shared" si="7"/>
        <v>7</v>
      </c>
      <c r="B14" s="60">
        <f t="shared" si="8"/>
        <v>0</v>
      </c>
      <c r="C14" s="60"/>
      <c r="D14" s="92"/>
      <c r="E14" s="93"/>
      <c r="F14" s="60">
        <f t="shared" si="9"/>
        <v>0</v>
      </c>
      <c r="G14" s="61"/>
      <c r="H14" s="78"/>
      <c r="I14" s="78"/>
      <c r="J14" s="60">
        <f t="shared" si="0"/>
        <v>0</v>
      </c>
      <c r="K14" s="79"/>
      <c r="L14" s="79"/>
      <c r="M14" s="79"/>
      <c r="N14" s="60">
        <f t="shared" si="10"/>
        <v>0</v>
      </c>
      <c r="O14" s="85"/>
      <c r="P14" s="64"/>
      <c r="Q14" s="64"/>
      <c r="R14" s="79"/>
      <c r="S14" s="61" t="s">
        <v>57</v>
      </c>
      <c r="T14" s="61"/>
      <c r="U14" s="65">
        <f t="shared" si="1"/>
        <v>0</v>
      </c>
      <c r="V14" s="86" t="e">
        <f t="shared" si="11"/>
        <v>#DIV/0!</v>
      </c>
      <c r="W14" s="61"/>
      <c r="X14" s="61"/>
      <c r="Y14" s="61"/>
      <c r="Z14" s="67">
        <f t="shared" si="18"/>
        <v>0</v>
      </c>
      <c r="AA14" s="67" t="e">
        <f t="shared" si="2"/>
        <v>#DIV/0!</v>
      </c>
      <c r="AB14" s="61"/>
      <c r="AC14" s="61"/>
      <c r="AD14" s="61"/>
      <c r="AE14" s="67">
        <f t="shared" si="12"/>
        <v>0</v>
      </c>
      <c r="AF14" s="87" t="e">
        <f t="shared" si="3"/>
        <v>#DIV/0!</v>
      </c>
      <c r="AG14" s="68">
        <f t="shared" si="13"/>
        <v>637</v>
      </c>
      <c r="AH14" s="69">
        <f>+[2]NOV!B8</f>
        <v>118.98599999999999</v>
      </c>
      <c r="AI14" s="69">
        <f>+[2]NOV!C8</f>
        <v>125.8</v>
      </c>
      <c r="AJ14" s="69">
        <f>+[2]NOV!D8</f>
        <v>12.8</v>
      </c>
      <c r="AK14" s="69">
        <f>+[2]NOV!E8</f>
        <v>27.7</v>
      </c>
      <c r="AL14" s="69">
        <f>+[2]NOV!F8</f>
        <v>66.099999999999994</v>
      </c>
      <c r="AM14" s="69">
        <f>+[2]NOV!G8</f>
        <v>10.8</v>
      </c>
      <c r="AN14" s="69">
        <f>+[2]NOV!H8</f>
        <v>136.4</v>
      </c>
      <c r="AO14" s="69">
        <f>+[2]NOV!I8</f>
        <v>0</v>
      </c>
      <c r="AP14" s="69">
        <f>+[2]NOV!J8</f>
        <v>98.9</v>
      </c>
      <c r="AQ14" s="69">
        <f>+[2]NOV!K8</f>
        <v>9</v>
      </c>
      <c r="AR14" s="69"/>
      <c r="AS14" s="69"/>
      <c r="AT14" s="70">
        <f t="shared" si="14"/>
        <v>606.48599999999999</v>
      </c>
      <c r="AU14" s="213">
        <v>23595</v>
      </c>
      <c r="AV14" s="71">
        <f t="shared" si="4"/>
        <v>637</v>
      </c>
      <c r="AW14" s="72">
        <f t="shared" si="5"/>
        <v>0</v>
      </c>
      <c r="AX14" s="18">
        <v>26.79</v>
      </c>
      <c r="AY14" s="57"/>
      <c r="AZ14" s="18"/>
      <c r="BA14" s="59"/>
      <c r="BB14" s="18"/>
      <c r="BC14" s="2"/>
      <c r="BD14" s="74">
        <f>+[3]NOV!H9</f>
        <v>583.9</v>
      </c>
      <c r="BE14" s="75">
        <f t="shared" si="15"/>
        <v>20.800000000000068</v>
      </c>
      <c r="BF14" s="76">
        <f>+[3]NOV!B9</f>
        <v>157.19999999999999</v>
      </c>
      <c r="BG14" s="76">
        <f>+[3]NOV!C9</f>
        <v>157.19999999999999</v>
      </c>
      <c r="BH14" s="76">
        <f>+[3]NOV!D9</f>
        <v>136.19999999999999</v>
      </c>
      <c r="BI14" s="76">
        <f>+[3]NOV!E9</f>
        <v>112.5</v>
      </c>
      <c r="BJ14" s="18"/>
      <c r="BK14" s="77">
        <f t="shared" si="16"/>
        <v>563.09999999999991</v>
      </c>
      <c r="BL14" s="77">
        <f t="shared" si="17"/>
        <v>28.900000000000091</v>
      </c>
      <c r="BM14" s="18">
        <f t="shared" si="6"/>
        <v>592</v>
      </c>
      <c r="BN14" s="212">
        <v>107859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89" customFormat="1" ht="14.45" customHeight="1" x14ac:dyDescent="0.25">
      <c r="A15" s="84">
        <f t="shared" si="7"/>
        <v>8</v>
      </c>
      <c r="B15" s="60">
        <f t="shared" si="8"/>
        <v>0</v>
      </c>
      <c r="C15" s="60"/>
      <c r="D15" s="92"/>
      <c r="E15" s="93"/>
      <c r="F15" s="60">
        <f t="shared" si="9"/>
        <v>0</v>
      </c>
      <c r="G15" s="61"/>
      <c r="H15" s="92"/>
      <c r="I15" s="93"/>
      <c r="J15" s="60">
        <f t="shared" si="0"/>
        <v>0</v>
      </c>
      <c r="K15" s="79"/>
      <c r="L15" s="79"/>
      <c r="M15" s="79"/>
      <c r="N15" s="60">
        <f t="shared" si="10"/>
        <v>0</v>
      </c>
      <c r="O15" s="85"/>
      <c r="P15" s="64"/>
      <c r="Q15" s="64"/>
      <c r="R15" s="61"/>
      <c r="S15" s="61"/>
      <c r="T15" s="61"/>
      <c r="U15" s="65">
        <f t="shared" si="1"/>
        <v>0</v>
      </c>
      <c r="V15" s="86" t="e">
        <f t="shared" si="11"/>
        <v>#DIV/0!</v>
      </c>
      <c r="W15" s="61"/>
      <c r="X15" s="61"/>
      <c r="Y15" s="61"/>
      <c r="Z15" s="87">
        <f t="shared" si="18"/>
        <v>0</v>
      </c>
      <c r="AA15" s="67" t="e">
        <f t="shared" si="2"/>
        <v>#DIV/0!</v>
      </c>
      <c r="AB15" s="61"/>
      <c r="AC15" s="61"/>
      <c r="AD15" s="61"/>
      <c r="AE15" s="87">
        <f t="shared" si="12"/>
        <v>0</v>
      </c>
      <c r="AF15" s="87" t="e">
        <f t="shared" si="3"/>
        <v>#DIV/0!</v>
      </c>
      <c r="AG15" s="68">
        <f t="shared" si="13"/>
        <v>647</v>
      </c>
      <c r="AH15" s="69">
        <f>+[2]NOV!B9</f>
        <v>113.193</v>
      </c>
      <c r="AI15" s="69">
        <f>+[2]NOV!C9</f>
        <v>131.1</v>
      </c>
      <c r="AJ15" s="69">
        <f>+[2]NOV!D9</f>
        <v>14.4</v>
      </c>
      <c r="AK15" s="69">
        <f>+[2]NOV!E9</f>
        <v>29.6</v>
      </c>
      <c r="AL15" s="69">
        <f>+[2]NOV!F9</f>
        <v>66.599999999999994</v>
      </c>
      <c r="AM15" s="69">
        <f>+[2]NOV!G9</f>
        <v>10.4</v>
      </c>
      <c r="AN15" s="69">
        <f>+[2]NOV!H9</f>
        <v>137.80000000000001</v>
      </c>
      <c r="AO15" s="69">
        <f>+[2]NOV!I9</f>
        <v>0</v>
      </c>
      <c r="AP15" s="69">
        <f>+[2]NOV!J9</f>
        <v>99.5</v>
      </c>
      <c r="AQ15" s="69">
        <f>+[2]NOV!K9</f>
        <v>9.4</v>
      </c>
      <c r="AR15" s="69"/>
      <c r="AS15" s="69"/>
      <c r="AT15" s="70">
        <f t="shared" si="14"/>
        <v>611.99300000000005</v>
      </c>
      <c r="AU15" s="213">
        <v>24242</v>
      </c>
      <c r="AV15" s="71">
        <f t="shared" si="4"/>
        <v>647</v>
      </c>
      <c r="AW15" s="72">
        <f t="shared" si="5"/>
        <v>0</v>
      </c>
      <c r="AX15" s="18">
        <v>27.31</v>
      </c>
      <c r="AY15" s="57"/>
      <c r="AZ15" s="18"/>
      <c r="BA15" s="59"/>
      <c r="BB15" s="18"/>
      <c r="BC15" s="2"/>
      <c r="BD15" s="74">
        <f>+[3]NOV!H10</f>
        <v>627.20000000000005</v>
      </c>
      <c r="BE15" s="75">
        <f t="shared" si="15"/>
        <v>47.5</v>
      </c>
      <c r="BF15" s="76">
        <f>+[3]NOV!B10</f>
        <v>160.30000000000001</v>
      </c>
      <c r="BG15" s="76">
        <f>+[3]NOV!C10</f>
        <v>157.80000000000001</v>
      </c>
      <c r="BH15" s="76">
        <f>+[3]NOV!D10</f>
        <v>133.30000000000001</v>
      </c>
      <c r="BI15" s="76">
        <f>+[3]NOV!E10</f>
        <v>128.30000000000001</v>
      </c>
      <c r="BJ15" s="18"/>
      <c r="BK15" s="77">
        <f t="shared" si="16"/>
        <v>579.70000000000005</v>
      </c>
      <c r="BL15" s="77">
        <f t="shared" si="17"/>
        <v>38.299999999999955</v>
      </c>
      <c r="BM15" s="18">
        <f t="shared" si="6"/>
        <v>618</v>
      </c>
      <c r="BN15" s="212">
        <v>108477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89" customFormat="1" ht="14.45" customHeight="1" x14ac:dyDescent="0.25">
      <c r="A16" s="84">
        <f t="shared" si="7"/>
        <v>9</v>
      </c>
      <c r="B16" s="60">
        <f t="shared" si="8"/>
        <v>0</v>
      </c>
      <c r="C16" s="60"/>
      <c r="D16" s="92"/>
      <c r="E16" s="93"/>
      <c r="F16" s="60">
        <f t="shared" si="9"/>
        <v>0</v>
      </c>
      <c r="G16" s="61"/>
      <c r="H16" s="92"/>
      <c r="I16" s="93"/>
      <c r="J16" s="60">
        <f t="shared" si="0"/>
        <v>0</v>
      </c>
      <c r="K16" s="79"/>
      <c r="L16" s="79"/>
      <c r="M16" s="79"/>
      <c r="N16" s="60">
        <f t="shared" si="10"/>
        <v>0</v>
      </c>
      <c r="O16" s="85"/>
      <c r="P16" s="64"/>
      <c r="Q16" s="64"/>
      <c r="R16" s="61"/>
      <c r="S16" s="61"/>
      <c r="T16" s="61"/>
      <c r="U16" s="94">
        <f t="shared" ref="U16:U35" si="19">SUM(R16:T16)</f>
        <v>0</v>
      </c>
      <c r="V16" s="86" t="e">
        <f t="shared" si="11"/>
        <v>#DIV/0!</v>
      </c>
      <c r="W16" s="61"/>
      <c r="X16" s="61"/>
      <c r="Y16" s="61"/>
      <c r="Z16" s="87">
        <f t="shared" si="18"/>
        <v>0</v>
      </c>
      <c r="AA16" s="67" t="e">
        <f t="shared" si="2"/>
        <v>#DIV/0!</v>
      </c>
      <c r="AB16" s="61"/>
      <c r="AC16" s="61"/>
      <c r="AD16" s="61"/>
      <c r="AE16" s="87">
        <f t="shared" si="12"/>
        <v>0</v>
      </c>
      <c r="AF16" s="87" t="e">
        <f t="shared" si="3"/>
        <v>#DIV/0!</v>
      </c>
      <c r="AG16" s="68">
        <f t="shared" si="13"/>
        <v>653</v>
      </c>
      <c r="AH16" s="69">
        <f>+[2]NOV!B10</f>
        <v>117.13600000000001</v>
      </c>
      <c r="AI16" s="69">
        <f>+[2]NOV!C10</f>
        <v>128.4</v>
      </c>
      <c r="AJ16" s="69">
        <f>+[2]NOV!D10</f>
        <v>15.2</v>
      </c>
      <c r="AK16" s="69">
        <f>+[2]NOV!E10</f>
        <v>34.799999999999997</v>
      </c>
      <c r="AL16" s="69">
        <f>+[2]NOV!F10</f>
        <v>65.8</v>
      </c>
      <c r="AM16" s="69">
        <f>+[2]NOV!G10</f>
        <v>10.8</v>
      </c>
      <c r="AN16" s="69">
        <f>+[2]NOV!H10</f>
        <v>138.5</v>
      </c>
      <c r="AO16" s="69">
        <f>+[2]NOV!I10</f>
        <v>0</v>
      </c>
      <c r="AP16" s="69">
        <f>+[2]NOV!J10</f>
        <v>101.5</v>
      </c>
      <c r="AQ16" s="69">
        <f>+[2]NOV!K10</f>
        <v>10.8</v>
      </c>
      <c r="AR16" s="69"/>
      <c r="AS16" s="69"/>
      <c r="AT16" s="70">
        <f t="shared" si="14"/>
        <v>622.93599999999992</v>
      </c>
      <c r="AU16" s="214">
        <v>24895</v>
      </c>
      <c r="AV16" s="71">
        <f t="shared" si="4"/>
        <v>653</v>
      </c>
      <c r="AW16" s="72">
        <f t="shared" si="5"/>
        <v>0</v>
      </c>
      <c r="AX16" s="18">
        <v>27.94</v>
      </c>
      <c r="AY16" s="57"/>
      <c r="AZ16" s="18"/>
      <c r="BA16" s="59"/>
      <c r="BB16" s="18"/>
      <c r="BC16" s="2"/>
      <c r="BD16" s="74">
        <f>+[3]NOV!H11</f>
        <v>612.20000000000005</v>
      </c>
      <c r="BE16" s="75">
        <f t="shared" si="15"/>
        <v>56.600000000000023</v>
      </c>
      <c r="BF16" s="76">
        <f>+[3]NOV!B11</f>
        <v>146.1</v>
      </c>
      <c r="BG16" s="76">
        <f>+[3]NOV!C11</f>
        <v>158</v>
      </c>
      <c r="BH16" s="76">
        <f>+[3]NOV!D11</f>
        <v>126.8</v>
      </c>
      <c r="BI16" s="76">
        <f>+[3]NOV!E11</f>
        <v>124.7</v>
      </c>
      <c r="BJ16" s="18"/>
      <c r="BK16" s="77">
        <f t="shared" si="16"/>
        <v>555.6</v>
      </c>
      <c r="BL16" s="77">
        <f t="shared" si="17"/>
        <v>45.399999999999977</v>
      </c>
      <c r="BM16" s="18">
        <f t="shared" si="6"/>
        <v>601</v>
      </c>
      <c r="BN16" s="212">
        <v>109078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29" ht="14.45" customHeight="1" x14ac:dyDescent="0.25">
      <c r="A17" s="19">
        <f t="shared" si="7"/>
        <v>10</v>
      </c>
      <c r="B17" s="60">
        <f t="shared" si="8"/>
        <v>0</v>
      </c>
      <c r="C17" s="60"/>
      <c r="D17" s="93"/>
      <c r="E17" s="93"/>
      <c r="F17" s="60">
        <f t="shared" si="9"/>
        <v>0</v>
      </c>
      <c r="G17" s="61"/>
      <c r="H17" s="92"/>
      <c r="I17" s="93"/>
      <c r="J17" s="60">
        <f t="shared" si="0"/>
        <v>0</v>
      </c>
      <c r="K17" s="79"/>
      <c r="L17" s="79"/>
      <c r="M17" s="79"/>
      <c r="N17" s="60">
        <f t="shared" si="10"/>
        <v>0</v>
      </c>
      <c r="O17" s="63"/>
      <c r="P17" s="64"/>
      <c r="Q17" s="64"/>
      <c r="R17" s="61"/>
      <c r="S17" s="61"/>
      <c r="T17" s="61"/>
      <c r="U17" s="95">
        <f t="shared" si="19"/>
        <v>0</v>
      </c>
      <c r="V17" s="66" t="e">
        <f t="shared" si="11"/>
        <v>#DIV/0!</v>
      </c>
      <c r="W17" s="61"/>
      <c r="X17" s="61"/>
      <c r="Y17" s="61"/>
      <c r="Z17" s="67">
        <f t="shared" si="18"/>
        <v>0</v>
      </c>
      <c r="AA17" s="67" t="e">
        <f t="shared" si="2"/>
        <v>#DIV/0!</v>
      </c>
      <c r="AB17" s="61"/>
      <c r="AC17" s="61"/>
      <c r="AD17" s="61"/>
      <c r="AE17" s="67">
        <f t="shared" si="12"/>
        <v>0</v>
      </c>
      <c r="AF17" s="67" t="e">
        <f t="shared" si="3"/>
        <v>#DIV/0!</v>
      </c>
      <c r="AG17" s="68">
        <f t="shared" si="13"/>
        <v>661</v>
      </c>
      <c r="AH17" s="69">
        <f>+[2]NOV!B11</f>
        <v>119.291</v>
      </c>
      <c r="AI17" s="69">
        <f>+[2]NOV!C11</f>
        <v>130.5</v>
      </c>
      <c r="AJ17" s="69">
        <f>+[2]NOV!D11</f>
        <v>13.6</v>
      </c>
      <c r="AK17" s="69">
        <f>+[2]NOV!E11</f>
        <v>33.799999999999997</v>
      </c>
      <c r="AL17" s="69">
        <f>+[2]NOV!F11</f>
        <v>65.900000000000006</v>
      </c>
      <c r="AM17" s="69">
        <f>+[2]NOV!G11</f>
        <v>9.6</v>
      </c>
      <c r="AN17" s="69">
        <f>+[2]NOV!H11</f>
        <v>136.30000000000001</v>
      </c>
      <c r="AO17" s="69">
        <f>+[2]NOV!I11</f>
        <v>0</v>
      </c>
      <c r="AP17" s="69">
        <f>+[2]NOV!J11</f>
        <v>99.2</v>
      </c>
      <c r="AQ17" s="69">
        <f>+[2]NOV!K11</f>
        <v>9.3000000000000007</v>
      </c>
      <c r="AR17" s="69"/>
      <c r="AS17" s="69"/>
      <c r="AT17" s="70">
        <f t="shared" si="14"/>
        <v>617.49099999999999</v>
      </c>
      <c r="AU17" s="214">
        <v>25556</v>
      </c>
      <c r="AV17" s="71">
        <f t="shared" si="4"/>
        <v>661</v>
      </c>
      <c r="AW17" s="72">
        <f t="shared" si="5"/>
        <v>0</v>
      </c>
      <c r="AX17" s="18">
        <v>27.67</v>
      </c>
      <c r="AY17" s="57"/>
      <c r="AZ17" s="18"/>
      <c r="BA17" s="18"/>
      <c r="BB17" s="18"/>
      <c r="BD17" s="74">
        <f>+[3]NOV!H12</f>
        <v>535.5</v>
      </c>
      <c r="BE17" s="75">
        <f t="shared" si="15"/>
        <v>19.799999999999955</v>
      </c>
      <c r="BF17" s="76">
        <f>+[3]NOV!B12</f>
        <v>102</v>
      </c>
      <c r="BG17" s="76">
        <f>+[3]NOV!C12</f>
        <v>157.80000000000001</v>
      </c>
      <c r="BH17" s="76">
        <f>+[3]NOV!D12</f>
        <v>141.9</v>
      </c>
      <c r="BI17" s="76">
        <f>+[3]NOV!E12</f>
        <v>114</v>
      </c>
      <c r="BJ17" s="18"/>
      <c r="BK17" s="77">
        <f t="shared" si="16"/>
        <v>515.70000000000005</v>
      </c>
      <c r="BL17" s="77">
        <f t="shared" si="17"/>
        <v>35.299999999999955</v>
      </c>
      <c r="BM17" s="18">
        <f t="shared" si="6"/>
        <v>551</v>
      </c>
      <c r="BN17" s="212">
        <v>109629</v>
      </c>
    </row>
    <row r="18" spans="1:229" ht="14.45" customHeight="1" x14ac:dyDescent="0.25">
      <c r="A18" s="19">
        <v>11</v>
      </c>
      <c r="B18" s="60">
        <f t="shared" si="8"/>
        <v>0</v>
      </c>
      <c r="C18" s="60"/>
      <c r="D18" s="93"/>
      <c r="E18" s="93"/>
      <c r="F18" s="60">
        <f t="shared" si="9"/>
        <v>0</v>
      </c>
      <c r="G18" s="61"/>
      <c r="H18" s="60"/>
      <c r="I18" s="60"/>
      <c r="J18" s="60">
        <f t="shared" si="0"/>
        <v>0</v>
      </c>
      <c r="K18" s="79"/>
      <c r="L18" s="79"/>
      <c r="M18" s="79"/>
      <c r="N18" s="60">
        <f t="shared" si="10"/>
        <v>0</v>
      </c>
      <c r="O18" s="63"/>
      <c r="P18" s="64"/>
      <c r="Q18" s="64"/>
      <c r="R18" s="61"/>
      <c r="S18" s="61"/>
      <c r="T18" s="61"/>
      <c r="U18" s="95">
        <f t="shared" si="19"/>
        <v>0</v>
      </c>
      <c r="V18" s="66" t="e">
        <f t="shared" si="11"/>
        <v>#DIV/0!</v>
      </c>
      <c r="W18" s="61"/>
      <c r="X18" s="61"/>
      <c r="Y18" s="61"/>
      <c r="Z18" s="67">
        <f t="shared" si="18"/>
        <v>0</v>
      </c>
      <c r="AA18" s="67" t="e">
        <f t="shared" si="2"/>
        <v>#DIV/0!</v>
      </c>
      <c r="AB18" s="61"/>
      <c r="AC18" s="61"/>
      <c r="AD18" s="61"/>
      <c r="AE18" s="67">
        <f t="shared" si="12"/>
        <v>0</v>
      </c>
      <c r="AF18" s="67" t="e">
        <f t="shared" si="3"/>
        <v>#DIV/0!</v>
      </c>
      <c r="AG18" s="68">
        <f t="shared" si="13"/>
        <v>664</v>
      </c>
      <c r="AH18" s="69">
        <f>+[2]NOV!B12</f>
        <v>122.351</v>
      </c>
      <c r="AI18" s="69">
        <f>+[2]NOV!C12</f>
        <v>135.02000000000001</v>
      </c>
      <c r="AJ18" s="69">
        <f>+[2]NOV!D12</f>
        <v>14.4</v>
      </c>
      <c r="AK18" s="69">
        <f>+[2]NOV!E12</f>
        <v>34</v>
      </c>
      <c r="AL18" s="69">
        <f>+[2]NOV!F12</f>
        <v>69.900000000000006</v>
      </c>
      <c r="AM18" s="69">
        <f>+[2]NOV!G12</f>
        <v>9.8000000000000007</v>
      </c>
      <c r="AN18" s="69">
        <f>+[2]NOV!H12</f>
        <v>128.6</v>
      </c>
      <c r="AO18" s="69">
        <f>+[2]NOV!I12</f>
        <v>0</v>
      </c>
      <c r="AP18" s="69">
        <f>+[2]NOV!J12</f>
        <v>101.1</v>
      </c>
      <c r="AQ18" s="69">
        <f>+[2]NOV!K12</f>
        <v>9.1</v>
      </c>
      <c r="AR18" s="69"/>
      <c r="AS18" s="69"/>
      <c r="AT18" s="70">
        <f t="shared" si="14"/>
        <v>624.27099999999996</v>
      </c>
      <c r="AU18" s="214">
        <v>26220</v>
      </c>
      <c r="AV18" s="71">
        <f t="shared" si="4"/>
        <v>664</v>
      </c>
      <c r="AW18" s="72">
        <f t="shared" si="5"/>
        <v>0</v>
      </c>
      <c r="AX18" s="18">
        <v>28.73</v>
      </c>
      <c r="AY18" s="18"/>
      <c r="AZ18" s="18"/>
      <c r="BA18" s="18"/>
      <c r="BB18" s="18"/>
      <c r="BD18" s="74">
        <f>+[3]NOV!H13</f>
        <v>443.8</v>
      </c>
      <c r="BE18" s="75">
        <f t="shared" si="15"/>
        <v>33.100000000000023</v>
      </c>
      <c r="BF18" s="76">
        <f>+[3]NOV!B13</f>
        <v>4.5999999999999996</v>
      </c>
      <c r="BG18" s="76">
        <f>+[3]NOV!C13</f>
        <v>155.1</v>
      </c>
      <c r="BH18" s="76">
        <f>+[3]NOV!D13</f>
        <v>134.19999999999999</v>
      </c>
      <c r="BI18" s="76">
        <f>+[3]NOV!E13</f>
        <v>116.8</v>
      </c>
      <c r="BJ18" s="18"/>
      <c r="BK18" s="77">
        <f t="shared" si="16"/>
        <v>410.7</v>
      </c>
      <c r="BL18" s="77">
        <f t="shared" si="17"/>
        <v>47.300000000000011</v>
      </c>
      <c r="BM18" s="18">
        <f t="shared" si="6"/>
        <v>458</v>
      </c>
      <c r="BN18" s="212">
        <v>110087</v>
      </c>
    </row>
    <row r="19" spans="1:229" ht="14.45" customHeight="1" x14ac:dyDescent="0.25">
      <c r="A19" s="19">
        <f t="shared" si="7"/>
        <v>12</v>
      </c>
      <c r="B19" s="60">
        <f t="shared" si="8"/>
        <v>0</v>
      </c>
      <c r="C19" s="60"/>
      <c r="D19" s="93"/>
      <c r="E19" s="93"/>
      <c r="F19" s="60">
        <f t="shared" si="9"/>
        <v>0</v>
      </c>
      <c r="G19" s="61"/>
      <c r="H19" s="60"/>
      <c r="I19" s="60"/>
      <c r="J19" s="60">
        <f t="shared" si="0"/>
        <v>0</v>
      </c>
      <c r="K19" s="79"/>
      <c r="L19" s="79"/>
      <c r="M19" s="79"/>
      <c r="N19" s="60">
        <f t="shared" si="10"/>
        <v>0</v>
      </c>
      <c r="O19" s="63"/>
      <c r="P19" s="64"/>
      <c r="Q19" s="64"/>
      <c r="R19" s="61"/>
      <c r="S19" s="61"/>
      <c r="T19" s="61"/>
      <c r="U19" s="95">
        <f t="shared" si="19"/>
        <v>0</v>
      </c>
      <c r="V19" s="66" t="e">
        <f t="shared" si="11"/>
        <v>#DIV/0!</v>
      </c>
      <c r="W19" s="61"/>
      <c r="X19" s="61"/>
      <c r="Y19" s="61"/>
      <c r="Z19" s="67">
        <f t="shared" si="18"/>
        <v>0</v>
      </c>
      <c r="AA19" s="67" t="e">
        <f t="shared" si="2"/>
        <v>#DIV/0!</v>
      </c>
      <c r="AB19" s="61"/>
      <c r="AC19" s="61"/>
      <c r="AD19" s="61"/>
      <c r="AE19" s="67">
        <f t="shared" si="12"/>
        <v>0</v>
      </c>
      <c r="AF19" s="67" t="e">
        <f t="shared" si="3"/>
        <v>#DIV/0!</v>
      </c>
      <c r="AG19" s="68">
        <f t="shared" si="13"/>
        <v>682</v>
      </c>
      <c r="AH19" s="69">
        <f>+[2]NOV!B13</f>
        <v>122.351</v>
      </c>
      <c r="AI19" s="69">
        <f>+[2]NOV!C13</f>
        <v>137.70400000000001</v>
      </c>
      <c r="AJ19" s="69">
        <f>+[2]NOV!D13</f>
        <v>13.6</v>
      </c>
      <c r="AK19" s="69">
        <f>+[2]NOV!E13</f>
        <v>24.5</v>
      </c>
      <c r="AL19" s="69">
        <f>+[2]NOV!F13</f>
        <v>71.599999999999994</v>
      </c>
      <c r="AM19" s="69">
        <f>+[2]NOV!G13</f>
        <v>8.6</v>
      </c>
      <c r="AN19" s="69">
        <f>+[2]NOV!H13</f>
        <v>132.5</v>
      </c>
      <c r="AO19" s="69">
        <f>+[2]NOV!I13</f>
        <v>0</v>
      </c>
      <c r="AP19" s="69">
        <f>+[2]NOV!J13</f>
        <v>102.1</v>
      </c>
      <c r="AQ19" s="69">
        <f>+[2]NOV!K13</f>
        <v>9.4</v>
      </c>
      <c r="AR19" s="69"/>
      <c r="AS19" s="69"/>
      <c r="AT19" s="70">
        <f t="shared" si="14"/>
        <v>622.35500000000002</v>
      </c>
      <c r="AU19" s="215">
        <v>26902</v>
      </c>
      <c r="AV19" s="71">
        <f t="shared" si="4"/>
        <v>682</v>
      </c>
      <c r="AW19" s="72">
        <f t="shared" si="5"/>
        <v>0</v>
      </c>
      <c r="AX19" s="18">
        <v>29.12</v>
      </c>
      <c r="AY19" s="18"/>
      <c r="AZ19" s="18"/>
      <c r="BA19" s="18"/>
      <c r="BB19" s="18"/>
      <c r="BD19" s="74">
        <f>+[3]NOV!H14</f>
        <v>466.4</v>
      </c>
      <c r="BE19" s="75">
        <f t="shared" si="15"/>
        <v>38.999999999999943</v>
      </c>
      <c r="BF19" s="76">
        <f>+[3]NOV!B14</f>
        <v>29.1</v>
      </c>
      <c r="BG19" s="76">
        <f>+[3]NOV!C14</f>
        <v>148.19999999999999</v>
      </c>
      <c r="BH19" s="76">
        <f>+[3]NOV!D14</f>
        <v>133.80000000000001</v>
      </c>
      <c r="BI19" s="76">
        <f>+[3]NOV!E14</f>
        <v>116.3</v>
      </c>
      <c r="BJ19" s="18"/>
      <c r="BK19" s="77">
        <f t="shared" si="16"/>
        <v>427.40000000000003</v>
      </c>
      <c r="BL19" s="77">
        <f t="shared" si="17"/>
        <v>27.599999999999966</v>
      </c>
      <c r="BM19" s="18">
        <f t="shared" si="6"/>
        <v>455</v>
      </c>
      <c r="BN19" s="212">
        <v>110542</v>
      </c>
    </row>
    <row r="20" spans="1:229" ht="14.45" customHeight="1" x14ac:dyDescent="0.25">
      <c r="A20" s="19">
        <f t="shared" si="7"/>
        <v>13</v>
      </c>
      <c r="B20" s="60">
        <f t="shared" si="8"/>
        <v>0</v>
      </c>
      <c r="C20" s="60"/>
      <c r="D20" s="93"/>
      <c r="E20" s="93"/>
      <c r="F20" s="60">
        <f t="shared" si="9"/>
        <v>0</v>
      </c>
      <c r="G20" s="61"/>
      <c r="H20" s="60"/>
      <c r="I20" s="60"/>
      <c r="J20" s="60">
        <f t="shared" si="0"/>
        <v>0</v>
      </c>
      <c r="K20" s="79"/>
      <c r="L20" s="79"/>
      <c r="M20" s="79"/>
      <c r="N20" s="60">
        <f t="shared" si="10"/>
        <v>0</v>
      </c>
      <c r="O20" s="63"/>
      <c r="P20" s="64"/>
      <c r="Q20" s="64"/>
      <c r="R20" s="61"/>
      <c r="S20" s="61"/>
      <c r="T20" s="61"/>
      <c r="U20" s="95">
        <f>SUM(R20:T20)</f>
        <v>0</v>
      </c>
      <c r="V20" s="66" t="e">
        <f t="shared" si="11"/>
        <v>#DIV/0!</v>
      </c>
      <c r="W20" s="61"/>
      <c r="X20" s="61"/>
      <c r="Y20" s="61"/>
      <c r="Z20" s="67">
        <f>SUM(W20:Y20)</f>
        <v>0</v>
      </c>
      <c r="AA20" s="67" t="e">
        <f t="shared" si="2"/>
        <v>#DIV/0!</v>
      </c>
      <c r="AB20" s="61"/>
      <c r="AC20" s="61"/>
      <c r="AD20" s="61"/>
      <c r="AE20" s="67">
        <f>SUM(AB20:AD20)</f>
        <v>0</v>
      </c>
      <c r="AF20" s="67" t="e">
        <f t="shared" si="3"/>
        <v>#DIV/0!</v>
      </c>
      <c r="AG20" s="68">
        <f t="shared" si="13"/>
        <v>609</v>
      </c>
      <c r="AH20" s="69">
        <f>+[2]NOV!B14</f>
        <v>95.803999999999988</v>
      </c>
      <c r="AI20" s="69">
        <f>+[2]NOV!C14</f>
        <v>140.548</v>
      </c>
      <c r="AJ20" s="69">
        <f>+[2]NOV!D14</f>
        <v>14.4</v>
      </c>
      <c r="AK20" s="69">
        <f>+[2]NOV!E14</f>
        <v>13.5</v>
      </c>
      <c r="AL20" s="69">
        <f>+[2]NOV!F14</f>
        <v>61.5</v>
      </c>
      <c r="AM20" s="69">
        <f>+[2]NOV!G14</f>
        <v>8.1</v>
      </c>
      <c r="AN20" s="69">
        <f>+[2]NOV!H14</f>
        <v>131.9</v>
      </c>
      <c r="AO20" s="69">
        <f>+[2]NOV!I14</f>
        <v>0</v>
      </c>
      <c r="AP20" s="69">
        <f>+[2]NOV!J14</f>
        <v>72</v>
      </c>
      <c r="AQ20" s="69">
        <f>+[2]NOV!K14</f>
        <v>7.2</v>
      </c>
      <c r="AR20" s="69"/>
      <c r="AS20" s="69"/>
      <c r="AT20" s="70">
        <f t="shared" si="14"/>
        <v>544.952</v>
      </c>
      <c r="AU20" s="215">
        <v>27511</v>
      </c>
      <c r="AV20" s="71">
        <f t="shared" si="4"/>
        <v>609</v>
      </c>
      <c r="AW20" s="72">
        <f t="shared" si="5"/>
        <v>0</v>
      </c>
      <c r="AX20" s="18">
        <v>27.08</v>
      </c>
      <c r="AY20" s="18"/>
      <c r="AZ20" s="18"/>
      <c r="BA20" s="18"/>
      <c r="BB20" s="18"/>
      <c r="BD20" s="74">
        <f>+[3]NOV!H15</f>
        <v>465.8</v>
      </c>
      <c r="BE20" s="75">
        <f t="shared" si="15"/>
        <v>48.600000000000023</v>
      </c>
      <c r="BF20" s="76">
        <f>+[3]NOV!B15</f>
        <v>0</v>
      </c>
      <c r="BG20" s="76">
        <f>+[3]NOV!C15</f>
        <v>152.5</v>
      </c>
      <c r="BH20" s="76">
        <f>+[3]NOV!D15</f>
        <v>145.39999999999998</v>
      </c>
      <c r="BI20" s="76">
        <f>+[3]NOV!E15</f>
        <v>119.3</v>
      </c>
      <c r="BJ20" s="18"/>
      <c r="BK20" s="77">
        <f t="shared" si="16"/>
        <v>417.2</v>
      </c>
      <c r="BL20" s="77">
        <f t="shared" si="17"/>
        <v>36.800000000000011</v>
      </c>
      <c r="BM20" s="18">
        <f t="shared" si="6"/>
        <v>454</v>
      </c>
      <c r="BN20" s="212">
        <v>110996</v>
      </c>
    </row>
    <row r="21" spans="1:229" ht="14.45" customHeight="1" x14ac:dyDescent="0.25">
      <c r="A21" s="19">
        <f t="shared" si="7"/>
        <v>14</v>
      </c>
      <c r="B21" s="60">
        <f t="shared" si="8"/>
        <v>0</v>
      </c>
      <c r="C21" s="60"/>
      <c r="D21" s="93"/>
      <c r="E21" s="93"/>
      <c r="F21" s="60">
        <f t="shared" si="9"/>
        <v>0</v>
      </c>
      <c r="G21" s="78"/>
      <c r="H21" s="60"/>
      <c r="I21" s="60"/>
      <c r="J21" s="60">
        <f t="shared" si="0"/>
        <v>0</v>
      </c>
      <c r="K21" s="79"/>
      <c r="L21" s="79"/>
      <c r="M21" s="79"/>
      <c r="N21" s="60">
        <f t="shared" si="10"/>
        <v>0</v>
      </c>
      <c r="O21" s="63"/>
      <c r="P21" s="64"/>
      <c r="Q21" s="64"/>
      <c r="R21" s="61"/>
      <c r="S21" s="61"/>
      <c r="T21" s="61"/>
      <c r="U21" s="42">
        <f>SUM(R21:T21)</f>
        <v>0</v>
      </c>
      <c r="V21" s="66" t="e">
        <f t="shared" si="11"/>
        <v>#DIV/0!</v>
      </c>
      <c r="W21" s="61"/>
      <c r="X21" s="61"/>
      <c r="Y21" s="61"/>
      <c r="Z21" s="67">
        <f>SUM(W21:Y21)</f>
        <v>0</v>
      </c>
      <c r="AA21" s="67" t="e">
        <f t="shared" si="2"/>
        <v>#DIV/0!</v>
      </c>
      <c r="AB21" s="61"/>
      <c r="AC21" s="61"/>
      <c r="AD21" s="61"/>
      <c r="AE21" s="67">
        <f>SUM(AB21:AD21)</f>
        <v>0</v>
      </c>
      <c r="AF21" s="67" t="e">
        <f t="shared" si="3"/>
        <v>#DIV/0!</v>
      </c>
      <c r="AG21" s="68">
        <f t="shared" si="13"/>
        <v>658</v>
      </c>
      <c r="AH21" s="69">
        <f>+[2]NOV!B15</f>
        <v>115.551</v>
      </c>
      <c r="AI21" s="69">
        <f>+[2]NOV!C15</f>
        <v>139.785</v>
      </c>
      <c r="AJ21" s="69">
        <f>+[2]NOV!D15</f>
        <v>13.6</v>
      </c>
      <c r="AK21" s="69">
        <f>+[2]NOV!E15</f>
        <v>21.4</v>
      </c>
      <c r="AL21" s="69">
        <f>+[2]NOV!F15</f>
        <v>68.8</v>
      </c>
      <c r="AM21" s="69">
        <f>+[2]NOV!G15</f>
        <v>9.6999999999999993</v>
      </c>
      <c r="AN21" s="69">
        <f>+[2]NOV!H15</f>
        <v>126.5</v>
      </c>
      <c r="AO21" s="69">
        <f>+[2]NOV!I15</f>
        <v>0</v>
      </c>
      <c r="AP21" s="69">
        <f>+[2]NOV!J15</f>
        <v>99.6</v>
      </c>
      <c r="AQ21" s="69">
        <f>+[2]NOV!K15</f>
        <v>10.199999999999999</v>
      </c>
      <c r="AR21" s="69"/>
      <c r="AS21" s="69"/>
      <c r="AT21" s="70">
        <f t="shared" si="14"/>
        <v>605.13600000000008</v>
      </c>
      <c r="AU21" s="214">
        <v>28169</v>
      </c>
      <c r="AV21" s="71">
        <f t="shared" si="4"/>
        <v>658</v>
      </c>
      <c r="AW21" s="72">
        <f t="shared" si="5"/>
        <v>0</v>
      </c>
      <c r="AX21" s="18">
        <v>26.78</v>
      </c>
      <c r="AY21" s="57"/>
      <c r="AZ21" s="18"/>
      <c r="BA21" s="18"/>
      <c r="BB21" s="18"/>
      <c r="BD21" s="74">
        <f>+[3]NOV!H16</f>
        <v>583</v>
      </c>
      <c r="BE21" s="75">
        <f t="shared" si="15"/>
        <v>49.5</v>
      </c>
      <c r="BF21" s="76">
        <f>+[3]NOV!B16</f>
        <v>95</v>
      </c>
      <c r="BG21" s="76">
        <f>+[3]NOV!C16</f>
        <v>160.1</v>
      </c>
      <c r="BH21" s="76">
        <f>+[3]NOV!D16</f>
        <v>150.9</v>
      </c>
      <c r="BI21" s="76">
        <f>+[3]NOV!E16</f>
        <v>127.5</v>
      </c>
      <c r="BJ21" s="18"/>
      <c r="BK21" s="77">
        <f t="shared" si="16"/>
        <v>533.5</v>
      </c>
      <c r="BL21" s="77">
        <f t="shared" si="17"/>
        <v>37.5</v>
      </c>
      <c r="BM21" s="18">
        <f t="shared" si="6"/>
        <v>571</v>
      </c>
      <c r="BN21" s="212">
        <v>111567</v>
      </c>
    </row>
    <row r="22" spans="1:229" s="89" customFormat="1" ht="14.45" customHeight="1" x14ac:dyDescent="0.25">
      <c r="A22" s="84">
        <f t="shared" si="7"/>
        <v>15</v>
      </c>
      <c r="B22" s="60">
        <f t="shared" si="8"/>
        <v>0</v>
      </c>
      <c r="C22" s="60"/>
      <c r="D22" s="93"/>
      <c r="E22" s="93"/>
      <c r="F22" s="60">
        <f t="shared" si="9"/>
        <v>0</v>
      </c>
      <c r="G22" s="61"/>
      <c r="H22" s="60"/>
      <c r="I22" s="60"/>
      <c r="J22" s="60">
        <f t="shared" si="0"/>
        <v>0</v>
      </c>
      <c r="K22" s="79"/>
      <c r="L22" s="79"/>
      <c r="M22" s="79"/>
      <c r="N22" s="60">
        <f t="shared" si="10"/>
        <v>0</v>
      </c>
      <c r="O22" s="63"/>
      <c r="P22" s="64"/>
      <c r="Q22" s="64"/>
      <c r="R22" s="61"/>
      <c r="S22" s="61"/>
      <c r="T22" s="61"/>
      <c r="U22" s="42">
        <f>SUM(R22:T22)</f>
        <v>0</v>
      </c>
      <c r="V22" s="66" t="e">
        <f t="shared" si="11"/>
        <v>#DIV/0!</v>
      </c>
      <c r="W22" s="61"/>
      <c r="X22" s="61"/>
      <c r="Y22" s="61"/>
      <c r="Z22" s="67">
        <f>SUM(W22:Y22)</f>
        <v>0</v>
      </c>
      <c r="AA22" s="67" t="e">
        <f t="shared" si="2"/>
        <v>#DIV/0!</v>
      </c>
      <c r="AB22" s="61"/>
      <c r="AC22" s="61"/>
      <c r="AD22" s="61"/>
      <c r="AE22" s="67">
        <f>SUM(AB22:AD22)</f>
        <v>0</v>
      </c>
      <c r="AF22" s="67" t="e">
        <f t="shared" si="3"/>
        <v>#DIV/0!</v>
      </c>
      <c r="AG22" s="68">
        <f t="shared" si="13"/>
        <v>664</v>
      </c>
      <c r="AH22" s="69">
        <f>+[2]NOV!B16</f>
        <v>120.89399999999999</v>
      </c>
      <c r="AI22" s="69">
        <f>+[2]NOV!C16</f>
        <v>126.21899999999999</v>
      </c>
      <c r="AJ22" s="69">
        <f>+[2]NOV!D16</f>
        <v>17.600000000000001</v>
      </c>
      <c r="AK22" s="69">
        <f>+[2]NOV!E16</f>
        <v>19</v>
      </c>
      <c r="AL22" s="69">
        <f>+[2]NOV!F16</f>
        <v>70.8</v>
      </c>
      <c r="AM22" s="69">
        <f>+[2]NOV!G16</f>
        <v>10.8</v>
      </c>
      <c r="AN22" s="69">
        <f>+[2]NOV!H16</f>
        <v>126.9</v>
      </c>
      <c r="AO22" s="69">
        <f>+[2]NOV!I16</f>
        <v>0</v>
      </c>
      <c r="AP22" s="69">
        <f>+[2]NOV!J16</f>
        <v>101.8</v>
      </c>
      <c r="AQ22" s="69">
        <f>+[2]NOV!K16</f>
        <v>10.8</v>
      </c>
      <c r="AR22" s="69"/>
      <c r="AS22" s="69"/>
      <c r="AT22" s="70">
        <f t="shared" si="14"/>
        <v>604.81299999999999</v>
      </c>
      <c r="AU22" s="214">
        <v>28833</v>
      </c>
      <c r="AV22" s="71">
        <f t="shared" si="4"/>
        <v>664</v>
      </c>
      <c r="AW22" s="72">
        <f t="shared" si="5"/>
        <v>0</v>
      </c>
      <c r="AX22" s="18">
        <v>27.46</v>
      </c>
      <c r="AY22" s="57"/>
      <c r="AZ22" s="18"/>
      <c r="BA22" s="18"/>
      <c r="BB22" s="18"/>
      <c r="BC22" s="2"/>
      <c r="BD22" s="74">
        <f>+[3]NOV!H17</f>
        <v>590.29999999999995</v>
      </c>
      <c r="BE22" s="75">
        <f t="shared" ref="BE22" si="20">BD22-BK22</f>
        <v>33</v>
      </c>
      <c r="BF22" s="76">
        <f>+[3]NOV!B17</f>
        <v>128.4</v>
      </c>
      <c r="BG22" s="76">
        <f>+[3]NOV!C17</f>
        <v>150.1</v>
      </c>
      <c r="BH22" s="76">
        <f>+[3]NOV!D17</f>
        <v>152.5</v>
      </c>
      <c r="BI22" s="76">
        <f>+[3]NOV!E17</f>
        <v>126.3</v>
      </c>
      <c r="BJ22" s="18"/>
      <c r="BK22" s="77">
        <f t="shared" si="16"/>
        <v>557.29999999999995</v>
      </c>
      <c r="BL22" s="77">
        <f t="shared" si="17"/>
        <v>49.700000000000045</v>
      </c>
      <c r="BM22" s="18">
        <f t="shared" si="6"/>
        <v>607</v>
      </c>
      <c r="BN22" s="212">
        <v>112174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</row>
    <row r="23" spans="1:229" s="89" customFormat="1" ht="14.45" customHeight="1" x14ac:dyDescent="0.25">
      <c r="A23" s="84">
        <f t="shared" si="7"/>
        <v>16</v>
      </c>
      <c r="B23" s="60">
        <f t="shared" si="8"/>
        <v>0</v>
      </c>
      <c r="C23" s="60"/>
      <c r="D23" s="93"/>
      <c r="E23" s="93"/>
      <c r="F23" s="60">
        <f t="shared" si="9"/>
        <v>0</v>
      </c>
      <c r="G23" s="78"/>
      <c r="H23" s="78"/>
      <c r="I23" s="78"/>
      <c r="J23" s="60">
        <f t="shared" si="0"/>
        <v>0</v>
      </c>
      <c r="K23" s="79"/>
      <c r="L23" s="79"/>
      <c r="M23" s="79"/>
      <c r="N23" s="60">
        <f t="shared" si="10"/>
        <v>0</v>
      </c>
      <c r="O23" s="78"/>
      <c r="P23" s="96"/>
      <c r="Q23" s="96"/>
      <c r="R23" s="61"/>
      <c r="S23" s="78"/>
      <c r="T23" s="78"/>
      <c r="U23" s="42">
        <f t="shared" si="19"/>
        <v>0</v>
      </c>
      <c r="V23" s="66" t="e">
        <f t="shared" si="11"/>
        <v>#DIV/0!</v>
      </c>
      <c r="W23" s="78"/>
      <c r="X23" s="61"/>
      <c r="Y23" s="61"/>
      <c r="Z23" s="67">
        <f t="shared" si="18"/>
        <v>0</v>
      </c>
      <c r="AA23" s="67" t="e">
        <f>F23/Z23</f>
        <v>#DIV/0!</v>
      </c>
      <c r="AB23" s="61"/>
      <c r="AC23" s="61"/>
      <c r="AD23" s="61"/>
      <c r="AE23" s="67">
        <f>SUM(AB23:AD23)</f>
        <v>0</v>
      </c>
      <c r="AF23" s="67" t="e">
        <f t="shared" si="3"/>
        <v>#DIV/0!</v>
      </c>
      <c r="AG23" s="68">
        <f t="shared" si="13"/>
        <v>696</v>
      </c>
      <c r="AH23" s="69">
        <f>+[2]NOV!B17</f>
        <v>124.68400000000001</v>
      </c>
      <c r="AI23" s="69">
        <f>+[2]NOV!C17</f>
        <v>135.37299999999999</v>
      </c>
      <c r="AJ23" s="69">
        <f>+[2]NOV!D17</f>
        <v>16.100000000000001</v>
      </c>
      <c r="AK23" s="69">
        <f>+[2]NOV!E17</f>
        <v>54.8</v>
      </c>
      <c r="AL23" s="69">
        <f>+[2]NOV!F17</f>
        <v>71.5</v>
      </c>
      <c r="AM23" s="69">
        <f>+[2]NOV!G17</f>
        <v>12</v>
      </c>
      <c r="AN23" s="69">
        <f>+[2]NOV!H17</f>
        <v>123.8</v>
      </c>
      <c r="AO23" s="69">
        <f>+[2]NOV!I17</f>
        <v>0</v>
      </c>
      <c r="AP23" s="69">
        <f>+[2]NOV!J17</f>
        <v>82.4</v>
      </c>
      <c r="AQ23" s="69">
        <f>+[2]NOV!K17</f>
        <v>9.6</v>
      </c>
      <c r="AR23" s="69"/>
      <c r="AS23" s="69"/>
      <c r="AT23" s="70">
        <f t="shared" si="14"/>
        <v>630.25700000000006</v>
      </c>
      <c r="AU23" s="214">
        <v>29529</v>
      </c>
      <c r="AV23" s="71">
        <f t="shared" si="4"/>
        <v>696</v>
      </c>
      <c r="AW23" s="72">
        <f t="shared" si="5"/>
        <v>0</v>
      </c>
      <c r="AX23" s="18">
        <v>30.41</v>
      </c>
      <c r="AY23" s="57"/>
      <c r="AZ23" s="18"/>
      <c r="BA23" s="18"/>
      <c r="BB23" s="18"/>
      <c r="BC23" s="2"/>
      <c r="BD23" s="74">
        <f>+[3]NOV!H18</f>
        <v>624.1</v>
      </c>
      <c r="BE23" s="75">
        <f t="shared" si="15"/>
        <v>55.000000000000114</v>
      </c>
      <c r="BF23" s="76">
        <f>+[3]NOV!B18</f>
        <v>136.5</v>
      </c>
      <c r="BG23" s="76">
        <f>+[3]NOV!C18</f>
        <v>134.4</v>
      </c>
      <c r="BH23" s="76">
        <f>+[3]NOV!D18</f>
        <v>169.39999999999998</v>
      </c>
      <c r="BI23" s="76">
        <f>+[3]NOV!E18</f>
        <v>128.80000000000001</v>
      </c>
      <c r="BJ23" s="18"/>
      <c r="BK23" s="77">
        <f t="shared" si="16"/>
        <v>569.09999999999991</v>
      </c>
      <c r="BL23" s="77">
        <f t="shared" si="17"/>
        <v>43.900000000000091</v>
      </c>
      <c r="BM23" s="18">
        <f t="shared" si="6"/>
        <v>613</v>
      </c>
      <c r="BN23" s="212">
        <v>112787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</row>
    <row r="24" spans="1:229" s="89" customFormat="1" ht="14.45" customHeight="1" x14ac:dyDescent="0.25">
      <c r="A24" s="84">
        <f t="shared" si="7"/>
        <v>17</v>
      </c>
      <c r="B24" s="60">
        <f t="shared" si="8"/>
        <v>0</v>
      </c>
      <c r="C24" s="60"/>
      <c r="D24" s="93"/>
      <c r="E24" s="93"/>
      <c r="F24" s="60">
        <f t="shared" si="9"/>
        <v>0</v>
      </c>
      <c r="G24" s="78"/>
      <c r="H24" s="78"/>
      <c r="I24" s="78"/>
      <c r="J24" s="60">
        <f t="shared" si="0"/>
        <v>0</v>
      </c>
      <c r="K24" s="79"/>
      <c r="L24" s="79"/>
      <c r="M24" s="79"/>
      <c r="N24" s="60">
        <f t="shared" si="10"/>
        <v>0</v>
      </c>
      <c r="O24" s="78"/>
      <c r="P24" s="96"/>
      <c r="Q24" s="96"/>
      <c r="R24" s="61"/>
      <c r="S24" s="78"/>
      <c r="T24" s="78"/>
      <c r="U24" s="42">
        <f t="shared" si="19"/>
        <v>0</v>
      </c>
      <c r="V24" s="66" t="e">
        <f t="shared" si="11"/>
        <v>#DIV/0!</v>
      </c>
      <c r="W24" s="78"/>
      <c r="X24" s="61"/>
      <c r="Y24" s="61"/>
      <c r="Z24" s="67">
        <f t="shared" si="18"/>
        <v>0</v>
      </c>
      <c r="AA24" s="67" t="e">
        <f t="shared" si="2"/>
        <v>#DIV/0!</v>
      </c>
      <c r="AB24" s="61"/>
      <c r="AC24" s="61"/>
      <c r="AD24" s="61"/>
      <c r="AE24" s="67">
        <f t="shared" si="12"/>
        <v>0</v>
      </c>
      <c r="AF24" s="67" t="e">
        <f t="shared" si="3"/>
        <v>#DIV/0!</v>
      </c>
      <c r="AG24" s="68">
        <f t="shared" si="13"/>
        <v>714</v>
      </c>
      <c r="AH24" s="69">
        <f>+[2]NOV!B18</f>
        <v>111.85</v>
      </c>
      <c r="AI24" s="69">
        <f>+[2]NOV!C18</f>
        <v>134.84299999999999</v>
      </c>
      <c r="AJ24" s="69">
        <f>+[2]NOV!D18</f>
        <v>14.8</v>
      </c>
      <c r="AK24" s="69">
        <f>+[2]NOV!E18</f>
        <v>61.1</v>
      </c>
      <c r="AL24" s="69">
        <f>+[2]NOV!F18</f>
        <v>70.400000000000006</v>
      </c>
      <c r="AM24" s="69">
        <f>+[2]NOV!G18</f>
        <v>11.6</v>
      </c>
      <c r="AN24" s="69">
        <f>+[2]NOV!H18</f>
        <v>131.69999999999999</v>
      </c>
      <c r="AO24" s="69">
        <f>+[2]NOV!I18</f>
        <v>0</v>
      </c>
      <c r="AP24" s="69">
        <f>+[2]NOV!J18</f>
        <v>101.1</v>
      </c>
      <c r="AQ24" s="69">
        <f>+[2]NOV!K18</f>
        <v>11.2</v>
      </c>
      <c r="AR24" s="69"/>
      <c r="AS24" s="69"/>
      <c r="AT24" s="70">
        <f t="shared" si="14"/>
        <v>648.59300000000019</v>
      </c>
      <c r="AU24" s="214">
        <v>30243</v>
      </c>
      <c r="AV24" s="71">
        <f t="shared" si="4"/>
        <v>714</v>
      </c>
      <c r="AW24" s="72">
        <f t="shared" si="5"/>
        <v>0</v>
      </c>
      <c r="AX24" s="18">
        <v>30.47</v>
      </c>
      <c r="AY24" s="57"/>
      <c r="AZ24" s="18"/>
      <c r="BA24" s="18"/>
      <c r="BB24" s="18"/>
      <c r="BC24" s="2"/>
      <c r="BD24" s="74">
        <f>+[3]NOV!H19</f>
        <v>587</v>
      </c>
      <c r="BE24" s="75">
        <f t="shared" si="15"/>
        <v>54.799999999999955</v>
      </c>
      <c r="BF24" s="76">
        <f>+[3]NOV!B19</f>
        <v>132.9</v>
      </c>
      <c r="BG24" s="76">
        <f>+[3]NOV!C19</f>
        <v>152.69999999999999</v>
      </c>
      <c r="BH24" s="76">
        <f>+[3]NOV!D19</f>
        <v>131.60000000000002</v>
      </c>
      <c r="BI24" s="76">
        <f>+[3]NOV!E19</f>
        <v>115</v>
      </c>
      <c r="BJ24" s="18"/>
      <c r="BK24" s="77">
        <f t="shared" si="16"/>
        <v>532.20000000000005</v>
      </c>
      <c r="BL24" s="77">
        <f t="shared" si="17"/>
        <v>46.799999999999955</v>
      </c>
      <c r="BM24" s="18">
        <f t="shared" si="6"/>
        <v>579</v>
      </c>
      <c r="BN24" s="212">
        <v>113366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</row>
    <row r="25" spans="1:229" x14ac:dyDescent="0.25">
      <c r="A25" s="19">
        <f t="shared" si="7"/>
        <v>18</v>
      </c>
      <c r="B25" s="60">
        <f t="shared" si="8"/>
        <v>0</v>
      </c>
      <c r="C25" s="60"/>
      <c r="D25" s="97"/>
      <c r="E25" s="97"/>
      <c r="F25" s="60">
        <f t="shared" si="9"/>
        <v>0</v>
      </c>
      <c r="G25" s="78"/>
      <c r="H25" s="98"/>
      <c r="I25" s="98"/>
      <c r="J25" s="60">
        <f t="shared" si="0"/>
        <v>0</v>
      </c>
      <c r="K25" s="79"/>
      <c r="L25" s="79"/>
      <c r="M25" s="79"/>
      <c r="N25" s="60">
        <f t="shared" si="10"/>
        <v>0</v>
      </c>
      <c r="O25" s="98"/>
      <c r="P25" s="96"/>
      <c r="Q25" s="96"/>
      <c r="R25" s="61"/>
      <c r="S25" s="98"/>
      <c r="T25" s="98"/>
      <c r="U25" s="42">
        <f t="shared" si="19"/>
        <v>0</v>
      </c>
      <c r="V25" s="66" t="e">
        <f t="shared" si="11"/>
        <v>#DIV/0!</v>
      </c>
      <c r="W25" s="78"/>
      <c r="X25" s="98"/>
      <c r="Y25" s="98"/>
      <c r="Z25" s="68">
        <f t="shared" si="18"/>
        <v>0</v>
      </c>
      <c r="AA25" s="67" t="e">
        <f t="shared" si="2"/>
        <v>#DIV/0!</v>
      </c>
      <c r="AB25" s="61"/>
      <c r="AC25" s="61"/>
      <c r="AD25" s="61"/>
      <c r="AE25" s="68">
        <f>SUM(AB25:AD25)</f>
        <v>0</v>
      </c>
      <c r="AF25" s="67" t="e">
        <f t="shared" si="3"/>
        <v>#DIV/0!</v>
      </c>
      <c r="AG25" s="68">
        <f t="shared" si="13"/>
        <v>717</v>
      </c>
      <c r="AH25" s="69">
        <f>+[2]NOV!B19</f>
        <v>123.029</v>
      </c>
      <c r="AI25" s="69">
        <f>+[2]NOV!C19</f>
        <v>137.15899999999999</v>
      </c>
      <c r="AJ25" s="69">
        <f>+[2]NOV!D19</f>
        <v>16</v>
      </c>
      <c r="AK25" s="69">
        <f>+[2]NOV!E19</f>
        <v>55.8</v>
      </c>
      <c r="AL25" s="69">
        <f>+[2]NOV!F19</f>
        <v>65.599999999999994</v>
      </c>
      <c r="AM25" s="69">
        <f>+[2]NOV!G19</f>
        <v>9</v>
      </c>
      <c r="AN25" s="69">
        <f>+[2]NOV!H19</f>
        <v>132</v>
      </c>
      <c r="AO25" s="69">
        <f>+[2]NOV!I19</f>
        <v>0</v>
      </c>
      <c r="AP25" s="69">
        <f>+[2]NOV!J19</f>
        <v>99.3</v>
      </c>
      <c r="AQ25" s="69">
        <f>+[2]NOV!K19</f>
        <v>10.1</v>
      </c>
      <c r="AR25" s="69"/>
      <c r="AS25" s="69"/>
      <c r="AT25" s="70">
        <f t="shared" si="14"/>
        <v>647.98799999999994</v>
      </c>
      <c r="AU25" s="214">
        <v>30960</v>
      </c>
      <c r="AV25" s="71">
        <f t="shared" si="4"/>
        <v>717</v>
      </c>
      <c r="AW25" s="72">
        <f t="shared" si="5"/>
        <v>0</v>
      </c>
      <c r="AX25" s="18">
        <v>29.47</v>
      </c>
      <c r="AY25" s="57"/>
      <c r="AZ25" s="18"/>
      <c r="BA25" s="18"/>
      <c r="BB25" s="18"/>
      <c r="BD25" s="74">
        <f>+[3]NOV!H20</f>
        <v>576.20000000000005</v>
      </c>
      <c r="BE25" s="75">
        <f t="shared" si="15"/>
        <v>53.100000000000023</v>
      </c>
      <c r="BF25" s="76">
        <f>+[3]NOV!B20</f>
        <v>142.30000000000001</v>
      </c>
      <c r="BG25" s="76">
        <f>+[3]NOV!C20</f>
        <v>148.69999999999999</v>
      </c>
      <c r="BH25" s="76">
        <f>+[3]NOV!D20</f>
        <v>114.1</v>
      </c>
      <c r="BI25" s="76">
        <f>+[3]NOV!E20</f>
        <v>118</v>
      </c>
      <c r="BJ25" s="18"/>
      <c r="BK25" s="77">
        <f t="shared" si="16"/>
        <v>523.1</v>
      </c>
      <c r="BL25" s="77">
        <f t="shared" si="17"/>
        <v>39.899999999999977</v>
      </c>
      <c r="BM25" s="18">
        <f t="shared" si="6"/>
        <v>563</v>
      </c>
      <c r="BN25" s="212">
        <v>113929</v>
      </c>
    </row>
    <row r="26" spans="1:229" s="89" customFormat="1" ht="14.45" customHeight="1" x14ac:dyDescent="0.25">
      <c r="A26" s="84">
        <f t="shared" si="7"/>
        <v>19</v>
      </c>
      <c r="B26" s="60">
        <f t="shared" si="8"/>
        <v>0</v>
      </c>
      <c r="C26" s="60"/>
      <c r="D26" s="99"/>
      <c r="E26" s="99"/>
      <c r="F26" s="60">
        <f t="shared" si="9"/>
        <v>0</v>
      </c>
      <c r="G26" s="61"/>
      <c r="H26" s="61"/>
      <c r="I26" s="61"/>
      <c r="J26" s="60">
        <f t="shared" si="0"/>
        <v>0</v>
      </c>
      <c r="K26" s="79"/>
      <c r="L26" s="79"/>
      <c r="M26" s="79"/>
      <c r="N26" s="60">
        <f t="shared" si="10"/>
        <v>0</v>
      </c>
      <c r="O26" s="85"/>
      <c r="P26" s="64"/>
      <c r="Q26" s="64"/>
      <c r="R26" s="61"/>
      <c r="S26" s="61"/>
      <c r="T26" s="61"/>
      <c r="U26" s="42">
        <f t="shared" si="19"/>
        <v>0</v>
      </c>
      <c r="V26" s="66" t="e">
        <f t="shared" si="11"/>
        <v>#DIV/0!</v>
      </c>
      <c r="W26" s="78"/>
      <c r="X26" s="61"/>
      <c r="Y26" s="61"/>
      <c r="Z26" s="67">
        <f t="shared" si="18"/>
        <v>0</v>
      </c>
      <c r="AA26" s="67" t="e">
        <f t="shared" si="2"/>
        <v>#DIV/0!</v>
      </c>
      <c r="AB26" s="61"/>
      <c r="AC26" s="61"/>
      <c r="AD26" s="61"/>
      <c r="AE26" s="67">
        <f t="shared" si="12"/>
        <v>0</v>
      </c>
      <c r="AF26" s="67" t="e">
        <f t="shared" si="3"/>
        <v>#DIV/0!</v>
      </c>
      <c r="AG26" s="68">
        <f t="shared" si="13"/>
        <v>690</v>
      </c>
      <c r="AH26" s="69">
        <f>+[2]NOV!B20</f>
        <v>136.767</v>
      </c>
      <c r="AI26" s="69">
        <f>+[2]NOV!C20</f>
        <v>136.566</v>
      </c>
      <c r="AJ26" s="69">
        <f>+[2]NOV!D20</f>
        <v>16.2</v>
      </c>
      <c r="AK26" s="69">
        <f>+[2]NOV!E20</f>
        <v>29.1</v>
      </c>
      <c r="AL26" s="69">
        <f>+[2]NOV!F20</f>
        <v>69.400000000000006</v>
      </c>
      <c r="AM26" s="69">
        <f>+[2]NOV!G20</f>
        <v>10.4</v>
      </c>
      <c r="AN26" s="69">
        <f>+[2]NOV!H20</f>
        <v>130.1</v>
      </c>
      <c r="AO26" s="69">
        <f>+[2]NOV!I20</f>
        <v>0</v>
      </c>
      <c r="AP26" s="69">
        <f>+[2]NOV!J20</f>
        <v>81.900000000000006</v>
      </c>
      <c r="AQ26" s="69">
        <f>+[2]NOV!K20</f>
        <v>8.6</v>
      </c>
      <c r="AR26" s="69"/>
      <c r="AS26" s="69"/>
      <c r="AT26" s="70">
        <f t="shared" si="14"/>
        <v>619.03300000000002</v>
      </c>
      <c r="AU26" s="214">
        <v>31650</v>
      </c>
      <c r="AV26" s="71">
        <f t="shared" si="4"/>
        <v>690</v>
      </c>
      <c r="AW26" s="72">
        <f t="shared" si="5"/>
        <v>0</v>
      </c>
      <c r="AX26" s="18">
        <v>28.34</v>
      </c>
      <c r="AY26" s="18"/>
      <c r="AZ26" s="18"/>
      <c r="BA26" s="18"/>
      <c r="BB26" s="18"/>
      <c r="BC26" s="2"/>
      <c r="BD26" s="74">
        <f>+[3]NOV!H21</f>
        <v>590.70000000000005</v>
      </c>
      <c r="BE26" s="75">
        <f t="shared" si="15"/>
        <v>54.5</v>
      </c>
      <c r="BF26" s="76">
        <f>+[3]NOV!B21</f>
        <v>129</v>
      </c>
      <c r="BG26" s="76">
        <f>+[3]NOV!C21</f>
        <v>150.5</v>
      </c>
      <c r="BH26" s="76">
        <f>+[3]NOV!D21</f>
        <v>130</v>
      </c>
      <c r="BI26" s="76">
        <f>+[3]NOV!E21</f>
        <v>126.7</v>
      </c>
      <c r="BJ26" s="18"/>
      <c r="BK26" s="77">
        <f t="shared" si="16"/>
        <v>536.20000000000005</v>
      </c>
      <c r="BL26" s="77">
        <f t="shared" si="17"/>
        <v>37.799999999999955</v>
      </c>
      <c r="BM26" s="18">
        <f>BN26-BN25</f>
        <v>574</v>
      </c>
      <c r="BN26" s="212">
        <v>114503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</row>
    <row r="27" spans="1:229" s="89" customFormat="1" x14ac:dyDescent="0.25">
      <c r="A27" s="84">
        <f t="shared" si="7"/>
        <v>20</v>
      </c>
      <c r="B27" s="60">
        <f t="shared" si="8"/>
        <v>0</v>
      </c>
      <c r="C27" s="60"/>
      <c r="D27" s="99"/>
      <c r="E27" s="99"/>
      <c r="F27" s="60">
        <f t="shared" si="9"/>
        <v>0</v>
      </c>
      <c r="G27" s="61"/>
      <c r="H27" s="61"/>
      <c r="I27" s="61"/>
      <c r="J27" s="60">
        <f t="shared" si="0"/>
        <v>0</v>
      </c>
      <c r="K27" s="61"/>
      <c r="L27" s="79"/>
      <c r="M27" s="79"/>
      <c r="N27" s="60">
        <f t="shared" si="10"/>
        <v>0</v>
      </c>
      <c r="O27" s="85"/>
      <c r="P27" s="64"/>
      <c r="Q27" s="64"/>
      <c r="R27" s="61"/>
      <c r="S27" s="61"/>
      <c r="T27" s="61"/>
      <c r="U27" s="42">
        <f>SUM(R27:T27)</f>
        <v>0</v>
      </c>
      <c r="V27" s="66" t="e">
        <f t="shared" si="11"/>
        <v>#DIV/0!</v>
      </c>
      <c r="W27" s="61"/>
      <c r="X27" s="61"/>
      <c r="Y27" s="61"/>
      <c r="Z27" s="67">
        <f>SUM(W27:Y27)</f>
        <v>0</v>
      </c>
      <c r="AA27" s="67" t="e">
        <f t="shared" si="2"/>
        <v>#DIV/0!</v>
      </c>
      <c r="AB27" s="61"/>
      <c r="AC27" s="61"/>
      <c r="AD27" s="61"/>
      <c r="AE27" s="67">
        <f>SUM(AB27:AD27)</f>
        <v>0</v>
      </c>
      <c r="AF27" s="67" t="e">
        <f t="shared" si="3"/>
        <v>#DIV/0!</v>
      </c>
      <c r="AG27" s="68">
        <f t="shared" si="13"/>
        <v>705</v>
      </c>
      <c r="AH27" s="69">
        <f>+[2]NOV!B21</f>
        <v>134.458</v>
      </c>
      <c r="AI27" s="69">
        <f>+[2]NOV!C21</f>
        <v>134.851</v>
      </c>
      <c r="AJ27" s="69">
        <f>+[2]NOV!D21</f>
        <v>18</v>
      </c>
      <c r="AK27" s="69">
        <f>+[2]NOV!E21</f>
        <v>33.4</v>
      </c>
      <c r="AL27" s="69">
        <f>+[2]NOV!F21</f>
        <v>69.7</v>
      </c>
      <c r="AM27" s="69">
        <f>+[2]NOV!G21</f>
        <v>10</v>
      </c>
      <c r="AN27" s="69">
        <f>+[2]NOV!H21</f>
        <v>128.80000000000001</v>
      </c>
      <c r="AO27" s="69">
        <f>+[2]NOV!I21</f>
        <v>0</v>
      </c>
      <c r="AP27" s="69">
        <f>+[2]NOV!J21</f>
        <v>99.8</v>
      </c>
      <c r="AQ27" s="69">
        <f>+[2]NOV!K21</f>
        <v>9.4</v>
      </c>
      <c r="AR27" s="69"/>
      <c r="AS27" s="69"/>
      <c r="AT27" s="70">
        <f t="shared" si="14"/>
        <v>638.40899999999988</v>
      </c>
      <c r="AU27" s="214">
        <v>32355</v>
      </c>
      <c r="AV27" s="71">
        <f t="shared" si="4"/>
        <v>705</v>
      </c>
      <c r="AW27" s="72">
        <f t="shared" si="5"/>
        <v>0</v>
      </c>
      <c r="AX27" s="18">
        <v>29.78</v>
      </c>
      <c r="AY27" s="83"/>
      <c r="AZ27" s="18"/>
      <c r="BA27" s="18"/>
      <c r="BB27" s="18"/>
      <c r="BC27" s="2"/>
      <c r="BD27" s="74">
        <f>+[3]NOV!H22</f>
        <v>603.70000000000005</v>
      </c>
      <c r="BE27" s="75">
        <f t="shared" si="15"/>
        <v>49.900000000000091</v>
      </c>
      <c r="BF27" s="76">
        <f>+[3]NOV!B22</f>
        <v>137.4</v>
      </c>
      <c r="BG27" s="76">
        <f>+[3]NOV!C22</f>
        <v>149.9</v>
      </c>
      <c r="BH27" s="76">
        <f>+[3]NOV!D22</f>
        <v>135.5</v>
      </c>
      <c r="BI27" s="76">
        <f>+[3]NOV!E22</f>
        <v>131</v>
      </c>
      <c r="BJ27" s="18"/>
      <c r="BK27" s="77">
        <f t="shared" si="16"/>
        <v>553.79999999999995</v>
      </c>
      <c r="BL27" s="77">
        <f t="shared" si="17"/>
        <v>46.200000000000045</v>
      </c>
      <c r="BM27" s="18">
        <f t="shared" si="6"/>
        <v>600</v>
      </c>
      <c r="BN27" s="212">
        <v>115103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</row>
    <row r="28" spans="1:229" s="89" customFormat="1" x14ac:dyDescent="0.25">
      <c r="A28" s="84">
        <f t="shared" si="7"/>
        <v>21</v>
      </c>
      <c r="B28" s="60">
        <f t="shared" si="8"/>
        <v>0</v>
      </c>
      <c r="C28" s="60"/>
      <c r="D28" s="92"/>
      <c r="E28" s="92"/>
      <c r="F28" s="60">
        <f t="shared" si="9"/>
        <v>0</v>
      </c>
      <c r="G28" s="61"/>
      <c r="H28" s="78"/>
      <c r="I28" s="78"/>
      <c r="J28" s="60">
        <f t="shared" si="0"/>
        <v>0</v>
      </c>
      <c r="K28" s="61"/>
      <c r="L28" s="79"/>
      <c r="M28" s="79"/>
      <c r="N28" s="60">
        <f>B28+F28+J28</f>
        <v>0</v>
      </c>
      <c r="O28" s="85"/>
      <c r="P28" s="64"/>
      <c r="Q28" s="64"/>
      <c r="R28" s="61"/>
      <c r="S28" s="61"/>
      <c r="T28" s="61"/>
      <c r="U28" s="42">
        <f t="shared" si="19"/>
        <v>0</v>
      </c>
      <c r="V28" s="66" t="e">
        <f>B28/U28</f>
        <v>#DIV/0!</v>
      </c>
      <c r="W28" s="61"/>
      <c r="X28" s="61"/>
      <c r="Y28" s="61"/>
      <c r="Z28" s="87">
        <f t="shared" si="18"/>
        <v>0</v>
      </c>
      <c r="AA28" s="67" t="e">
        <f t="shared" si="2"/>
        <v>#DIV/0!</v>
      </c>
      <c r="AB28" s="61"/>
      <c r="AC28" s="61"/>
      <c r="AD28" s="61"/>
      <c r="AE28" s="87">
        <f t="shared" si="12"/>
        <v>0</v>
      </c>
      <c r="AF28" s="67" t="e">
        <f t="shared" si="3"/>
        <v>#DIV/0!</v>
      </c>
      <c r="AG28" s="68">
        <f t="shared" si="13"/>
        <v>735</v>
      </c>
      <c r="AH28" s="69">
        <f>+[2]NOV!B22</f>
        <v>132.78200000000001</v>
      </c>
      <c r="AI28" s="69">
        <f>+[2]NOV!C22</f>
        <v>134.19999999999999</v>
      </c>
      <c r="AJ28" s="69">
        <f>+[2]NOV!D22</f>
        <v>17.600000000000001</v>
      </c>
      <c r="AK28" s="69">
        <f>+[2]NOV!E22</f>
        <v>55.5</v>
      </c>
      <c r="AL28" s="69">
        <f>+[2]NOV!F22</f>
        <v>70.3</v>
      </c>
      <c r="AM28" s="69">
        <f>+[2]NOV!G22</f>
        <v>9.8000000000000007</v>
      </c>
      <c r="AN28" s="210">
        <f>+[2]NOV!H22</f>
        <v>128</v>
      </c>
      <c r="AO28" s="69">
        <f>+[2]NOV!I22</f>
        <v>0</v>
      </c>
      <c r="AP28" s="69">
        <f>+[2]NOV!J22</f>
        <v>100.4</v>
      </c>
      <c r="AQ28" s="69">
        <f>+[2]NOV!K22</f>
        <v>9.8000000000000007</v>
      </c>
      <c r="AR28" s="69"/>
      <c r="AS28" s="69"/>
      <c r="AT28" s="70">
        <f t="shared" si="14"/>
        <v>658.38199999999995</v>
      </c>
      <c r="AU28" s="214">
        <v>33090</v>
      </c>
      <c r="AV28" s="71">
        <f t="shared" si="4"/>
        <v>735</v>
      </c>
      <c r="AW28" s="72">
        <f t="shared" si="5"/>
        <v>0</v>
      </c>
      <c r="AX28" s="18">
        <v>31.5</v>
      </c>
      <c r="AY28" s="83"/>
      <c r="AZ28" s="18"/>
      <c r="BA28" s="18"/>
      <c r="BB28" s="18"/>
      <c r="BC28" s="2"/>
      <c r="BD28" s="74">
        <f>+[3]NOV!H23</f>
        <v>543</v>
      </c>
      <c r="BE28" s="75">
        <f t="shared" si="15"/>
        <v>45.300000000000011</v>
      </c>
      <c r="BF28" s="76">
        <f>+[3]NOV!B23</f>
        <v>88</v>
      </c>
      <c r="BG28" s="76">
        <f>+[3]NOV!C23</f>
        <v>150.19999999999999</v>
      </c>
      <c r="BH28" s="76">
        <f>+[3]NOV!D23</f>
        <v>130.30000000000001</v>
      </c>
      <c r="BI28" s="76">
        <f>+[3]NOV!E23</f>
        <v>129.19999999999999</v>
      </c>
      <c r="BJ28" s="18"/>
      <c r="BK28" s="77">
        <f t="shared" si="16"/>
        <v>497.7</v>
      </c>
      <c r="BL28" s="77">
        <f t="shared" si="17"/>
        <v>35.300000000000011</v>
      </c>
      <c r="BM28" s="18">
        <f t="shared" si="6"/>
        <v>533</v>
      </c>
      <c r="BN28" s="212">
        <v>115636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</row>
    <row r="29" spans="1:229" x14ac:dyDescent="0.25">
      <c r="A29" s="19">
        <f t="shared" si="7"/>
        <v>22</v>
      </c>
      <c r="B29" s="60">
        <f t="shared" si="8"/>
        <v>0</v>
      </c>
      <c r="C29" s="60"/>
      <c r="D29" s="98"/>
      <c r="E29" s="98"/>
      <c r="F29" s="60">
        <f t="shared" si="9"/>
        <v>0</v>
      </c>
      <c r="G29" s="79"/>
      <c r="H29" s="98"/>
      <c r="I29" s="98"/>
      <c r="J29" s="60">
        <f t="shared" si="0"/>
        <v>0</v>
      </c>
      <c r="K29" s="79"/>
      <c r="L29" s="79"/>
      <c r="M29" s="79"/>
      <c r="N29" s="60">
        <f t="shared" si="10"/>
        <v>0</v>
      </c>
      <c r="O29" s="100"/>
      <c r="P29" s="64"/>
      <c r="Q29" s="64"/>
      <c r="R29" s="61"/>
      <c r="S29" s="61"/>
      <c r="T29" s="61"/>
      <c r="U29" s="42">
        <f t="shared" si="19"/>
        <v>0</v>
      </c>
      <c r="V29" s="66" t="e">
        <f t="shared" si="11"/>
        <v>#DIV/0!</v>
      </c>
      <c r="W29" s="61"/>
      <c r="X29" s="61"/>
      <c r="Y29" s="61"/>
      <c r="Z29" s="68">
        <f t="shared" si="18"/>
        <v>0</v>
      </c>
      <c r="AA29" s="67" t="e">
        <f t="shared" si="2"/>
        <v>#DIV/0!</v>
      </c>
      <c r="AB29" s="61"/>
      <c r="AC29" s="61"/>
      <c r="AD29" s="61"/>
      <c r="AE29" s="68">
        <f t="shared" si="12"/>
        <v>0</v>
      </c>
      <c r="AF29" s="67" t="e">
        <f t="shared" si="3"/>
        <v>#DIV/0!</v>
      </c>
      <c r="AG29" s="68">
        <f>AV29</f>
        <v>722</v>
      </c>
      <c r="AH29" s="69">
        <f>+[2]NOV!B23</f>
        <v>123.97099999999999</v>
      </c>
      <c r="AI29" s="69">
        <f>+[2]NOV!C23</f>
        <v>134.357</v>
      </c>
      <c r="AJ29" s="69">
        <f>+[2]NOV!D23</f>
        <v>17</v>
      </c>
      <c r="AK29" s="69">
        <f>+[2]NOV!E23</f>
        <v>52.9</v>
      </c>
      <c r="AL29" s="69">
        <f>+[2]NOV!F23</f>
        <v>70.2</v>
      </c>
      <c r="AM29" s="69">
        <f>+[2]NOV!G23</f>
        <v>9.6999999999999993</v>
      </c>
      <c r="AN29" s="210">
        <f>+[2]NOV!H23</f>
        <v>128</v>
      </c>
      <c r="AO29" s="69">
        <f>+[2]NOV!I23</f>
        <v>0</v>
      </c>
      <c r="AP29" s="69">
        <f>+[2]NOV!J23</f>
        <v>99.5</v>
      </c>
      <c r="AQ29" s="69">
        <f>+[2]NOV!K23</f>
        <v>10.1</v>
      </c>
      <c r="AR29" s="69"/>
      <c r="AS29" s="69"/>
      <c r="AT29" s="70">
        <f t="shared" si="14"/>
        <v>645.72799999999995</v>
      </c>
      <c r="AU29" s="214">
        <v>33812</v>
      </c>
      <c r="AV29" s="71">
        <f t="shared" si="4"/>
        <v>722</v>
      </c>
      <c r="AW29" s="72">
        <f t="shared" si="5"/>
        <v>0</v>
      </c>
      <c r="AX29" s="18">
        <v>24.35</v>
      </c>
      <c r="AY29" s="83"/>
      <c r="AZ29" s="18"/>
      <c r="BA29" s="18"/>
      <c r="BB29" s="18"/>
      <c r="BD29" s="74">
        <f>+[3]NOV!H24</f>
        <v>501.6</v>
      </c>
      <c r="BE29" s="75">
        <f t="shared" si="15"/>
        <v>43.100000000000023</v>
      </c>
      <c r="BF29" s="76">
        <f>+[3]NOV!B24</f>
        <v>67.099999999999994</v>
      </c>
      <c r="BG29" s="76">
        <f>+[3]NOV!C24</f>
        <v>139.6</v>
      </c>
      <c r="BH29" s="76">
        <f>+[3]NOV!D24</f>
        <v>129.9</v>
      </c>
      <c r="BI29" s="76">
        <f>+[3]NOV!E24</f>
        <v>121.9</v>
      </c>
      <c r="BJ29" s="18"/>
      <c r="BK29" s="77">
        <f t="shared" si="16"/>
        <v>458.5</v>
      </c>
      <c r="BL29" s="77">
        <f t="shared" si="17"/>
        <v>38.5</v>
      </c>
      <c r="BM29" s="18">
        <f t="shared" si="6"/>
        <v>497</v>
      </c>
      <c r="BN29" s="212">
        <v>116133</v>
      </c>
    </row>
    <row r="30" spans="1:229" s="89" customFormat="1" x14ac:dyDescent="0.25">
      <c r="A30" s="84">
        <f t="shared" si="7"/>
        <v>23</v>
      </c>
      <c r="B30" s="60">
        <f t="shared" si="8"/>
        <v>0</v>
      </c>
      <c r="C30" s="60"/>
      <c r="D30" s="78"/>
      <c r="E30" s="78"/>
      <c r="F30" s="60">
        <f t="shared" si="9"/>
        <v>0</v>
      </c>
      <c r="G30" s="61"/>
      <c r="H30" s="78"/>
      <c r="I30" s="78"/>
      <c r="J30" s="60">
        <f t="shared" si="0"/>
        <v>0</v>
      </c>
      <c r="K30" s="79"/>
      <c r="L30" s="79"/>
      <c r="M30" s="79"/>
      <c r="N30" s="60">
        <f t="shared" si="10"/>
        <v>0</v>
      </c>
      <c r="O30" s="85"/>
      <c r="P30" s="64"/>
      <c r="Q30" s="64"/>
      <c r="R30" s="61"/>
      <c r="S30" s="61"/>
      <c r="T30" s="61"/>
      <c r="U30" s="101">
        <f t="shared" si="19"/>
        <v>0</v>
      </c>
      <c r="V30" s="66" t="e">
        <f t="shared" si="11"/>
        <v>#DIV/0!</v>
      </c>
      <c r="W30" s="61"/>
      <c r="X30" s="61"/>
      <c r="Y30" s="61"/>
      <c r="Z30" s="87">
        <f t="shared" si="18"/>
        <v>0</v>
      </c>
      <c r="AA30" s="67" t="e">
        <f t="shared" si="2"/>
        <v>#DIV/0!</v>
      </c>
      <c r="AB30" s="61"/>
      <c r="AC30" s="61"/>
      <c r="AD30" s="61"/>
      <c r="AE30" s="87">
        <f t="shared" si="12"/>
        <v>0</v>
      </c>
      <c r="AF30" s="67" t="e">
        <f t="shared" si="3"/>
        <v>#DIV/0!</v>
      </c>
      <c r="AG30" s="68">
        <f t="shared" si="13"/>
        <v>709</v>
      </c>
      <c r="AH30" s="69">
        <f>+[2]NOV!B24</f>
        <v>131.047</v>
      </c>
      <c r="AI30" s="69">
        <f>+[2]NOV!C24</f>
        <v>135.596</v>
      </c>
      <c r="AJ30" s="69">
        <f>+[2]NOV!D24</f>
        <v>17.600000000000001</v>
      </c>
      <c r="AK30" s="69">
        <f>+[2]NOV!E24</f>
        <v>55.5</v>
      </c>
      <c r="AL30" s="69">
        <f>+[2]NOV!F24</f>
        <v>69.099999999999994</v>
      </c>
      <c r="AM30" s="69">
        <f>+[2]NOV!G24</f>
        <v>10.5</v>
      </c>
      <c r="AN30" s="210">
        <f>+[2]NOV!H24</f>
        <v>128</v>
      </c>
      <c r="AO30" s="69">
        <f>+[2]NOV!I24</f>
        <v>0</v>
      </c>
      <c r="AP30" s="69">
        <f>+[2]NOV!J24</f>
        <v>86.9</v>
      </c>
      <c r="AQ30" s="69">
        <f>+[2]NOV!K24</f>
        <v>9.4</v>
      </c>
      <c r="AR30" s="69"/>
      <c r="AS30" s="69"/>
      <c r="AT30" s="70">
        <f t="shared" si="14"/>
        <v>643.64300000000003</v>
      </c>
      <c r="AU30" s="214">
        <v>34521</v>
      </c>
      <c r="AV30" s="71">
        <f t="shared" si="4"/>
        <v>709</v>
      </c>
      <c r="AW30" s="72">
        <f t="shared" si="5"/>
        <v>0</v>
      </c>
      <c r="AX30" s="18">
        <v>30.42</v>
      </c>
      <c r="AY30" s="18"/>
      <c r="AZ30" s="18"/>
      <c r="BA30" s="18"/>
      <c r="BB30" s="18"/>
      <c r="BC30" s="2"/>
      <c r="BD30" s="74">
        <f>+[3]NOV!H25</f>
        <v>552.1</v>
      </c>
      <c r="BE30" s="75">
        <f t="shared" si="15"/>
        <v>41.500000000000057</v>
      </c>
      <c r="BF30" s="76">
        <f>+[3]NOV!B25</f>
        <v>106.7</v>
      </c>
      <c r="BG30" s="76">
        <f>+[3]NOV!C25</f>
        <v>146.80000000000001</v>
      </c>
      <c r="BH30" s="76">
        <f>+[3]NOV!D25</f>
        <v>131.4</v>
      </c>
      <c r="BI30" s="76">
        <f>+[3]NOV!E25</f>
        <v>125.69999999999999</v>
      </c>
      <c r="BJ30" s="18"/>
      <c r="BK30" s="77">
        <f t="shared" si="16"/>
        <v>510.59999999999997</v>
      </c>
      <c r="BL30" s="77">
        <f t="shared" si="17"/>
        <v>28.400000000000034</v>
      </c>
      <c r="BM30" s="18">
        <f t="shared" si="6"/>
        <v>539</v>
      </c>
      <c r="BN30" s="212">
        <v>116672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</row>
    <row r="31" spans="1:229" s="89" customFormat="1" x14ac:dyDescent="0.25">
      <c r="A31" s="84">
        <f t="shared" si="7"/>
        <v>24</v>
      </c>
      <c r="B31" s="60">
        <f t="shared" si="8"/>
        <v>0</v>
      </c>
      <c r="C31" s="60"/>
      <c r="D31" s="78"/>
      <c r="E31" s="78"/>
      <c r="F31" s="60">
        <f t="shared" si="9"/>
        <v>0</v>
      </c>
      <c r="G31" s="61"/>
      <c r="H31" s="78"/>
      <c r="I31" s="78"/>
      <c r="J31" s="60">
        <f t="shared" si="0"/>
        <v>0</v>
      </c>
      <c r="K31" s="79"/>
      <c r="L31" s="79"/>
      <c r="M31" s="79"/>
      <c r="N31" s="60">
        <f t="shared" si="10"/>
        <v>0</v>
      </c>
      <c r="O31" s="85"/>
      <c r="P31" s="64"/>
      <c r="Q31" s="64"/>
      <c r="R31" s="61"/>
      <c r="S31" s="61"/>
      <c r="T31" s="61"/>
      <c r="U31" s="101">
        <f t="shared" si="19"/>
        <v>0</v>
      </c>
      <c r="V31" s="66" t="e">
        <f t="shared" si="11"/>
        <v>#DIV/0!</v>
      </c>
      <c r="W31" s="61"/>
      <c r="X31" s="61"/>
      <c r="Y31" s="61"/>
      <c r="Z31" s="87">
        <f t="shared" si="18"/>
        <v>0</v>
      </c>
      <c r="AA31" s="67" t="e">
        <f t="shared" si="2"/>
        <v>#DIV/0!</v>
      </c>
      <c r="AB31" s="61"/>
      <c r="AC31" s="61"/>
      <c r="AD31" s="61"/>
      <c r="AE31" s="87">
        <f t="shared" si="12"/>
        <v>0</v>
      </c>
      <c r="AF31" s="67" t="e">
        <f t="shared" si="3"/>
        <v>#DIV/0!</v>
      </c>
      <c r="AG31" s="68">
        <f t="shared" si="13"/>
        <v>712</v>
      </c>
      <c r="AH31" s="69">
        <f>+[2]NOV!B25</f>
        <v>128.20599999999999</v>
      </c>
      <c r="AI31" s="69">
        <f>+[2]NOV!C25</f>
        <v>133.47799999999998</v>
      </c>
      <c r="AJ31" s="69">
        <f>+[2]NOV!D25</f>
        <v>20.399999999999999</v>
      </c>
      <c r="AK31" s="69">
        <f>+[2]NOV!E25</f>
        <v>53.5</v>
      </c>
      <c r="AL31" s="69">
        <f>+[2]NOV!F25</f>
        <v>67.599999999999994</v>
      </c>
      <c r="AM31" s="69">
        <f>+[2]NOV!G25</f>
        <v>10.6</v>
      </c>
      <c r="AN31" s="210">
        <f>+[2]NOV!H25</f>
        <v>128</v>
      </c>
      <c r="AO31" s="69">
        <f>+[2]NOV!I25</f>
        <v>0</v>
      </c>
      <c r="AP31" s="69">
        <f>+[2]NOV!J25</f>
        <v>100.1</v>
      </c>
      <c r="AQ31" s="69">
        <f>+[2]NOV!K25</f>
        <v>11</v>
      </c>
      <c r="AR31" s="69"/>
      <c r="AS31" s="69"/>
      <c r="AT31" s="70">
        <f t="shared" si="14"/>
        <v>652.88400000000001</v>
      </c>
      <c r="AU31" s="214">
        <v>35233</v>
      </c>
      <c r="AV31" s="71">
        <f t="shared" si="4"/>
        <v>712</v>
      </c>
      <c r="AW31" s="72">
        <f t="shared" si="5"/>
        <v>0</v>
      </c>
      <c r="AX31" s="18">
        <v>29.04</v>
      </c>
      <c r="AY31" s="18"/>
      <c r="AZ31" s="18"/>
      <c r="BA31" s="18"/>
      <c r="BB31" s="18"/>
      <c r="BC31" s="2"/>
      <c r="BD31" s="74">
        <f>+[3]NOV!H26</f>
        <v>569.29999999999995</v>
      </c>
      <c r="BE31" s="75">
        <f t="shared" si="15"/>
        <v>44.799999999999955</v>
      </c>
      <c r="BF31" s="76">
        <f>+[3]NOV!B26</f>
        <v>114.30000000000001</v>
      </c>
      <c r="BG31" s="76">
        <f>+[3]NOV!C26</f>
        <v>152.69999999999999</v>
      </c>
      <c r="BH31" s="76">
        <f>+[3]NOV!D26</f>
        <v>135</v>
      </c>
      <c r="BI31" s="76">
        <f>+[3]NOV!E26</f>
        <v>122.5</v>
      </c>
      <c r="BJ31" s="18"/>
      <c r="BK31" s="77">
        <f t="shared" si="16"/>
        <v>524.5</v>
      </c>
      <c r="BL31" s="77">
        <f t="shared" si="17"/>
        <v>38.5</v>
      </c>
      <c r="BM31" s="18">
        <f t="shared" si="6"/>
        <v>563</v>
      </c>
      <c r="BN31" s="212">
        <v>117235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  <row r="32" spans="1:229" s="89" customFormat="1" x14ac:dyDescent="0.25">
      <c r="A32" s="84">
        <f t="shared" si="7"/>
        <v>25</v>
      </c>
      <c r="B32" s="60">
        <f t="shared" si="8"/>
        <v>0</v>
      </c>
      <c r="C32" s="60"/>
      <c r="D32" s="78"/>
      <c r="E32" s="78"/>
      <c r="F32" s="60">
        <f t="shared" si="9"/>
        <v>0</v>
      </c>
      <c r="G32" s="61"/>
      <c r="H32" s="78"/>
      <c r="I32" s="78"/>
      <c r="J32" s="60">
        <f t="shared" si="0"/>
        <v>0</v>
      </c>
      <c r="K32" s="79"/>
      <c r="L32" s="79"/>
      <c r="M32" s="79"/>
      <c r="N32" s="60">
        <f t="shared" si="10"/>
        <v>0</v>
      </c>
      <c r="O32" s="85"/>
      <c r="P32" s="64"/>
      <c r="Q32" s="64"/>
      <c r="R32" s="61"/>
      <c r="S32" s="61"/>
      <c r="T32" s="61"/>
      <c r="U32" s="101">
        <f t="shared" si="19"/>
        <v>0</v>
      </c>
      <c r="V32" s="66" t="e">
        <f>B32/U32</f>
        <v>#DIV/0!</v>
      </c>
      <c r="W32" s="61"/>
      <c r="X32" s="61"/>
      <c r="Y32" s="61"/>
      <c r="Z32" s="87">
        <f t="shared" si="18"/>
        <v>0</v>
      </c>
      <c r="AA32" s="67" t="e">
        <f t="shared" si="2"/>
        <v>#DIV/0!</v>
      </c>
      <c r="AB32" s="61"/>
      <c r="AC32" s="61"/>
      <c r="AD32" s="61"/>
      <c r="AE32" s="87">
        <f t="shared" si="12"/>
        <v>0</v>
      </c>
      <c r="AF32" s="67" t="e">
        <f t="shared" si="3"/>
        <v>#DIV/0!</v>
      </c>
      <c r="AG32" s="68">
        <f t="shared" si="13"/>
        <v>611</v>
      </c>
      <c r="AH32" s="69">
        <f>+[2]NOV!B26</f>
        <v>125.011</v>
      </c>
      <c r="AI32" s="69">
        <f>+[2]NOV!C26</f>
        <v>91.77</v>
      </c>
      <c r="AJ32" s="69">
        <f>+[2]NOV!D26</f>
        <v>12.8</v>
      </c>
      <c r="AK32" s="69">
        <f>+[2]NOV!E26</f>
        <v>54.4</v>
      </c>
      <c r="AL32" s="69">
        <f>+[2]NOV!F26</f>
        <v>68.900000000000006</v>
      </c>
      <c r="AM32" s="69">
        <f>+[2]NOV!G26</f>
        <v>10.199999999999999</v>
      </c>
      <c r="AN32" s="210">
        <f>+[2]NOV!H26</f>
        <v>86</v>
      </c>
      <c r="AO32" s="69">
        <f>+[2]NOV!I26</f>
        <v>0</v>
      </c>
      <c r="AP32" s="69">
        <f>+[2]NOV!J26</f>
        <v>98.7</v>
      </c>
      <c r="AQ32" s="69">
        <f>+[2]NOV!K26</f>
        <v>10.7</v>
      </c>
      <c r="AR32" s="69"/>
      <c r="AS32" s="69"/>
      <c r="AT32" s="70">
        <f t="shared" si="14"/>
        <v>558.48099999999999</v>
      </c>
      <c r="AU32" s="214">
        <v>35844</v>
      </c>
      <c r="AV32" s="71">
        <f t="shared" si="4"/>
        <v>611</v>
      </c>
      <c r="AW32" s="72">
        <f t="shared" si="5"/>
        <v>0</v>
      </c>
      <c r="AX32" s="18">
        <v>24.2</v>
      </c>
      <c r="AY32" s="18"/>
      <c r="AZ32" s="18"/>
      <c r="BA32" s="18"/>
      <c r="BB32" s="18"/>
      <c r="BC32" s="2"/>
      <c r="BD32" s="74">
        <f>+[3]NOV!H27</f>
        <v>609</v>
      </c>
      <c r="BE32" s="75">
        <f t="shared" si="15"/>
        <v>70.899999999999977</v>
      </c>
      <c r="BF32" s="76">
        <f>+[3]NOV!B27</f>
        <v>131.19999999999999</v>
      </c>
      <c r="BG32" s="76">
        <f>+[3]NOV!C27</f>
        <v>151.69999999999999</v>
      </c>
      <c r="BH32" s="76">
        <f>+[3]NOV!D27</f>
        <v>133</v>
      </c>
      <c r="BI32" s="76">
        <f>+[3]NOV!E27</f>
        <v>122.2</v>
      </c>
      <c r="BJ32" s="18"/>
      <c r="BK32" s="77">
        <f t="shared" si="16"/>
        <v>538.1</v>
      </c>
      <c r="BL32" s="77">
        <f t="shared" si="17"/>
        <v>41.899999999999977</v>
      </c>
      <c r="BM32" s="18">
        <f t="shared" si="6"/>
        <v>580</v>
      </c>
      <c r="BN32" s="212">
        <v>117815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</row>
    <row r="33" spans="1:229" s="89" customFormat="1" x14ac:dyDescent="0.25">
      <c r="A33" s="84">
        <f t="shared" si="7"/>
        <v>26</v>
      </c>
      <c r="B33" s="60">
        <f t="shared" si="8"/>
        <v>0</v>
      </c>
      <c r="C33" s="60"/>
      <c r="D33" s="78"/>
      <c r="E33" s="78"/>
      <c r="F33" s="60">
        <f t="shared" si="9"/>
        <v>0</v>
      </c>
      <c r="G33" s="61"/>
      <c r="H33" s="78"/>
      <c r="I33" s="78"/>
      <c r="J33" s="60">
        <f t="shared" si="0"/>
        <v>0</v>
      </c>
      <c r="K33" s="79"/>
      <c r="L33" s="79"/>
      <c r="M33" s="79"/>
      <c r="N33" s="60">
        <f t="shared" si="10"/>
        <v>0</v>
      </c>
      <c r="O33" s="85"/>
      <c r="P33" s="64"/>
      <c r="Q33" s="64"/>
      <c r="R33" s="61"/>
      <c r="S33" s="61"/>
      <c r="T33" s="61"/>
      <c r="U33" s="101">
        <f t="shared" si="19"/>
        <v>0</v>
      </c>
      <c r="V33" s="66" t="e">
        <f t="shared" si="11"/>
        <v>#DIV/0!</v>
      </c>
      <c r="W33" s="61"/>
      <c r="X33" s="61"/>
      <c r="Y33" s="61"/>
      <c r="Z33" s="87">
        <f t="shared" si="18"/>
        <v>0</v>
      </c>
      <c r="AA33" s="67" t="e">
        <f t="shared" si="2"/>
        <v>#DIV/0!</v>
      </c>
      <c r="AB33" s="61"/>
      <c r="AC33" s="61"/>
      <c r="AD33" s="61"/>
      <c r="AE33" s="87">
        <f t="shared" si="12"/>
        <v>0</v>
      </c>
      <c r="AF33" s="67" t="e">
        <f t="shared" si="3"/>
        <v>#DIV/0!</v>
      </c>
      <c r="AG33" s="68">
        <f t="shared" si="13"/>
        <v>670</v>
      </c>
      <c r="AH33" s="69">
        <f>+[2]NOV!B27</f>
        <v>129.50300000000001</v>
      </c>
      <c r="AI33" s="69">
        <f>+[2]NOV!C27</f>
        <v>130.43700000000001</v>
      </c>
      <c r="AJ33" s="69">
        <f>+[2]NOV!D27</f>
        <v>20.399999999999999</v>
      </c>
      <c r="AK33" s="69">
        <f>+[2]NOV!E27</f>
        <v>54.8</v>
      </c>
      <c r="AL33" s="69">
        <f>+[2]NOV!F27</f>
        <v>68.3</v>
      </c>
      <c r="AM33" s="69">
        <f>+[2]NOV!G27</f>
        <v>9.6</v>
      </c>
      <c r="AN33" s="69">
        <f>+[2]NOV!H27</f>
        <v>100.5</v>
      </c>
      <c r="AO33" s="69">
        <f>+[2]NOV!I27</f>
        <v>0</v>
      </c>
      <c r="AP33" s="69">
        <f>+[2]NOV!J27</f>
        <v>97</v>
      </c>
      <c r="AQ33" s="69">
        <f>+[2]NOV!K27</f>
        <v>9.5</v>
      </c>
      <c r="AR33" s="69"/>
      <c r="AS33" s="69"/>
      <c r="AT33" s="70">
        <f t="shared" si="14"/>
        <v>620.04000000000008</v>
      </c>
      <c r="AU33" s="213">
        <v>36514</v>
      </c>
      <c r="AV33" s="71">
        <f t="shared" si="4"/>
        <v>670</v>
      </c>
      <c r="AW33" s="72">
        <f t="shared" si="5"/>
        <v>0</v>
      </c>
      <c r="AX33" s="18">
        <v>28.51</v>
      </c>
      <c r="AY33" s="18"/>
      <c r="AZ33" s="18"/>
      <c r="BA33" s="18"/>
      <c r="BB33" s="18"/>
      <c r="BC33" s="2"/>
      <c r="BD33" s="74">
        <f>+[3]NOV!H28</f>
        <v>592</v>
      </c>
      <c r="BE33" s="75">
        <f t="shared" si="15"/>
        <v>44.399999999999977</v>
      </c>
      <c r="BF33" s="76">
        <f>+[3]NOV!B28</f>
        <v>138.5</v>
      </c>
      <c r="BG33" s="76">
        <f>+[3]NOV!C28</f>
        <v>153.30000000000001</v>
      </c>
      <c r="BH33" s="76">
        <f>+[3]NOV!D28</f>
        <v>127.5</v>
      </c>
      <c r="BI33" s="76">
        <f>+[3]NOV!E28</f>
        <v>128.30000000000001</v>
      </c>
      <c r="BJ33" s="18"/>
      <c r="BK33" s="77">
        <f t="shared" si="16"/>
        <v>547.6</v>
      </c>
      <c r="BL33" s="77">
        <f t="shared" si="17"/>
        <v>35.399999999999977</v>
      </c>
      <c r="BM33" s="18">
        <f t="shared" si="6"/>
        <v>583</v>
      </c>
      <c r="BN33" s="212">
        <v>118398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</row>
    <row r="34" spans="1:229" s="89" customFormat="1" ht="14.45" customHeight="1" x14ac:dyDescent="0.25">
      <c r="A34" s="84">
        <f t="shared" si="7"/>
        <v>27</v>
      </c>
      <c r="B34" s="60">
        <f t="shared" si="8"/>
        <v>0</v>
      </c>
      <c r="C34" s="60"/>
      <c r="D34" s="78"/>
      <c r="E34" s="78"/>
      <c r="F34" s="60">
        <f t="shared" si="9"/>
        <v>0</v>
      </c>
      <c r="G34" s="61"/>
      <c r="H34" s="78"/>
      <c r="I34" s="78"/>
      <c r="J34" s="60">
        <f t="shared" si="0"/>
        <v>0</v>
      </c>
      <c r="K34" s="79"/>
      <c r="L34" s="79"/>
      <c r="M34" s="79"/>
      <c r="N34" s="60">
        <f t="shared" si="10"/>
        <v>0</v>
      </c>
      <c r="O34" s="85"/>
      <c r="P34" s="64"/>
      <c r="Q34" s="64"/>
      <c r="R34" s="61"/>
      <c r="S34" s="61"/>
      <c r="T34" s="61"/>
      <c r="U34" s="101">
        <f t="shared" si="19"/>
        <v>0</v>
      </c>
      <c r="V34" s="66" t="e">
        <f t="shared" si="11"/>
        <v>#DIV/0!</v>
      </c>
      <c r="W34" s="61"/>
      <c r="X34" s="61"/>
      <c r="Y34" s="61"/>
      <c r="Z34" s="87">
        <f t="shared" si="18"/>
        <v>0</v>
      </c>
      <c r="AA34" s="67" t="e">
        <f t="shared" si="2"/>
        <v>#DIV/0!</v>
      </c>
      <c r="AB34" s="61"/>
      <c r="AC34" s="61"/>
      <c r="AD34" s="61"/>
      <c r="AE34" s="87">
        <f t="shared" si="12"/>
        <v>0</v>
      </c>
      <c r="AF34" s="67" t="e">
        <f t="shared" si="3"/>
        <v>#DIV/0!</v>
      </c>
      <c r="AG34" s="68">
        <f t="shared" si="13"/>
        <v>684</v>
      </c>
      <c r="AH34" s="69">
        <f>+[2]NOV!B28</f>
        <v>127.277</v>
      </c>
      <c r="AI34" s="69">
        <f>+[2]NOV!C28</f>
        <v>117.465</v>
      </c>
      <c r="AJ34" s="69">
        <f>+[2]NOV!D28</f>
        <v>20.100000000000001</v>
      </c>
      <c r="AK34" s="69">
        <f>+[2]NOV!E28</f>
        <v>54.1</v>
      </c>
      <c r="AL34" s="69">
        <f>+[2]NOV!F28</f>
        <v>61.9</v>
      </c>
      <c r="AM34" s="69">
        <f>+[2]NOV!G28</f>
        <v>8.4</v>
      </c>
      <c r="AN34" s="69">
        <f>+[2]NOV!H28</f>
        <v>120.6</v>
      </c>
      <c r="AO34" s="69">
        <f>+[2]NOV!I28</f>
        <v>0</v>
      </c>
      <c r="AP34" s="69">
        <f>+[2]NOV!J28</f>
        <v>98.3</v>
      </c>
      <c r="AQ34" s="69">
        <f>+[2]NOV!K28</f>
        <v>9.8000000000000007</v>
      </c>
      <c r="AR34" s="69"/>
      <c r="AS34" s="69"/>
      <c r="AT34" s="70">
        <f t="shared" si="14"/>
        <v>617.94199999999989</v>
      </c>
      <c r="AU34" s="213">
        <v>37198</v>
      </c>
      <c r="AV34" s="71">
        <f t="shared" si="4"/>
        <v>684</v>
      </c>
      <c r="AW34" s="72">
        <f t="shared" si="5"/>
        <v>0</v>
      </c>
      <c r="AX34" s="18">
        <v>28.53</v>
      </c>
      <c r="AY34" s="18"/>
      <c r="AZ34" s="18"/>
      <c r="BA34" s="18"/>
      <c r="BB34" s="18"/>
      <c r="BC34" s="2"/>
      <c r="BD34" s="74">
        <f>+[3]NOV!H29</f>
        <v>566.4</v>
      </c>
      <c r="BE34" s="75">
        <f t="shared" si="15"/>
        <v>51.899999999999977</v>
      </c>
      <c r="BF34" s="76">
        <f>+[3]NOV!B29</f>
        <v>123.7</v>
      </c>
      <c r="BG34" s="76">
        <f>+[3]NOV!C29</f>
        <v>142.39999999999998</v>
      </c>
      <c r="BH34" s="76">
        <f>+[3]NOV!D29</f>
        <v>128.6</v>
      </c>
      <c r="BI34" s="76">
        <f>+[3]NOV!E29</f>
        <v>119.80000000000001</v>
      </c>
      <c r="BJ34" s="18"/>
      <c r="BK34" s="77">
        <f t="shared" si="16"/>
        <v>514.5</v>
      </c>
      <c r="BL34" s="77">
        <f t="shared" si="17"/>
        <v>49.5</v>
      </c>
      <c r="BM34" s="18">
        <f t="shared" si="6"/>
        <v>564</v>
      </c>
      <c r="BN34" s="212">
        <v>118962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</row>
    <row r="35" spans="1:229" s="89" customFormat="1" x14ac:dyDescent="0.25">
      <c r="A35" s="84">
        <f t="shared" si="7"/>
        <v>28</v>
      </c>
      <c r="B35" s="60">
        <f t="shared" si="8"/>
        <v>0</v>
      </c>
      <c r="C35" s="60"/>
      <c r="D35" s="78"/>
      <c r="E35" s="78"/>
      <c r="F35" s="60">
        <f t="shared" si="9"/>
        <v>0</v>
      </c>
      <c r="G35" s="61"/>
      <c r="H35" s="78"/>
      <c r="I35" s="78"/>
      <c r="J35" s="60">
        <f t="shared" si="0"/>
        <v>0</v>
      </c>
      <c r="K35" s="79"/>
      <c r="L35" s="79"/>
      <c r="M35" s="79"/>
      <c r="N35" s="60">
        <f t="shared" si="10"/>
        <v>0</v>
      </c>
      <c r="O35" s="85"/>
      <c r="P35" s="64"/>
      <c r="Q35" s="64"/>
      <c r="R35" s="61"/>
      <c r="S35" s="61"/>
      <c r="T35" s="61"/>
      <c r="U35" s="101">
        <f t="shared" si="19"/>
        <v>0</v>
      </c>
      <c r="V35" s="66" t="e">
        <f t="shared" si="11"/>
        <v>#DIV/0!</v>
      </c>
      <c r="W35" s="61"/>
      <c r="X35" s="61"/>
      <c r="Y35" s="61"/>
      <c r="Z35" s="87">
        <f t="shared" si="18"/>
        <v>0</v>
      </c>
      <c r="AA35" s="67" t="e">
        <f t="shared" si="2"/>
        <v>#DIV/0!</v>
      </c>
      <c r="AB35" s="61"/>
      <c r="AC35" s="61"/>
      <c r="AD35" s="61"/>
      <c r="AE35" s="87">
        <f t="shared" si="12"/>
        <v>0</v>
      </c>
      <c r="AF35" s="67" t="e">
        <f t="shared" si="3"/>
        <v>#DIV/0!</v>
      </c>
      <c r="AG35" s="68">
        <f t="shared" si="13"/>
        <v>685</v>
      </c>
      <c r="AH35" s="69">
        <f>+[2]NOV!B29</f>
        <v>124.27</v>
      </c>
      <c r="AI35" s="69">
        <f>+[2]NOV!C29</f>
        <v>115.19</v>
      </c>
      <c r="AJ35" s="69">
        <f>+[2]NOV!D29</f>
        <v>20.3</v>
      </c>
      <c r="AK35" s="69">
        <f>+[2]NOV!E29</f>
        <v>52.8</v>
      </c>
      <c r="AL35" s="69">
        <f>+[2]NOV!F29</f>
        <v>67.3</v>
      </c>
      <c r="AM35" s="69">
        <f>+[2]NOV!G29</f>
        <v>10.1</v>
      </c>
      <c r="AN35" s="69">
        <f>+[2]NOV!H29</f>
        <v>124.8</v>
      </c>
      <c r="AO35" s="69">
        <f>+[2]NOV!I29</f>
        <v>0</v>
      </c>
      <c r="AP35" s="69">
        <f>+[2]NOV!J29</f>
        <v>100.6</v>
      </c>
      <c r="AQ35" s="69">
        <f>+[2]NOV!K29</f>
        <v>10.4</v>
      </c>
      <c r="AR35" s="69"/>
      <c r="AS35" s="69"/>
      <c r="AT35" s="70">
        <f t="shared" si="14"/>
        <v>625.76</v>
      </c>
      <c r="AU35" s="213">
        <v>37883</v>
      </c>
      <c r="AV35" s="71">
        <f t="shared" si="4"/>
        <v>685</v>
      </c>
      <c r="AW35" s="72">
        <f t="shared" si="5"/>
        <v>0</v>
      </c>
      <c r="AX35" s="18">
        <v>28.68</v>
      </c>
      <c r="AY35" s="18"/>
      <c r="AZ35" s="18"/>
      <c r="BA35" s="18"/>
      <c r="BB35" s="18"/>
      <c r="BC35" s="2"/>
      <c r="BD35" s="74">
        <f>+[3]NOV!H30</f>
        <v>573</v>
      </c>
      <c r="BE35" s="75">
        <f>BD35-BK35</f>
        <v>46.899999999999977</v>
      </c>
      <c r="BF35" s="76">
        <f>+[3]NOV!B30</f>
        <v>134.80000000000001</v>
      </c>
      <c r="BG35" s="76">
        <f>+[3]NOV!C30</f>
        <v>141.19999999999999</v>
      </c>
      <c r="BH35" s="76">
        <f>+[3]NOV!D30</f>
        <v>129.9</v>
      </c>
      <c r="BI35" s="76">
        <f>+[3]NOV!E30</f>
        <v>120.2</v>
      </c>
      <c r="BJ35" s="18"/>
      <c r="BK35" s="77">
        <f>SUM(BF35:BJ35)</f>
        <v>526.1</v>
      </c>
      <c r="BL35" s="77">
        <f t="shared" si="17"/>
        <v>36.899999999999977</v>
      </c>
      <c r="BM35" s="18">
        <f t="shared" si="6"/>
        <v>563</v>
      </c>
      <c r="BN35" s="212">
        <v>119525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</row>
    <row r="36" spans="1:229" s="89" customFormat="1" x14ac:dyDescent="0.25">
      <c r="A36" s="84">
        <f t="shared" si="7"/>
        <v>29</v>
      </c>
      <c r="B36" s="60">
        <f t="shared" si="8"/>
        <v>0</v>
      </c>
      <c r="C36" s="60"/>
      <c r="D36" s="78"/>
      <c r="E36" s="78"/>
      <c r="F36" s="60">
        <f>SUM(G36:I36)</f>
        <v>0</v>
      </c>
      <c r="G36" s="61"/>
      <c r="H36" s="78"/>
      <c r="I36" s="78"/>
      <c r="J36" s="60">
        <f>SUM(K36:M36)</f>
        <v>0</v>
      </c>
      <c r="K36" s="79"/>
      <c r="L36" s="79"/>
      <c r="M36" s="79"/>
      <c r="N36" s="60">
        <f t="shared" si="10"/>
        <v>0</v>
      </c>
      <c r="O36" s="85"/>
      <c r="P36" s="64"/>
      <c r="Q36" s="64"/>
      <c r="R36" s="61"/>
      <c r="S36" s="61"/>
      <c r="T36" s="61"/>
      <c r="U36" s="101">
        <f>SUM(R36:T36)</f>
        <v>0</v>
      </c>
      <c r="V36" s="66" t="e">
        <f>B36/U36</f>
        <v>#DIV/0!</v>
      </c>
      <c r="W36" s="61"/>
      <c r="X36" s="61"/>
      <c r="Y36" s="61"/>
      <c r="Z36" s="87">
        <f>SUM(W36:Y36)</f>
        <v>0</v>
      </c>
      <c r="AA36" s="67" t="e">
        <f t="shared" si="2"/>
        <v>#DIV/0!</v>
      </c>
      <c r="AB36" s="61"/>
      <c r="AC36" s="61"/>
      <c r="AD36" s="61"/>
      <c r="AE36" s="87">
        <f>SUM(AB36:AD36)</f>
        <v>0</v>
      </c>
      <c r="AF36" s="67" t="e">
        <f t="shared" si="3"/>
        <v>#DIV/0!</v>
      </c>
      <c r="AG36" s="68">
        <f t="shared" si="13"/>
        <v>685</v>
      </c>
      <c r="AH36" s="69">
        <f>+[2]NOV!B30</f>
        <v>123.578</v>
      </c>
      <c r="AI36" s="69">
        <f>+[2]NOV!C30</f>
        <v>116.161</v>
      </c>
      <c r="AJ36" s="69">
        <f>+[2]NOV!D30</f>
        <v>20.399999999999999</v>
      </c>
      <c r="AK36" s="69">
        <f>+[2]NOV!E30</f>
        <v>50.3</v>
      </c>
      <c r="AL36" s="69">
        <f>+[2]NOV!F30</f>
        <v>66.900000000000006</v>
      </c>
      <c r="AM36" s="69">
        <f>+[2]NOV!G30</f>
        <v>10.199999999999999</v>
      </c>
      <c r="AN36" s="69">
        <f>+[2]NOV!H30</f>
        <v>120.6</v>
      </c>
      <c r="AO36" s="69">
        <f>+[2]NOV!I30</f>
        <v>0</v>
      </c>
      <c r="AP36" s="69">
        <f>+[2]NOV!J30</f>
        <v>97.3</v>
      </c>
      <c r="AQ36" s="69">
        <f>+[2]NOV!K30</f>
        <v>9.6</v>
      </c>
      <c r="AR36" s="69"/>
      <c r="AS36" s="69"/>
      <c r="AT36" s="70">
        <f t="shared" si="14"/>
        <v>615.03899999999999</v>
      </c>
      <c r="AU36" s="213">
        <v>38568</v>
      </c>
      <c r="AV36" s="71">
        <f t="shared" si="4"/>
        <v>685</v>
      </c>
      <c r="AW36" s="72">
        <f t="shared" si="5"/>
        <v>0</v>
      </c>
      <c r="AX36" s="18">
        <v>32.74</v>
      </c>
      <c r="AY36" s="77"/>
      <c r="AZ36" s="88"/>
      <c r="BA36" s="83"/>
      <c r="BB36" s="18"/>
      <c r="BC36" s="2"/>
      <c r="BD36" s="74">
        <f>+[3]NOV!H31</f>
        <v>582</v>
      </c>
      <c r="BE36" s="75">
        <f t="shared" si="15"/>
        <v>47.200000000000045</v>
      </c>
      <c r="BF36" s="76">
        <f>+[3]NOV!B31</f>
        <v>140.4</v>
      </c>
      <c r="BG36" s="76">
        <f>+[3]NOV!C31</f>
        <v>144.1</v>
      </c>
      <c r="BH36" s="76">
        <f>+[3]NOV!D31</f>
        <v>129</v>
      </c>
      <c r="BI36" s="76">
        <f>+[3]NOV!E31</f>
        <v>121.30000000000001</v>
      </c>
      <c r="BJ36" s="18"/>
      <c r="BK36" s="77">
        <f t="shared" si="16"/>
        <v>534.79999999999995</v>
      </c>
      <c r="BL36" s="77">
        <f t="shared" si="17"/>
        <v>44.200000000000045</v>
      </c>
      <c r="BM36" s="18">
        <f>BN36-BN35</f>
        <v>579</v>
      </c>
      <c r="BN36" s="212">
        <v>120104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</row>
    <row r="37" spans="1:229" s="89" customFormat="1" x14ac:dyDescent="0.25">
      <c r="A37" s="84">
        <v>30</v>
      </c>
      <c r="B37" s="60"/>
      <c r="C37" s="60"/>
      <c r="D37" s="78"/>
      <c r="E37" s="78"/>
      <c r="F37" s="60"/>
      <c r="G37" s="61"/>
      <c r="H37" s="78"/>
      <c r="I37" s="78"/>
      <c r="J37" s="60"/>
      <c r="K37" s="79"/>
      <c r="L37" s="79"/>
      <c r="M37" s="79"/>
      <c r="N37" s="60"/>
      <c r="O37" s="85"/>
      <c r="P37" s="64"/>
      <c r="Q37" s="64"/>
      <c r="R37" s="61"/>
      <c r="S37" s="61"/>
      <c r="T37" s="61"/>
      <c r="U37" s="101"/>
      <c r="V37" s="66"/>
      <c r="W37" s="61"/>
      <c r="X37" s="61"/>
      <c r="Y37" s="61"/>
      <c r="Z37" s="87"/>
      <c r="AA37" s="67"/>
      <c r="AB37" s="61"/>
      <c r="AC37" s="61"/>
      <c r="AD37" s="61"/>
      <c r="AE37" s="87">
        <f>SUM(AB37:AD37)</f>
        <v>0</v>
      </c>
      <c r="AF37" s="67" t="e">
        <f t="shared" si="3"/>
        <v>#DIV/0!</v>
      </c>
      <c r="AG37" s="68">
        <f t="shared" si="13"/>
        <v>684</v>
      </c>
      <c r="AH37" s="69">
        <f>+[2]NOV!B31</f>
        <v>119.416</v>
      </c>
      <c r="AI37" s="69">
        <f>+[2]NOV!C31</f>
        <v>113.27800000000001</v>
      </c>
      <c r="AJ37" s="69">
        <f>+[2]NOV!D31</f>
        <v>19.2</v>
      </c>
      <c r="AK37" s="69">
        <f>+[2]NOV!E31</f>
        <v>52.1</v>
      </c>
      <c r="AL37" s="69">
        <f>+[2]NOV!F31</f>
        <v>66.7</v>
      </c>
      <c r="AM37" s="69">
        <f>+[2]NOV!G31</f>
        <v>9.8000000000000007</v>
      </c>
      <c r="AN37" s="69">
        <f>+[2]NOV!H31</f>
        <v>124.4</v>
      </c>
      <c r="AO37" s="69">
        <f>+[2]NOV!I31</f>
        <v>0</v>
      </c>
      <c r="AP37" s="69">
        <f>+[2]NOV!J31</f>
        <v>98.4</v>
      </c>
      <c r="AQ37" s="69">
        <f>+[2]NOV!K31</f>
        <v>10</v>
      </c>
      <c r="AR37" s="69"/>
      <c r="AS37" s="69"/>
      <c r="AT37" s="70">
        <f t="shared" si="14"/>
        <v>613.29399999999998</v>
      </c>
      <c r="AU37" s="213">
        <v>39252</v>
      </c>
      <c r="AV37" s="71">
        <f t="shared" si="4"/>
        <v>684</v>
      </c>
      <c r="AW37" s="72">
        <f t="shared" si="5"/>
        <v>0</v>
      </c>
      <c r="AX37" s="59">
        <v>28.43</v>
      </c>
      <c r="AY37" s="77"/>
      <c r="AZ37" s="88"/>
      <c r="BA37" s="83"/>
      <c r="BB37" s="18"/>
      <c r="BC37" s="2"/>
      <c r="BD37" s="74">
        <f>+[3]NOV!H32</f>
        <v>578</v>
      </c>
      <c r="BE37" s="75">
        <f t="shared" si="15"/>
        <v>50.099999999999909</v>
      </c>
      <c r="BF37" s="76">
        <f>+[3]NOV!B32</f>
        <v>129.80000000000001</v>
      </c>
      <c r="BG37" s="76">
        <f>+[3]NOV!C32</f>
        <v>146</v>
      </c>
      <c r="BH37" s="76">
        <f>+[3]NOV!D32</f>
        <v>127.10000000000001</v>
      </c>
      <c r="BI37" s="76">
        <f>+[3]NOV!E32</f>
        <v>125</v>
      </c>
      <c r="BJ37" s="18"/>
      <c r="BK37" s="77">
        <f t="shared" si="16"/>
        <v>527.90000000000009</v>
      </c>
      <c r="BL37" s="77">
        <f t="shared" si="17"/>
        <v>38.099999999999909</v>
      </c>
      <c r="BM37" s="18">
        <f t="shared" si="6"/>
        <v>566</v>
      </c>
      <c r="BN37" s="212">
        <v>120670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</row>
    <row r="38" spans="1:229" s="89" customFormat="1" x14ac:dyDescent="0.25">
      <c r="A38" s="84"/>
      <c r="B38" s="60"/>
      <c r="C38" s="60"/>
      <c r="D38" s="78"/>
      <c r="E38" s="78"/>
      <c r="F38" s="60"/>
      <c r="G38" s="61"/>
      <c r="H38" s="78"/>
      <c r="I38" s="78"/>
      <c r="J38" s="60"/>
      <c r="K38" s="79"/>
      <c r="L38" s="79"/>
      <c r="M38" s="79"/>
      <c r="N38" s="60"/>
      <c r="O38" s="85"/>
      <c r="P38" s="64"/>
      <c r="Q38" s="64"/>
      <c r="R38" s="61"/>
      <c r="S38" s="61"/>
      <c r="T38" s="61"/>
      <c r="U38" s="101"/>
      <c r="V38" s="66"/>
      <c r="W38" s="61"/>
      <c r="X38" s="61"/>
      <c r="Y38" s="61"/>
      <c r="Z38" s="87"/>
      <c r="AA38" s="67"/>
      <c r="AB38" s="61"/>
      <c r="AC38" s="61"/>
      <c r="AD38" s="61"/>
      <c r="AE38" s="87"/>
      <c r="AF38" s="67"/>
      <c r="AG38" s="68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70"/>
      <c r="AU38" s="213"/>
      <c r="AV38" s="71"/>
      <c r="AW38" s="72"/>
      <c r="AX38" s="59"/>
      <c r="AY38" s="77"/>
      <c r="AZ38" s="88"/>
      <c r="BA38" s="83"/>
      <c r="BB38" s="18"/>
      <c r="BC38" s="2"/>
      <c r="BD38" s="74"/>
      <c r="BE38" s="75"/>
      <c r="BF38" s="76"/>
      <c r="BG38" s="204"/>
      <c r="BH38" s="77"/>
      <c r="BI38" s="77"/>
      <c r="BJ38" s="18"/>
      <c r="BK38" s="77"/>
      <c r="BL38" s="77"/>
      <c r="BM38" s="18"/>
      <c r="BN38" s="21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</row>
    <row r="39" spans="1:229" s="89" customFormat="1" x14ac:dyDescent="0.25">
      <c r="A39" s="84"/>
      <c r="B39" s="60"/>
      <c r="C39" s="60"/>
      <c r="D39" s="78"/>
      <c r="E39" s="78"/>
      <c r="F39" s="60"/>
      <c r="G39" s="61"/>
      <c r="H39" s="78"/>
      <c r="I39" s="78"/>
      <c r="J39" s="60"/>
      <c r="K39" s="79"/>
      <c r="L39" s="79"/>
      <c r="M39" s="79"/>
      <c r="N39" s="60"/>
      <c r="O39" s="85"/>
      <c r="P39" s="64"/>
      <c r="Q39" s="64"/>
      <c r="R39" s="61"/>
      <c r="S39" s="61"/>
      <c r="T39" s="61"/>
      <c r="U39" s="101"/>
      <c r="V39" s="66"/>
      <c r="W39" s="61"/>
      <c r="X39" s="61"/>
      <c r="Y39" s="61"/>
      <c r="Z39" s="87"/>
      <c r="AA39" s="67"/>
      <c r="AB39" s="61"/>
      <c r="AC39" s="61"/>
      <c r="AD39" s="61"/>
      <c r="AE39" s="87"/>
      <c r="AF39" s="67"/>
      <c r="AG39" s="68"/>
      <c r="AH39" s="102"/>
      <c r="AI39" s="103"/>
      <c r="AJ39" s="103"/>
      <c r="AK39" s="102"/>
      <c r="AL39" s="102"/>
      <c r="AM39" s="103"/>
      <c r="AN39" s="69"/>
      <c r="AO39" s="69"/>
      <c r="AP39" s="69"/>
      <c r="AQ39" s="103"/>
      <c r="AR39" s="103"/>
      <c r="AS39" s="103"/>
      <c r="AT39" s="70"/>
      <c r="AU39" s="213"/>
      <c r="AV39" s="71"/>
      <c r="AW39" s="72"/>
      <c r="AX39" s="59"/>
      <c r="AY39" s="77"/>
      <c r="AZ39" s="88"/>
      <c r="BA39" s="83"/>
      <c r="BB39" s="18"/>
      <c r="BC39" s="2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21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</row>
    <row r="40" spans="1:229" x14ac:dyDescent="0.25">
      <c r="A40" s="104" t="s">
        <v>5</v>
      </c>
      <c r="B40" s="105">
        <f>SUM(B8:B36)</f>
        <v>0</v>
      </c>
      <c r="C40" s="105"/>
      <c r="D40" s="105">
        <f>SUM(D8:D36)</f>
        <v>0</v>
      </c>
      <c r="E40" s="105">
        <f>SUM(E8:E36)</f>
        <v>0</v>
      </c>
      <c r="F40" s="105">
        <f>SUM(F8:F36)</f>
        <v>0</v>
      </c>
      <c r="G40" s="105"/>
      <c r="H40" s="105"/>
      <c r="I40" s="105"/>
      <c r="J40" s="105">
        <f>SUM(J8:J36)</f>
        <v>0</v>
      </c>
      <c r="K40" s="105"/>
      <c r="L40" s="105"/>
      <c r="M40" s="105"/>
      <c r="N40" s="105">
        <f>SUM(N8:N36)</f>
        <v>0</v>
      </c>
      <c r="O40" s="105">
        <f>SUM(O8:O36)</f>
        <v>0</v>
      </c>
      <c r="P40" s="105">
        <f>SUM(P8:P36)</f>
        <v>0</v>
      </c>
      <c r="Q40" s="105">
        <f>SUM(Q8:Q36)</f>
        <v>0</v>
      </c>
      <c r="R40" s="105"/>
      <c r="S40" s="105"/>
      <c r="T40" s="105"/>
      <c r="U40" s="106">
        <f>SUMIF(U9:U36,"&gt;0")</f>
        <v>0</v>
      </c>
      <c r="V40" s="107" t="e">
        <f>B40/U40</f>
        <v>#DIV/0!</v>
      </c>
      <c r="W40" s="108"/>
      <c r="X40" s="108"/>
      <c r="Y40" s="108"/>
      <c r="Z40" s="106">
        <f>SUMIF(Z8:Z36,"&gt;0")</f>
        <v>0</v>
      </c>
      <c r="AA40" s="109" t="e">
        <f>F40/Z40</f>
        <v>#DIV/0!</v>
      </c>
      <c r="AB40" s="110"/>
      <c r="AC40" s="110"/>
      <c r="AD40" s="110"/>
      <c r="AE40" s="106">
        <f>SUMIF(AE8:AE36,"&gt;0")</f>
        <v>0</v>
      </c>
      <c r="AF40" s="109" t="e">
        <f>J40/AE40</f>
        <v>#DIV/0!</v>
      </c>
      <c r="AG40" s="111">
        <f>SUMIF(AG8:AG38,"&gt;0")</f>
        <v>20063</v>
      </c>
      <c r="AH40" s="112">
        <f t="shared" ref="AH40:AP40" si="21">SUMIF(AH8:AH38,"&gt;0")</f>
        <v>3798.9330000000004</v>
      </c>
      <c r="AI40" s="112">
        <f t="shared" si="21"/>
        <v>3914.6889999999994</v>
      </c>
      <c r="AJ40" s="112">
        <f t="shared" si="21"/>
        <v>478.9</v>
      </c>
      <c r="AK40" s="112">
        <f t="shared" si="21"/>
        <v>1095.2999999999997</v>
      </c>
      <c r="AL40" s="112">
        <f t="shared" si="21"/>
        <v>2015.3000000000002</v>
      </c>
      <c r="AM40" s="112">
        <f t="shared" si="21"/>
        <v>297.3</v>
      </c>
      <c r="AN40" s="112">
        <f t="shared" si="21"/>
        <v>3773</v>
      </c>
      <c r="AO40" s="112"/>
      <c r="AP40" s="112">
        <f t="shared" si="21"/>
        <v>2844.5</v>
      </c>
      <c r="AQ40" s="112">
        <f>SUMIF(AQ8:AQ38,"&gt;0")</f>
        <v>284.5</v>
      </c>
      <c r="AR40" s="112">
        <f>SUMIF(AR8:AR38,"&gt;0")</f>
        <v>0</v>
      </c>
      <c r="AS40" s="112">
        <f>SUMIF(AS8:AS38,"&gt;0")</f>
        <v>0</v>
      </c>
      <c r="AT40" s="113">
        <f>SUM(AT8:AT38)</f>
        <v>18502.421999999999</v>
      </c>
      <c r="AU40" s="213"/>
      <c r="AV40" s="111">
        <f>SUMIF(AV8:AV38,"&gt;0")</f>
        <v>20063</v>
      </c>
      <c r="AW40" s="18"/>
      <c r="AX40" s="18"/>
      <c r="AY40" s="114">
        <f>SUMIF(AY8:AY36,"&gt;0")</f>
        <v>0</v>
      </c>
      <c r="AZ40" s="114">
        <f>SUMIF(AZ8:AZ36,"&gt;0")</f>
        <v>0</v>
      </c>
      <c r="BA40" s="114">
        <f>SUMIF(BA8:BA36,"&gt;0")</f>
        <v>0</v>
      </c>
      <c r="BB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212"/>
    </row>
    <row r="41" spans="1:229" x14ac:dyDescent="0.25">
      <c r="A41" s="115" t="s">
        <v>58</v>
      </c>
      <c r="B41" s="116"/>
      <c r="C41" s="116"/>
      <c r="D41" s="116"/>
      <c r="E41" s="116"/>
      <c r="F41" s="117"/>
      <c r="G41" s="116"/>
      <c r="H41" s="116"/>
      <c r="I41" s="116"/>
      <c r="J41" s="116"/>
      <c r="K41" s="116"/>
      <c r="L41" s="116"/>
      <c r="M41" s="116"/>
      <c r="N41" s="116"/>
      <c r="O41" s="118"/>
      <c r="P41" s="119"/>
      <c r="Q41" s="119"/>
      <c r="R41" s="118"/>
      <c r="S41" s="118"/>
      <c r="T41" s="120"/>
      <c r="U41" s="121"/>
      <c r="V41" s="121" t="e">
        <f>U40/B40</f>
        <v>#DIV/0!</v>
      </c>
      <c r="W41" s="121"/>
      <c r="X41" s="121"/>
      <c r="Y41" s="121"/>
      <c r="Z41" s="122"/>
      <c r="AA41" s="121" t="e">
        <f>Z40/F40</f>
        <v>#DIV/0!</v>
      </c>
      <c r="AB41" s="121"/>
      <c r="AC41" s="121"/>
      <c r="AD41" s="121"/>
      <c r="AE41" s="121"/>
      <c r="AF41" s="121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4">
        <f>AG40-AT40</f>
        <v>1560.5780000000013</v>
      </c>
      <c r="AU41" s="212"/>
      <c r="AV41" s="125">
        <f>AV40-AG40</f>
        <v>0</v>
      </c>
      <c r="AW41" s="18"/>
      <c r="AX41" s="18"/>
      <c r="AY41" s="18"/>
      <c r="AZ41" s="18"/>
      <c r="BA41" s="18"/>
      <c r="BB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212"/>
    </row>
    <row r="42" spans="1:229" x14ac:dyDescent="0.25">
      <c r="A42" s="9"/>
      <c r="B42" s="126"/>
      <c r="C42" s="9"/>
      <c r="D42" s="9"/>
      <c r="E42" s="9"/>
      <c r="F42" s="126"/>
      <c r="G42" s="9"/>
      <c r="H42" s="9"/>
      <c r="I42" s="9"/>
      <c r="J42" s="126"/>
      <c r="K42" s="9"/>
      <c r="L42" s="9"/>
      <c r="M42" s="9"/>
      <c r="N42" s="127"/>
      <c r="O42" s="127"/>
      <c r="P42" s="128"/>
      <c r="Q42" s="127"/>
      <c r="R42" s="9"/>
      <c r="S42" s="9"/>
      <c r="T42" s="9"/>
      <c r="U42" s="129"/>
      <c r="V42" s="130"/>
      <c r="W42" s="131"/>
      <c r="X42" s="130"/>
      <c r="Y42" s="130"/>
      <c r="Z42" s="132"/>
      <c r="AA42" s="130"/>
      <c r="AB42" s="131"/>
      <c r="AC42" s="130"/>
      <c r="AD42" s="130"/>
      <c r="AE42" s="130"/>
      <c r="AF42" s="130"/>
      <c r="AG42" s="130"/>
      <c r="AH42" s="133"/>
      <c r="AI42" s="134"/>
      <c r="AJ42" s="134"/>
      <c r="AK42" s="133"/>
      <c r="AL42" s="135"/>
      <c r="AM42" s="135"/>
      <c r="AN42" s="136"/>
      <c r="AO42" s="136"/>
      <c r="AP42" s="136"/>
      <c r="AQ42" s="136"/>
      <c r="AR42" s="136"/>
      <c r="AS42" s="136"/>
      <c r="AT42" s="137"/>
      <c r="AU42" s="212"/>
      <c r="AV42" s="18"/>
      <c r="AW42" s="18"/>
      <c r="AX42" s="18"/>
      <c r="AY42" s="18"/>
      <c r="AZ42" s="18"/>
      <c r="BA42" s="18"/>
      <c r="BB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212"/>
    </row>
    <row r="43" spans="1:229" x14ac:dyDescent="0.25">
      <c r="A43" s="238" t="s">
        <v>59</v>
      </c>
      <c r="B43" s="241">
        <f>SUM(B40/31)</f>
        <v>0</v>
      </c>
      <c r="C43" s="138"/>
      <c r="D43" s="138"/>
      <c r="E43" s="138"/>
      <c r="F43" s="242">
        <f>SUM(F40/31)</f>
        <v>0</v>
      </c>
      <c r="G43" s="138"/>
      <c r="H43" s="138"/>
      <c r="I43" s="138"/>
      <c r="J43" s="241">
        <f>SUM(J40/31)</f>
        <v>0</v>
      </c>
      <c r="K43" s="138"/>
      <c r="L43" s="138"/>
      <c r="M43" s="138"/>
      <c r="N43" s="243">
        <f>SUM(N40/31)</f>
        <v>0</v>
      </c>
      <c r="O43" s="139"/>
      <c r="P43" s="246">
        <f>SUM(P40/31)</f>
        <v>0</v>
      </c>
      <c r="Q43" s="139"/>
      <c r="R43" s="138"/>
      <c r="S43" s="138"/>
      <c r="T43" s="138"/>
      <c r="U43" s="225">
        <f>SUM(U40/31)</f>
        <v>0</v>
      </c>
      <c r="V43" s="225" t="e">
        <f>SUM(V40/31)</f>
        <v>#DIV/0!</v>
      </c>
      <c r="W43" s="140"/>
      <c r="X43" s="140"/>
      <c r="Y43" s="140"/>
      <c r="Z43" s="225">
        <f>SUM(Z40/31)</f>
        <v>0</v>
      </c>
      <c r="AA43" s="230" t="e">
        <f>SUM(AA40/31)</f>
        <v>#DIV/0!</v>
      </c>
      <c r="AB43" s="140"/>
      <c r="AC43" s="140"/>
      <c r="AD43" s="140"/>
      <c r="AE43" s="225">
        <f>SUM(AE40/31)</f>
        <v>0</v>
      </c>
      <c r="AF43" s="225" t="e">
        <f>SUM(AF40/31)</f>
        <v>#DIV/0!</v>
      </c>
      <c r="AG43" s="141"/>
      <c r="AH43" s="225">
        <f>SUM(AH40/31)</f>
        <v>122.54622580645163</v>
      </c>
      <c r="AI43" s="142"/>
      <c r="AJ43" s="142"/>
      <c r="AK43" s="143"/>
      <c r="AL43" s="144"/>
      <c r="AM43" s="144"/>
      <c r="AN43" s="145"/>
      <c r="AO43" s="145"/>
      <c r="AP43" s="145"/>
      <c r="AQ43" s="145"/>
      <c r="AR43" s="145"/>
      <c r="AS43" s="145"/>
      <c r="AT43" s="146">
        <f>AT40/AG40</f>
        <v>0.92221611922444291</v>
      </c>
      <c r="AU43" s="212"/>
      <c r="AV43" s="18"/>
      <c r="AW43" s="18"/>
      <c r="AX43" s="18"/>
      <c r="AY43" s="18"/>
      <c r="AZ43" s="18"/>
      <c r="BA43" s="18"/>
      <c r="BB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212"/>
    </row>
    <row r="44" spans="1:229" x14ac:dyDescent="0.25">
      <c r="A44" s="239"/>
      <c r="B44" s="239"/>
      <c r="C44" s="138"/>
      <c r="D44" s="138"/>
      <c r="E44" s="138"/>
      <c r="F44" s="239"/>
      <c r="G44" s="138"/>
      <c r="H44" s="138"/>
      <c r="I44" s="138"/>
      <c r="J44" s="239"/>
      <c r="K44" s="138"/>
      <c r="L44" s="138"/>
      <c r="M44" s="138"/>
      <c r="N44" s="244"/>
      <c r="O44" s="139"/>
      <c r="P44" s="247"/>
      <c r="Q44" s="147"/>
      <c r="R44" s="138"/>
      <c r="S44" s="138"/>
      <c r="T44" s="138"/>
      <c r="U44" s="226"/>
      <c r="V44" s="228"/>
      <c r="W44" s="140"/>
      <c r="X44" s="148"/>
      <c r="Y44" s="140"/>
      <c r="Z44" s="226"/>
      <c r="AA44" s="226"/>
      <c r="AB44" s="140"/>
      <c r="AC44" s="148"/>
      <c r="AD44" s="140"/>
      <c r="AE44" s="226"/>
      <c r="AF44" s="226"/>
      <c r="AG44" s="149"/>
      <c r="AH44" s="226"/>
      <c r="AI44" s="142"/>
      <c r="AJ44" s="142"/>
      <c r="AK44" s="148"/>
      <c r="AL44" s="145"/>
      <c r="AM44" s="145"/>
      <c r="AN44" s="145"/>
      <c r="AO44" s="145"/>
      <c r="AP44" s="145"/>
      <c r="AQ44" s="145"/>
      <c r="AR44" s="145"/>
      <c r="AS44" s="145"/>
      <c r="AT44" s="146">
        <f>AT41/AG40</f>
        <v>7.7783880775557063E-2</v>
      </c>
      <c r="AU44" s="212"/>
      <c r="AV44" s="18"/>
      <c r="AW44" s="18"/>
      <c r="AX44" s="18"/>
      <c r="AY44" s="18"/>
      <c r="AZ44" s="18"/>
      <c r="BA44" s="18"/>
      <c r="BB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212"/>
    </row>
    <row r="45" spans="1:229" x14ac:dyDescent="0.25">
      <c r="A45" s="240"/>
      <c r="B45" s="240"/>
      <c r="C45" s="138"/>
      <c r="D45" s="138"/>
      <c r="E45" s="138"/>
      <c r="F45" s="240"/>
      <c r="G45" s="138"/>
      <c r="H45" s="138"/>
      <c r="I45" s="138"/>
      <c r="J45" s="240"/>
      <c r="K45" s="138"/>
      <c r="L45" s="138"/>
      <c r="M45" s="138"/>
      <c r="N45" s="245"/>
      <c r="O45" s="139"/>
      <c r="P45" s="248"/>
      <c r="Q45" s="139"/>
      <c r="R45" s="138"/>
      <c r="S45" s="138"/>
      <c r="T45" s="138"/>
      <c r="U45" s="227"/>
      <c r="V45" s="229"/>
      <c r="W45" s="140"/>
      <c r="X45" s="148"/>
      <c r="Y45" s="140"/>
      <c r="Z45" s="227"/>
      <c r="AA45" s="227"/>
      <c r="AB45" s="140"/>
      <c r="AC45" s="148"/>
      <c r="AD45" s="140"/>
      <c r="AE45" s="227"/>
      <c r="AF45" s="227"/>
      <c r="AG45" s="52"/>
      <c r="AH45" s="227"/>
      <c r="AI45" s="150"/>
      <c r="AJ45" s="150"/>
      <c r="AK45" s="148"/>
      <c r="AL45" s="151"/>
      <c r="AM45" s="151"/>
      <c r="AN45" s="151"/>
      <c r="AO45" s="151"/>
      <c r="AP45" s="151"/>
      <c r="AQ45" s="151"/>
      <c r="AR45" s="151"/>
      <c r="AS45" s="151"/>
      <c r="AT45" s="18"/>
      <c r="AU45" s="212"/>
      <c r="AV45" s="18"/>
      <c r="AW45" s="18"/>
      <c r="AX45" s="18"/>
      <c r="AY45" s="18"/>
      <c r="AZ45" s="18"/>
      <c r="BA45" s="18"/>
      <c r="BB45" s="18"/>
      <c r="BD45" s="18"/>
      <c r="BE45" s="18"/>
      <c r="BF45" s="18"/>
      <c r="BG45" s="18"/>
      <c r="BH45" s="18"/>
      <c r="BI45" s="18"/>
      <c r="BJ45" s="18"/>
      <c r="BK45" s="18">
        <f>SUM(BK13:BK38)</f>
        <v>12945</v>
      </c>
      <c r="BL45" s="18">
        <f>SUM(BL8:BL38)</f>
        <v>1221.0000000000002</v>
      </c>
      <c r="BM45" s="18">
        <f>SUM(BM13:BM38)</f>
        <v>13947</v>
      </c>
      <c r="BN45" s="212"/>
    </row>
    <row r="46" spans="1:229" x14ac:dyDescent="0.25">
      <c r="A46" s="9"/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127"/>
      <c r="Q46" s="127"/>
      <c r="R46" s="9"/>
      <c r="S46" s="9"/>
      <c r="T46" s="9"/>
      <c r="U46" s="129"/>
      <c r="V46" s="129"/>
      <c r="W46" s="129"/>
      <c r="X46" s="129"/>
      <c r="Y46" s="129"/>
      <c r="Z46" s="152"/>
      <c r="AA46" s="129"/>
      <c r="AB46" s="129"/>
      <c r="AC46" s="129"/>
      <c r="AD46" s="129"/>
      <c r="AE46" s="129"/>
      <c r="AF46" s="129"/>
      <c r="AG46" s="58"/>
      <c r="AH46" s="130"/>
      <c r="AI46" s="153"/>
      <c r="AJ46" s="153"/>
      <c r="AK46" s="129"/>
      <c r="AL46" s="129"/>
      <c r="AM46" s="129"/>
      <c r="AN46" s="129"/>
      <c r="AO46" s="129"/>
      <c r="AP46" s="129"/>
      <c r="AQ46" s="129"/>
      <c r="AR46" s="129"/>
      <c r="AS46" s="129"/>
    </row>
    <row r="47" spans="1:229" x14ac:dyDescent="0.25">
      <c r="A47" s="9"/>
      <c r="B47" s="9" t="s">
        <v>60</v>
      </c>
      <c r="C47" s="126"/>
      <c r="D47" s="126"/>
      <c r="E47" s="9"/>
      <c r="G47" s="9"/>
      <c r="H47" s="9"/>
      <c r="I47" s="9"/>
      <c r="J47" s="9"/>
      <c r="K47" s="126"/>
      <c r="L47" s="126"/>
      <c r="M47" s="9"/>
      <c r="N47" s="9"/>
      <c r="O47" s="9"/>
      <c r="P47" s="9"/>
      <c r="Q47" s="9"/>
      <c r="R47" s="9"/>
      <c r="S47" s="9"/>
      <c r="T47" s="9"/>
      <c r="U47" s="129"/>
      <c r="V47" s="129"/>
      <c r="W47" s="129"/>
      <c r="X47" s="129"/>
      <c r="Y47" s="129"/>
      <c r="Z47" s="132"/>
      <c r="AB47" s="154"/>
      <c r="AC47" s="154"/>
      <c r="AD47" s="154"/>
      <c r="AE47" s="154"/>
      <c r="AG47" s="155" t="s">
        <v>61</v>
      </c>
      <c r="AH47" s="129"/>
      <c r="AI47" s="156"/>
      <c r="AJ47" s="156"/>
      <c r="AK47" s="129"/>
      <c r="AL47" s="129"/>
      <c r="AM47" s="129"/>
      <c r="AN47" s="129"/>
      <c r="AO47" s="129"/>
      <c r="AP47" s="129"/>
      <c r="AQ47" s="129"/>
      <c r="AR47" s="129"/>
      <c r="AS47" s="129"/>
    </row>
    <row r="48" spans="1:229" x14ac:dyDescent="0.25">
      <c r="A48" s="9"/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29"/>
      <c r="V48" s="129"/>
      <c r="W48" s="129"/>
      <c r="X48" s="129"/>
      <c r="Y48" s="129"/>
      <c r="Z48" s="152"/>
      <c r="AA48" s="129"/>
      <c r="AB48" s="129"/>
      <c r="AC48" s="129"/>
      <c r="AD48" s="129"/>
      <c r="AE48" s="129"/>
      <c r="AF48" s="129"/>
      <c r="AG48" s="2" t="s">
        <v>62</v>
      </c>
      <c r="AH48" s="157"/>
      <c r="AI48" s="158">
        <f>AU37</f>
        <v>39252</v>
      </c>
      <c r="AJ48" s="159"/>
      <c r="AK48" s="129"/>
      <c r="AL48" s="129"/>
      <c r="AM48" s="129"/>
      <c r="AN48" s="129"/>
      <c r="AO48" s="129"/>
      <c r="AP48" s="129"/>
      <c r="AQ48" s="129"/>
      <c r="AR48" s="129"/>
      <c r="AS48" s="129"/>
    </row>
    <row r="49" spans="1:53" x14ac:dyDescent="0.25">
      <c r="A49" s="9"/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AG49" s="2" t="s">
        <v>63</v>
      </c>
      <c r="AH49" s="160"/>
      <c r="AI49" s="161">
        <v>612232</v>
      </c>
      <c r="AJ49" s="159"/>
      <c r="AK49" s="160"/>
      <c r="AL49" s="160"/>
      <c r="AM49" s="159"/>
      <c r="AN49" s="159"/>
      <c r="AO49" s="159"/>
      <c r="AP49" s="159"/>
    </row>
    <row r="50" spans="1:53" x14ac:dyDescent="0.25">
      <c r="A50" s="9"/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AG50" s="2" t="s">
        <v>64</v>
      </c>
      <c r="AI50" s="162">
        <f>AI48-AI49</f>
        <v>-572980</v>
      </c>
      <c r="AJ50" s="163"/>
    </row>
    <row r="51" spans="1:53" x14ac:dyDescent="0.25">
      <c r="A51" s="9"/>
      <c r="B51" s="9"/>
      <c r="E51" s="9"/>
      <c r="G51" s="9"/>
      <c r="H51" s="9"/>
      <c r="I51" s="9"/>
      <c r="J51" s="9"/>
      <c r="M51" s="9"/>
      <c r="N51" s="9"/>
      <c r="O51" s="9"/>
      <c r="P51" s="9"/>
      <c r="Q51" s="9"/>
      <c r="R51" s="9"/>
      <c r="S51" s="9"/>
      <c r="T51" s="9"/>
      <c r="AG51" s="157"/>
      <c r="AH51" s="157"/>
      <c r="AI51" s="157"/>
      <c r="AJ51" s="159"/>
      <c r="AK51" s="157"/>
      <c r="AL51" s="157"/>
      <c r="AM51" s="157"/>
      <c r="AN51" s="157"/>
      <c r="AO51" s="157"/>
      <c r="AP51" s="157"/>
      <c r="AQ51" s="157"/>
      <c r="AR51" s="157"/>
      <c r="AS51" s="157"/>
    </row>
    <row r="52" spans="1:53" x14ac:dyDescent="0.25">
      <c r="A52" s="9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AG52" s="157" t="s">
        <v>65</v>
      </c>
      <c r="AH52" s="157"/>
      <c r="AI52" s="164"/>
      <c r="AJ52" s="159"/>
      <c r="AK52" s="157"/>
      <c r="AL52" s="157"/>
      <c r="AM52" s="157"/>
      <c r="AN52" s="157">
        <f>1215/1440</f>
        <v>0.84375</v>
      </c>
      <c r="AO52" s="157">
        <f>AN52*AN59</f>
        <v>114.1509375</v>
      </c>
      <c r="AP52" s="157"/>
      <c r="AQ52" s="157"/>
      <c r="AR52" s="157"/>
      <c r="AS52" s="157"/>
    </row>
    <row r="53" spans="1:53" x14ac:dyDescent="0.25">
      <c r="A53" s="9"/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G53" s="157" t="s">
        <v>66</v>
      </c>
      <c r="AH53" s="157"/>
      <c r="AI53" s="165"/>
      <c r="AJ53" s="157"/>
      <c r="AK53" s="157">
        <f>AK56*AN58</f>
        <v>31.137485000000009</v>
      </c>
      <c r="AL53" s="157">
        <f>AL56*AN59</f>
        <v>100.34008333333333</v>
      </c>
      <c r="AM53" s="157"/>
      <c r="AN53" s="157"/>
      <c r="AO53" s="157"/>
      <c r="AP53" s="157"/>
      <c r="AQ53" s="157"/>
      <c r="AR53" s="157"/>
      <c r="AS53" s="157"/>
    </row>
    <row r="54" spans="1:53" x14ac:dyDescent="0.25">
      <c r="A54" s="9"/>
      <c r="B54" s="126"/>
      <c r="C54" s="126"/>
      <c r="D54" s="126"/>
      <c r="E54" s="126"/>
      <c r="G54" s="9"/>
      <c r="H54" s="9"/>
      <c r="I54" s="9"/>
      <c r="J54" s="126"/>
      <c r="K54" s="126"/>
      <c r="L54" s="126"/>
      <c r="M54" s="126"/>
      <c r="N54" s="9"/>
      <c r="O54" s="9"/>
      <c r="P54" s="9"/>
      <c r="Q54" s="9"/>
      <c r="R54" s="9"/>
      <c r="S54" s="9"/>
      <c r="T54" s="9"/>
      <c r="AG54" s="157" t="s">
        <v>67</v>
      </c>
      <c r="AH54" s="157"/>
      <c r="AI54" s="157">
        <f>AI50-AI53</f>
        <v>-572980</v>
      </c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</row>
    <row r="55" spans="1:53" x14ac:dyDescent="0.25">
      <c r="A55" s="9"/>
      <c r="B55" s="166"/>
      <c r="C55" s="166"/>
      <c r="D55" s="166"/>
      <c r="E55" s="166"/>
      <c r="G55" s="9"/>
      <c r="H55" s="9"/>
      <c r="I55" s="9"/>
      <c r="J55" s="166"/>
      <c r="K55" s="166"/>
      <c r="L55" s="166"/>
      <c r="M55" s="166"/>
      <c r="N55" s="9"/>
      <c r="O55" s="9"/>
      <c r="P55" s="9"/>
      <c r="Q55" s="9"/>
      <c r="R55" s="9"/>
      <c r="S55" s="9"/>
      <c r="T55" s="9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</row>
    <row r="56" spans="1:53" x14ac:dyDescent="0.25">
      <c r="A56" s="9"/>
      <c r="B56" s="166"/>
      <c r="C56" s="166"/>
      <c r="D56" s="166"/>
      <c r="E56" s="166"/>
      <c r="F56" s="166"/>
      <c r="G56" s="9"/>
      <c r="H56" s="9"/>
      <c r="I56" s="9"/>
      <c r="J56" s="166"/>
      <c r="K56" s="166"/>
      <c r="L56" s="166"/>
      <c r="M56" s="166"/>
      <c r="N56" s="9"/>
      <c r="O56" s="9"/>
      <c r="P56" s="9"/>
      <c r="Q56" s="9"/>
      <c r="R56" s="9"/>
      <c r="S56" s="9"/>
      <c r="T56" s="9"/>
      <c r="AG56" s="157"/>
      <c r="AH56" s="157"/>
      <c r="AI56" s="157"/>
      <c r="AJ56" s="157"/>
      <c r="AK56" s="157">
        <f>372/1440</f>
        <v>0.25833333333333336</v>
      </c>
      <c r="AL56" s="157">
        <f>1068/1440</f>
        <v>0.7416666666666667</v>
      </c>
      <c r="AM56" s="157"/>
      <c r="AN56" s="157"/>
      <c r="AO56" s="157"/>
      <c r="AP56" s="157"/>
      <c r="AQ56" s="157"/>
      <c r="AR56" s="157"/>
      <c r="AS56" s="157"/>
    </row>
    <row r="57" spans="1:53" x14ac:dyDescent="0.25">
      <c r="A57" s="9"/>
      <c r="B57" s="166"/>
      <c r="C57" s="166"/>
      <c r="D57" s="166"/>
      <c r="E57" s="166"/>
      <c r="F57" s="166"/>
      <c r="G57" s="9"/>
      <c r="H57" s="9"/>
      <c r="I57" s="9"/>
      <c r="J57" s="166"/>
      <c r="K57" s="166"/>
      <c r="L57" s="166"/>
      <c r="M57" s="166"/>
      <c r="N57" s="9"/>
      <c r="O57" s="9"/>
      <c r="P57" s="9"/>
      <c r="Q57" s="9"/>
      <c r="R57" s="9"/>
      <c r="S57" s="9"/>
      <c r="T57" s="9"/>
      <c r="AG57" s="157"/>
      <c r="AH57" s="157"/>
      <c r="AI57" s="157"/>
      <c r="AJ57" s="157"/>
      <c r="AK57" s="18"/>
      <c r="AL57" s="72"/>
      <c r="AM57" s="72"/>
      <c r="AN57" s="72" t="s">
        <v>68</v>
      </c>
      <c r="AO57" s="72"/>
      <c r="AP57" s="157"/>
      <c r="AQ57" s="157"/>
      <c r="AR57" s="157"/>
      <c r="AS57" s="157"/>
      <c r="AY57" s="167"/>
      <c r="AZ57" s="167"/>
      <c r="BA57" s="167"/>
    </row>
    <row r="58" spans="1:53" x14ac:dyDescent="0.25">
      <c r="A58" s="9"/>
      <c r="B58" s="166"/>
      <c r="C58" s="166"/>
      <c r="D58" s="166"/>
      <c r="E58" s="166"/>
      <c r="F58" s="166"/>
      <c r="G58" s="9"/>
      <c r="H58" s="9"/>
      <c r="I58" s="9"/>
      <c r="J58" s="166"/>
      <c r="K58" s="166"/>
      <c r="L58" s="166"/>
      <c r="M58" s="166"/>
      <c r="N58" s="9"/>
      <c r="O58" s="9"/>
      <c r="P58" s="9"/>
      <c r="Q58" s="9"/>
      <c r="R58" s="9"/>
      <c r="S58" s="9"/>
      <c r="T58" s="9"/>
      <c r="AG58" s="157"/>
      <c r="AH58" s="157"/>
      <c r="AI58" s="157"/>
      <c r="AJ58" s="157"/>
      <c r="AK58" s="72" t="s">
        <v>69</v>
      </c>
      <c r="AL58" s="72">
        <v>602.66100000000006</v>
      </c>
      <c r="AM58" s="72">
        <v>5</v>
      </c>
      <c r="AN58" s="72">
        <v>120.53220000000002</v>
      </c>
      <c r="AO58" s="72"/>
      <c r="AP58" s="157"/>
      <c r="AQ58" s="157"/>
      <c r="AR58" s="157"/>
      <c r="AS58" s="157"/>
    </row>
    <row r="59" spans="1:53" x14ac:dyDescent="0.25">
      <c r="A59" s="9"/>
      <c r="B59" s="166"/>
      <c r="C59" s="166"/>
      <c r="D59" s="166"/>
      <c r="E59" s="166"/>
      <c r="F59" s="166"/>
      <c r="G59" s="9"/>
      <c r="H59" s="9"/>
      <c r="I59" s="9"/>
      <c r="J59" s="166"/>
      <c r="K59" s="166"/>
      <c r="L59" s="166"/>
      <c r="M59" s="166"/>
      <c r="N59" s="9"/>
      <c r="O59" s="9"/>
      <c r="P59" s="9"/>
      <c r="Q59" s="9"/>
      <c r="R59" s="9"/>
      <c r="S59" s="9"/>
      <c r="T59" s="9"/>
      <c r="AG59" s="157"/>
      <c r="AH59" s="157"/>
      <c r="AI59" s="157"/>
      <c r="AJ59" s="157"/>
      <c r="AK59" s="72" t="s">
        <v>70</v>
      </c>
      <c r="AL59" s="72">
        <v>947.03</v>
      </c>
      <c r="AM59" s="72">
        <v>7</v>
      </c>
      <c r="AN59" s="72">
        <v>135.29</v>
      </c>
      <c r="AO59" s="72"/>
      <c r="AP59" s="157"/>
      <c r="AQ59" s="157"/>
      <c r="AR59" s="157"/>
      <c r="AS59" s="157"/>
    </row>
    <row r="60" spans="1:53" x14ac:dyDescent="0.25">
      <c r="A60" s="9"/>
      <c r="B60" s="168"/>
      <c r="C60" s="166"/>
      <c r="D60" s="166"/>
      <c r="E60" s="166"/>
      <c r="F60" s="166"/>
      <c r="G60" s="9"/>
      <c r="H60" s="9"/>
      <c r="I60" s="9"/>
      <c r="J60" s="168"/>
      <c r="K60" s="166"/>
      <c r="L60" s="166"/>
      <c r="M60" s="166"/>
      <c r="N60" s="9"/>
      <c r="O60" s="9"/>
      <c r="P60" s="9"/>
      <c r="Q60" s="9"/>
      <c r="R60" s="9"/>
      <c r="S60" s="9"/>
      <c r="T60" s="9"/>
      <c r="AG60" s="157"/>
      <c r="AH60" s="157"/>
      <c r="AI60" s="157"/>
      <c r="AJ60" s="157"/>
      <c r="AK60" s="72" t="s">
        <v>71</v>
      </c>
      <c r="AL60" s="72">
        <v>150.392</v>
      </c>
      <c r="AM60" s="72">
        <v>1</v>
      </c>
      <c r="AN60" s="72">
        <v>150.392</v>
      </c>
      <c r="AO60" s="72"/>
      <c r="AP60" s="157"/>
      <c r="AQ60" s="157"/>
      <c r="AR60" s="157"/>
      <c r="AS60" s="157"/>
    </row>
    <row r="61" spans="1:53" x14ac:dyDescent="0.25">
      <c r="A61" s="9"/>
      <c r="B61" s="166"/>
      <c r="C61" s="9"/>
      <c r="D61" s="9"/>
      <c r="E61" s="9"/>
      <c r="F61" s="9"/>
      <c r="G61" s="9"/>
      <c r="H61" s="9"/>
      <c r="I61" s="9"/>
      <c r="J61" s="166"/>
      <c r="K61" s="9"/>
      <c r="L61" s="9"/>
      <c r="M61" s="9"/>
      <c r="N61" s="9"/>
      <c r="O61" s="9"/>
      <c r="P61" s="9"/>
      <c r="Q61" s="9"/>
      <c r="R61" s="9"/>
      <c r="S61" s="9"/>
      <c r="T61" s="9"/>
      <c r="AG61" s="157"/>
      <c r="AH61" s="157"/>
      <c r="AI61" s="157"/>
      <c r="AJ61" s="157"/>
      <c r="AK61" s="72" t="s">
        <v>72</v>
      </c>
      <c r="AL61" s="72">
        <v>166.25</v>
      </c>
      <c r="AM61" s="72">
        <v>1</v>
      </c>
      <c r="AN61" s="72">
        <v>166.25</v>
      </c>
      <c r="AO61" s="72"/>
      <c r="AP61" s="157"/>
      <c r="AQ61" s="157"/>
      <c r="AR61" s="157"/>
      <c r="AS61" s="157"/>
    </row>
    <row r="62" spans="1:5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2">
        <v>20</v>
      </c>
      <c r="AU62" s="167">
        <v>2348</v>
      </c>
      <c r="AV62" s="2">
        <f t="shared" ref="AV62:AV79" si="22">AU62-AU63</f>
        <v>122</v>
      </c>
    </row>
    <row r="63" spans="1:53" x14ac:dyDescent="0.25">
      <c r="B63" s="169"/>
      <c r="J63" s="169"/>
      <c r="AF63" s="222">
        <v>45628</v>
      </c>
      <c r="AG63" s="72">
        <v>49.1</v>
      </c>
      <c r="AH63" s="72">
        <v>96</v>
      </c>
      <c r="AI63" s="72"/>
      <c r="AJ63" s="72"/>
      <c r="AK63" s="157"/>
      <c r="AL63" s="222">
        <v>45644</v>
      </c>
      <c r="AM63" s="72">
        <v>2226</v>
      </c>
      <c r="AN63" s="170">
        <f t="shared" ref="AN63:AN113" si="23">AM63-AM64</f>
        <v>42</v>
      </c>
      <c r="AO63" s="216"/>
      <c r="AP63" s="216">
        <f>AM63-AM66</f>
        <v>127</v>
      </c>
      <c r="AQ63" s="157"/>
      <c r="AR63" s="157"/>
      <c r="AS63" s="157"/>
      <c r="AT63" s="2">
        <v>19</v>
      </c>
      <c r="AU63" s="167">
        <v>2226</v>
      </c>
      <c r="AV63" s="2">
        <f t="shared" si="22"/>
        <v>127</v>
      </c>
    </row>
    <row r="64" spans="1:53" x14ac:dyDescent="0.25">
      <c r="AF64" s="224"/>
      <c r="AG64" s="72">
        <v>50.1</v>
      </c>
      <c r="AH64" s="72">
        <v>134</v>
      </c>
      <c r="AI64" s="72">
        <f t="shared" ref="AI64:AI74" si="24">AH64-AH63</f>
        <v>38</v>
      </c>
      <c r="AJ64" s="72"/>
      <c r="AK64" s="157"/>
      <c r="AL64" s="222"/>
      <c r="AM64" s="72">
        <v>2184</v>
      </c>
      <c r="AN64" s="170">
        <f t="shared" si="23"/>
        <v>40</v>
      </c>
      <c r="AO64" s="217"/>
      <c r="AP64" s="217"/>
      <c r="AQ64" s="157"/>
      <c r="AR64" s="157"/>
      <c r="AS64" s="157"/>
      <c r="AT64" s="2">
        <v>18</v>
      </c>
      <c r="AU64" s="167">
        <v>2099</v>
      </c>
      <c r="AV64" s="2">
        <f t="shared" si="22"/>
        <v>125</v>
      </c>
    </row>
    <row r="65" spans="32:53" x14ac:dyDescent="0.25">
      <c r="AF65" s="224"/>
      <c r="AG65" s="72">
        <v>52.7</v>
      </c>
      <c r="AH65" s="72">
        <v>173</v>
      </c>
      <c r="AI65" s="72">
        <f t="shared" si="24"/>
        <v>39</v>
      </c>
      <c r="AJ65" s="72"/>
      <c r="AK65" s="157"/>
      <c r="AL65" s="222"/>
      <c r="AM65" s="72">
        <v>2144</v>
      </c>
      <c r="AN65" s="170">
        <f t="shared" si="23"/>
        <v>45</v>
      </c>
      <c r="AO65" s="218"/>
      <c r="AP65" s="218"/>
      <c r="AQ65" s="157"/>
      <c r="AR65" s="157"/>
      <c r="AS65" s="157"/>
      <c r="AT65" s="2">
        <v>17</v>
      </c>
      <c r="AU65" s="167">
        <v>1974</v>
      </c>
      <c r="AV65" s="2">
        <f t="shared" si="22"/>
        <v>135</v>
      </c>
      <c r="AY65" s="167"/>
      <c r="AZ65" s="167"/>
      <c r="BA65" s="167"/>
    </row>
    <row r="66" spans="32:53" x14ac:dyDescent="0.25">
      <c r="AF66" s="222">
        <v>45629</v>
      </c>
      <c r="AG66" s="72">
        <v>53.4</v>
      </c>
      <c r="AH66" s="72">
        <v>217</v>
      </c>
      <c r="AI66" s="72">
        <f t="shared" si="24"/>
        <v>44</v>
      </c>
      <c r="AJ66" s="72"/>
      <c r="AK66" s="157"/>
      <c r="AL66" s="222">
        <v>45643</v>
      </c>
      <c r="AM66" s="72">
        <v>2099</v>
      </c>
      <c r="AN66" s="170">
        <f t="shared" si="23"/>
        <v>42</v>
      </c>
      <c r="AO66" s="216"/>
      <c r="AP66" s="216">
        <f>AM66-AM69</f>
        <v>125</v>
      </c>
      <c r="AQ66" s="157"/>
      <c r="AR66" s="157"/>
      <c r="AS66" s="157"/>
      <c r="AT66" s="2">
        <v>16</v>
      </c>
      <c r="AU66" s="167">
        <v>1839</v>
      </c>
      <c r="AV66" s="2">
        <f t="shared" si="22"/>
        <v>125</v>
      </c>
    </row>
    <row r="67" spans="32:53" x14ac:dyDescent="0.25">
      <c r="AF67" s="224"/>
      <c r="AG67" s="72">
        <v>52.8</v>
      </c>
      <c r="AH67" s="72">
        <v>259</v>
      </c>
      <c r="AI67" s="72">
        <f t="shared" si="24"/>
        <v>42</v>
      </c>
      <c r="AJ67" s="72"/>
      <c r="AK67" s="157"/>
      <c r="AL67" s="222"/>
      <c r="AM67" s="72">
        <v>2057</v>
      </c>
      <c r="AN67" s="170">
        <f t="shared" si="23"/>
        <v>42</v>
      </c>
      <c r="AO67" s="217"/>
      <c r="AP67" s="217"/>
      <c r="AQ67" s="157"/>
      <c r="AR67" s="157"/>
      <c r="AS67" s="157"/>
      <c r="AT67" s="2">
        <v>15</v>
      </c>
      <c r="AU67" s="167">
        <v>1714</v>
      </c>
      <c r="AV67" s="2">
        <f t="shared" si="22"/>
        <v>123</v>
      </c>
    </row>
    <row r="68" spans="32:53" x14ac:dyDescent="0.25">
      <c r="AF68" s="224"/>
      <c r="AG68" s="72">
        <v>53.8</v>
      </c>
      <c r="AH68" s="72">
        <v>302</v>
      </c>
      <c r="AI68" s="72">
        <f t="shared" si="24"/>
        <v>43</v>
      </c>
      <c r="AJ68" s="72">
        <f>SUM(AI66:AI68)</f>
        <v>129</v>
      </c>
      <c r="AK68" s="157"/>
      <c r="AL68" s="222"/>
      <c r="AM68" s="72">
        <v>2015</v>
      </c>
      <c r="AN68" s="170">
        <f t="shared" si="23"/>
        <v>41</v>
      </c>
      <c r="AO68" s="218"/>
      <c r="AP68" s="218"/>
      <c r="AQ68" s="157"/>
      <c r="AR68" s="157"/>
      <c r="AS68" s="157"/>
      <c r="AT68" s="2">
        <v>14</v>
      </c>
      <c r="AU68" s="167">
        <v>1591</v>
      </c>
      <c r="AV68" s="2">
        <f t="shared" si="22"/>
        <v>113</v>
      </c>
    </row>
    <row r="69" spans="32:53" x14ac:dyDescent="0.25">
      <c r="AF69" s="222">
        <v>45630</v>
      </c>
      <c r="AG69" s="72">
        <v>60.3</v>
      </c>
      <c r="AH69" s="72">
        <v>351</v>
      </c>
      <c r="AI69" s="72">
        <f t="shared" si="24"/>
        <v>49</v>
      </c>
      <c r="AJ69" s="72"/>
      <c r="AK69" s="157"/>
      <c r="AL69" s="222">
        <v>45642</v>
      </c>
      <c r="AM69" s="72">
        <v>1974</v>
      </c>
      <c r="AN69" s="170">
        <f t="shared" si="23"/>
        <v>45</v>
      </c>
      <c r="AO69" s="216"/>
      <c r="AP69" s="216">
        <f t="shared" ref="AP69" si="25">AM69-AM72</f>
        <v>135</v>
      </c>
      <c r="AQ69" s="157"/>
      <c r="AR69" s="157"/>
      <c r="AS69" s="157"/>
      <c r="AT69" s="2">
        <v>13</v>
      </c>
      <c r="AU69" s="167">
        <v>1478</v>
      </c>
      <c r="AV69" s="2">
        <f t="shared" si="22"/>
        <v>113</v>
      </c>
    </row>
    <row r="70" spans="32:53" x14ac:dyDescent="0.25">
      <c r="AF70" s="224"/>
      <c r="AG70" s="72">
        <v>60.6</v>
      </c>
      <c r="AH70" s="72">
        <v>396</v>
      </c>
      <c r="AI70" s="72">
        <f t="shared" si="24"/>
        <v>45</v>
      </c>
      <c r="AJ70" s="72"/>
      <c r="AK70" s="157"/>
      <c r="AL70" s="222"/>
      <c r="AM70" s="72">
        <v>1929</v>
      </c>
      <c r="AN70" s="170">
        <f t="shared" si="23"/>
        <v>47</v>
      </c>
      <c r="AO70" s="217"/>
      <c r="AP70" s="217"/>
      <c r="AQ70" s="157"/>
      <c r="AR70" s="157"/>
      <c r="AS70" s="157"/>
      <c r="AT70" s="2">
        <v>12</v>
      </c>
      <c r="AU70" s="167">
        <v>1365</v>
      </c>
      <c r="AV70" s="2">
        <f t="shared" si="22"/>
        <v>123</v>
      </c>
    </row>
    <row r="71" spans="32:53" x14ac:dyDescent="0.25">
      <c r="AF71" s="224"/>
      <c r="AG71" s="72">
        <v>60.5</v>
      </c>
      <c r="AH71" s="72">
        <v>448</v>
      </c>
      <c r="AI71" s="72">
        <f t="shared" si="24"/>
        <v>52</v>
      </c>
      <c r="AJ71" s="72">
        <f>SUM(AI69:AI71)</f>
        <v>146</v>
      </c>
      <c r="AK71" s="157"/>
      <c r="AL71" s="222"/>
      <c r="AM71" s="72">
        <v>1882</v>
      </c>
      <c r="AN71" s="170">
        <f t="shared" si="23"/>
        <v>43</v>
      </c>
      <c r="AO71" s="218"/>
      <c r="AP71" s="218"/>
      <c r="AQ71" s="157"/>
      <c r="AR71" s="157"/>
      <c r="AS71" s="157"/>
      <c r="AT71" s="2">
        <v>11</v>
      </c>
      <c r="AU71" s="167">
        <v>1242</v>
      </c>
      <c r="AV71" s="2">
        <f t="shared" si="22"/>
        <v>111</v>
      </c>
    </row>
    <row r="72" spans="32:53" x14ac:dyDescent="0.25">
      <c r="AF72" s="222">
        <v>45631</v>
      </c>
      <c r="AG72" s="72">
        <v>57.1</v>
      </c>
      <c r="AH72" s="72">
        <v>496</v>
      </c>
      <c r="AI72" s="72">
        <f t="shared" si="24"/>
        <v>48</v>
      </c>
      <c r="AJ72" s="72"/>
      <c r="AK72" s="157"/>
      <c r="AL72" s="222">
        <v>45641</v>
      </c>
      <c r="AM72" s="72">
        <v>1839</v>
      </c>
      <c r="AN72" s="170">
        <f t="shared" si="23"/>
        <v>41</v>
      </c>
      <c r="AO72" s="216"/>
      <c r="AP72" s="216">
        <f t="shared" ref="AP72" si="26">AM72-AM75</f>
        <v>125</v>
      </c>
      <c r="AQ72" s="157"/>
      <c r="AR72" s="157"/>
      <c r="AS72" s="157"/>
      <c r="AT72" s="2">
        <v>10</v>
      </c>
      <c r="AU72" s="167">
        <v>1131</v>
      </c>
      <c r="AV72" s="2">
        <f t="shared" si="22"/>
        <v>135</v>
      </c>
    </row>
    <row r="73" spans="32:53" x14ac:dyDescent="0.25">
      <c r="AF73" s="224"/>
      <c r="AG73" s="72">
        <v>62.1</v>
      </c>
      <c r="AH73" s="72">
        <v>520</v>
      </c>
      <c r="AI73" s="72">
        <f t="shared" si="24"/>
        <v>24</v>
      </c>
      <c r="AJ73" s="72"/>
      <c r="AK73" s="157"/>
      <c r="AL73" s="222"/>
      <c r="AM73" s="72">
        <v>1798</v>
      </c>
      <c r="AN73" s="170">
        <f t="shared" si="23"/>
        <v>44</v>
      </c>
      <c r="AO73" s="217"/>
      <c r="AP73" s="217"/>
      <c r="AQ73" s="157"/>
      <c r="AR73" s="157"/>
      <c r="AS73" s="157"/>
      <c r="AT73" s="2">
        <v>9</v>
      </c>
      <c r="AU73" s="167">
        <v>996</v>
      </c>
      <c r="AV73" s="2">
        <f t="shared" si="22"/>
        <v>137</v>
      </c>
    </row>
    <row r="74" spans="32:53" x14ac:dyDescent="0.25">
      <c r="AF74" s="224"/>
      <c r="AG74" s="72">
        <v>63</v>
      </c>
      <c r="AH74" s="72">
        <v>569</v>
      </c>
      <c r="AI74" s="72">
        <f t="shared" si="24"/>
        <v>49</v>
      </c>
      <c r="AJ74" s="72">
        <f>SUM(AI72:AI74)</f>
        <v>121</v>
      </c>
      <c r="AK74" s="157"/>
      <c r="AL74" s="222"/>
      <c r="AM74" s="72">
        <v>1754</v>
      </c>
      <c r="AN74" s="170">
        <f t="shared" si="23"/>
        <v>40</v>
      </c>
      <c r="AO74" s="218"/>
      <c r="AP74" s="218"/>
      <c r="AQ74" s="157"/>
      <c r="AR74" s="157"/>
      <c r="AS74" s="157"/>
      <c r="AT74" s="2">
        <v>8</v>
      </c>
      <c r="AU74" s="167">
        <v>859</v>
      </c>
      <c r="AV74" s="2">
        <f t="shared" si="22"/>
        <v>142</v>
      </c>
    </row>
    <row r="75" spans="32:53" x14ac:dyDescent="0.25">
      <c r="AG75" s="157"/>
      <c r="AH75" s="157"/>
      <c r="AI75" s="157"/>
      <c r="AJ75" s="157"/>
      <c r="AK75" s="157"/>
      <c r="AL75" s="222">
        <v>45640</v>
      </c>
      <c r="AM75" s="72">
        <v>1714</v>
      </c>
      <c r="AN75" s="170">
        <f t="shared" si="23"/>
        <v>41</v>
      </c>
      <c r="AO75" s="216"/>
      <c r="AP75" s="216">
        <f t="shared" ref="AP75" si="27">AM75-AM78</f>
        <v>123</v>
      </c>
      <c r="AQ75" s="157"/>
      <c r="AR75" s="157"/>
      <c r="AS75" s="157"/>
      <c r="AT75" s="2">
        <v>7</v>
      </c>
      <c r="AU75" s="167">
        <v>717</v>
      </c>
      <c r="AV75" s="2">
        <f t="shared" si="22"/>
        <v>148</v>
      </c>
    </row>
    <row r="76" spans="32:53" x14ac:dyDescent="0.25">
      <c r="AG76" s="157"/>
      <c r="AH76" s="157"/>
      <c r="AI76" s="157"/>
      <c r="AJ76" s="157"/>
      <c r="AK76" s="157"/>
      <c r="AL76" s="222"/>
      <c r="AM76" s="72">
        <v>1673</v>
      </c>
      <c r="AN76" s="170">
        <f t="shared" si="23"/>
        <v>42</v>
      </c>
      <c r="AO76" s="217"/>
      <c r="AP76" s="217"/>
      <c r="AQ76" s="157"/>
      <c r="AR76" s="157"/>
      <c r="AS76" s="157"/>
      <c r="AT76" s="2">
        <v>6</v>
      </c>
      <c r="AU76" s="167">
        <v>569</v>
      </c>
      <c r="AV76" s="2">
        <f t="shared" si="22"/>
        <v>121</v>
      </c>
    </row>
    <row r="77" spans="32:53" x14ac:dyDescent="0.25">
      <c r="AG77" s="157"/>
      <c r="AH77" s="157"/>
      <c r="AI77" s="157"/>
      <c r="AJ77" s="157"/>
      <c r="AK77" s="157"/>
      <c r="AL77" s="222"/>
      <c r="AM77" s="72">
        <v>1631</v>
      </c>
      <c r="AN77" s="170">
        <f t="shared" si="23"/>
        <v>40</v>
      </c>
      <c r="AO77" s="218"/>
      <c r="AP77" s="218"/>
      <c r="AQ77" s="157"/>
      <c r="AR77" s="157"/>
      <c r="AS77" s="157"/>
      <c r="AT77" s="2">
        <v>5</v>
      </c>
      <c r="AU77" s="167">
        <v>448</v>
      </c>
      <c r="AV77" s="2">
        <f t="shared" si="22"/>
        <v>146</v>
      </c>
    </row>
    <row r="78" spans="32:53" x14ac:dyDescent="0.25">
      <c r="AG78" s="157"/>
      <c r="AH78" s="157"/>
      <c r="AI78" s="157"/>
      <c r="AJ78" s="157"/>
      <c r="AK78" s="157"/>
      <c r="AL78" s="222">
        <v>45639</v>
      </c>
      <c r="AM78" s="72">
        <v>1591</v>
      </c>
      <c r="AN78" s="170">
        <f t="shared" si="23"/>
        <v>40</v>
      </c>
      <c r="AO78" s="216"/>
      <c r="AP78" s="216">
        <f t="shared" ref="AP78" si="28">AM78-AM81</f>
        <v>113</v>
      </c>
      <c r="AQ78" s="157"/>
      <c r="AR78" s="157"/>
      <c r="AS78" s="157"/>
      <c r="AT78" s="2">
        <v>4</v>
      </c>
      <c r="AU78" s="167">
        <v>302</v>
      </c>
      <c r="AV78" s="2">
        <f t="shared" si="22"/>
        <v>129</v>
      </c>
    </row>
    <row r="79" spans="32:53" x14ac:dyDescent="0.25">
      <c r="AG79" s="157"/>
      <c r="AH79" s="157"/>
      <c r="AI79" s="157"/>
      <c r="AJ79" s="157"/>
      <c r="AK79" s="157"/>
      <c r="AL79" s="222"/>
      <c r="AM79" s="72">
        <v>1551</v>
      </c>
      <c r="AN79" s="170">
        <f t="shared" si="23"/>
        <v>42</v>
      </c>
      <c r="AO79" s="217"/>
      <c r="AP79" s="217"/>
      <c r="AQ79" s="157"/>
      <c r="AR79" s="157"/>
      <c r="AS79" s="157"/>
      <c r="AT79" s="2">
        <v>3</v>
      </c>
      <c r="AU79" s="167">
        <v>173</v>
      </c>
      <c r="AV79" s="2">
        <f t="shared" si="22"/>
        <v>77</v>
      </c>
    </row>
    <row r="80" spans="32:53" x14ac:dyDescent="0.25">
      <c r="AG80" s="157"/>
      <c r="AH80" s="157"/>
      <c r="AI80" s="157"/>
      <c r="AJ80" s="157"/>
      <c r="AK80" s="157"/>
      <c r="AL80" s="222"/>
      <c r="AM80" s="72">
        <v>1509</v>
      </c>
      <c r="AN80" s="170">
        <f t="shared" si="23"/>
        <v>31</v>
      </c>
      <c r="AO80" s="218"/>
      <c r="AP80" s="218"/>
      <c r="AQ80" s="157"/>
      <c r="AR80" s="157"/>
      <c r="AS80" s="157"/>
      <c r="AT80" s="2">
        <v>2</v>
      </c>
      <c r="AU80" s="167">
        <v>96</v>
      </c>
    </row>
    <row r="81" spans="33:45" x14ac:dyDescent="0.25">
      <c r="AG81" s="157"/>
      <c r="AH81" s="157"/>
      <c r="AI81" s="157"/>
      <c r="AJ81" s="157"/>
      <c r="AK81" s="157"/>
      <c r="AL81" s="222">
        <v>45638</v>
      </c>
      <c r="AM81" s="72">
        <v>1478</v>
      </c>
      <c r="AN81" s="170">
        <f t="shared" si="23"/>
        <v>33</v>
      </c>
      <c r="AO81" s="216"/>
      <c r="AP81" s="216">
        <f t="shared" ref="AP81" si="29">AM81-AM84</f>
        <v>113</v>
      </c>
      <c r="AQ81" s="157"/>
      <c r="AR81" s="157"/>
      <c r="AS81" s="157"/>
    </row>
    <row r="82" spans="33:45" x14ac:dyDescent="0.25">
      <c r="AG82" s="157"/>
      <c r="AH82" s="157"/>
      <c r="AI82" s="157"/>
      <c r="AJ82" s="157"/>
      <c r="AK82" s="157"/>
      <c r="AL82" s="222"/>
      <c r="AM82" s="72">
        <v>1445</v>
      </c>
      <c r="AN82" s="170">
        <f t="shared" si="23"/>
        <v>41</v>
      </c>
      <c r="AO82" s="217"/>
      <c r="AP82" s="217"/>
      <c r="AQ82" s="157"/>
      <c r="AR82" s="157"/>
      <c r="AS82" s="157"/>
    </row>
    <row r="83" spans="33:45" x14ac:dyDescent="0.25">
      <c r="AG83" s="157"/>
      <c r="AH83" s="157"/>
      <c r="AI83" s="157"/>
      <c r="AJ83" s="157"/>
      <c r="AK83" s="157"/>
      <c r="AL83" s="222"/>
      <c r="AM83" s="72">
        <v>1404</v>
      </c>
      <c r="AN83" s="170">
        <f t="shared" si="23"/>
        <v>39</v>
      </c>
      <c r="AO83" s="218"/>
      <c r="AP83" s="218"/>
      <c r="AQ83" s="157"/>
      <c r="AR83" s="157"/>
      <c r="AS83" s="157"/>
    </row>
    <row r="84" spans="33:45" x14ac:dyDescent="0.25">
      <c r="AG84" s="157"/>
      <c r="AH84" s="157"/>
      <c r="AI84" s="157"/>
      <c r="AJ84" s="157"/>
      <c r="AK84" s="157"/>
      <c r="AL84" s="222">
        <v>45637</v>
      </c>
      <c r="AM84" s="72">
        <v>1365</v>
      </c>
      <c r="AN84" s="170">
        <f t="shared" si="23"/>
        <v>46</v>
      </c>
      <c r="AO84" s="216"/>
      <c r="AP84" s="216">
        <f t="shared" ref="AP84" si="30">AM84-AM87</f>
        <v>123</v>
      </c>
      <c r="AQ84" s="157"/>
      <c r="AR84" s="157"/>
      <c r="AS84" s="157"/>
    </row>
    <row r="85" spans="33:45" x14ac:dyDescent="0.25">
      <c r="AG85" s="157"/>
      <c r="AH85" s="157"/>
      <c r="AI85" s="157"/>
      <c r="AJ85" s="157"/>
      <c r="AK85" s="157"/>
      <c r="AL85" s="222"/>
      <c r="AM85" s="72">
        <v>1319</v>
      </c>
      <c r="AN85" s="170">
        <f t="shared" si="23"/>
        <v>41</v>
      </c>
      <c r="AO85" s="217"/>
      <c r="AP85" s="217"/>
      <c r="AQ85" s="157"/>
      <c r="AR85" s="157"/>
      <c r="AS85" s="157"/>
    </row>
    <row r="86" spans="33:45" x14ac:dyDescent="0.25">
      <c r="AG86" s="157"/>
      <c r="AH86" s="157"/>
      <c r="AI86" s="157"/>
      <c r="AJ86" s="157"/>
      <c r="AK86" s="157"/>
      <c r="AL86" s="222"/>
      <c r="AM86" s="72">
        <v>1278</v>
      </c>
      <c r="AN86" s="170">
        <f t="shared" si="23"/>
        <v>36</v>
      </c>
      <c r="AO86" s="218"/>
      <c r="AP86" s="218"/>
      <c r="AQ86" s="157"/>
      <c r="AR86" s="157"/>
      <c r="AS86" s="157"/>
    </row>
    <row r="87" spans="33:45" x14ac:dyDescent="0.25">
      <c r="AG87" s="157"/>
      <c r="AH87" s="157"/>
      <c r="AI87" s="157"/>
      <c r="AJ87" s="157"/>
      <c r="AK87" s="157"/>
      <c r="AL87" s="222">
        <v>45636</v>
      </c>
      <c r="AM87" s="72">
        <v>1242</v>
      </c>
      <c r="AN87" s="170">
        <f t="shared" si="23"/>
        <v>39</v>
      </c>
      <c r="AO87" s="216"/>
      <c r="AP87" s="216">
        <f t="shared" ref="AP87" si="31">AM87-AM90</f>
        <v>111</v>
      </c>
      <c r="AQ87" s="157"/>
      <c r="AR87" s="157"/>
      <c r="AS87" s="157"/>
    </row>
    <row r="88" spans="33:45" x14ac:dyDescent="0.25">
      <c r="AG88" s="157"/>
      <c r="AH88" s="157"/>
      <c r="AI88" s="157"/>
      <c r="AJ88" s="157"/>
      <c r="AK88" s="157"/>
      <c r="AL88" s="222"/>
      <c r="AM88" s="72">
        <v>1203</v>
      </c>
      <c r="AN88" s="170">
        <f t="shared" si="23"/>
        <v>37</v>
      </c>
      <c r="AO88" s="217"/>
      <c r="AP88" s="217"/>
      <c r="AQ88" s="157"/>
      <c r="AR88" s="157"/>
      <c r="AS88" s="157"/>
    </row>
    <row r="89" spans="33:45" x14ac:dyDescent="0.25">
      <c r="AL89" s="222"/>
      <c r="AM89" s="18">
        <v>1166</v>
      </c>
      <c r="AN89" s="170">
        <f t="shared" si="23"/>
        <v>35</v>
      </c>
      <c r="AO89" s="218"/>
      <c r="AP89" s="218"/>
    </row>
    <row r="90" spans="33:45" x14ac:dyDescent="0.25">
      <c r="AL90" s="219">
        <v>45635</v>
      </c>
      <c r="AM90" s="18">
        <v>1131</v>
      </c>
      <c r="AN90" s="170">
        <f t="shared" si="23"/>
        <v>51</v>
      </c>
      <c r="AO90" s="223"/>
      <c r="AP90" s="216">
        <f>AM90-AM93</f>
        <v>135</v>
      </c>
    </row>
    <row r="91" spans="33:45" x14ac:dyDescent="0.25">
      <c r="AL91" s="220"/>
      <c r="AM91" s="18">
        <v>1080</v>
      </c>
      <c r="AN91" s="170">
        <f t="shared" si="23"/>
        <v>40</v>
      </c>
      <c r="AO91" s="223"/>
      <c r="AP91" s="217"/>
    </row>
    <row r="92" spans="33:45" x14ac:dyDescent="0.25">
      <c r="AL92" s="221"/>
      <c r="AM92" s="18">
        <v>1040</v>
      </c>
      <c r="AN92" s="170">
        <f t="shared" si="23"/>
        <v>44</v>
      </c>
      <c r="AO92" s="223"/>
      <c r="AP92" s="218"/>
    </row>
    <row r="93" spans="33:45" x14ac:dyDescent="0.25">
      <c r="AL93" s="219">
        <v>45634</v>
      </c>
      <c r="AM93" s="18">
        <v>996</v>
      </c>
      <c r="AN93" s="170">
        <f t="shared" si="23"/>
        <v>45</v>
      </c>
      <c r="AO93" s="223"/>
      <c r="AP93" s="216">
        <f>AM93-AM96</f>
        <v>137</v>
      </c>
    </row>
    <row r="94" spans="33:45" x14ac:dyDescent="0.25">
      <c r="AL94" s="220"/>
      <c r="AM94" s="18">
        <v>951</v>
      </c>
      <c r="AN94" s="170">
        <f t="shared" si="23"/>
        <v>44</v>
      </c>
      <c r="AO94" s="216"/>
      <c r="AP94" s="217"/>
    </row>
    <row r="95" spans="33:45" x14ac:dyDescent="0.25">
      <c r="AL95" s="221"/>
      <c r="AM95" s="18">
        <v>907</v>
      </c>
      <c r="AN95" s="170">
        <f t="shared" si="23"/>
        <v>48</v>
      </c>
      <c r="AO95" s="217"/>
      <c r="AP95" s="218"/>
    </row>
    <row r="96" spans="33:45" x14ac:dyDescent="0.25">
      <c r="AL96" s="219">
        <v>45633</v>
      </c>
      <c r="AM96" s="18">
        <v>859</v>
      </c>
      <c r="AN96" s="170">
        <f t="shared" si="23"/>
        <v>47</v>
      </c>
      <c r="AO96" s="218"/>
      <c r="AP96" s="216">
        <f>AM96-AM99</f>
        <v>142</v>
      </c>
    </row>
    <row r="97" spans="38:42" x14ac:dyDescent="0.25">
      <c r="AL97" s="220"/>
      <c r="AM97" s="18">
        <v>812</v>
      </c>
      <c r="AN97" s="170">
        <f t="shared" si="23"/>
        <v>49</v>
      </c>
      <c r="AO97" s="216"/>
      <c r="AP97" s="217"/>
    </row>
    <row r="98" spans="38:42" x14ac:dyDescent="0.25">
      <c r="AL98" s="221"/>
      <c r="AM98" s="18">
        <v>763</v>
      </c>
      <c r="AN98" s="170">
        <f t="shared" si="23"/>
        <v>46</v>
      </c>
      <c r="AO98" s="217"/>
      <c r="AP98" s="218"/>
    </row>
    <row r="99" spans="38:42" x14ac:dyDescent="0.25">
      <c r="AL99" s="219">
        <v>45632</v>
      </c>
      <c r="AM99" s="18">
        <v>717</v>
      </c>
      <c r="AN99" s="170">
        <f t="shared" si="23"/>
        <v>48</v>
      </c>
      <c r="AO99" s="218"/>
      <c r="AP99" s="216">
        <f>AM99-AM102</f>
        <v>148</v>
      </c>
    </row>
    <row r="100" spans="38:42" x14ac:dyDescent="0.25">
      <c r="AL100" s="220"/>
      <c r="AM100" s="18">
        <v>669</v>
      </c>
      <c r="AN100" s="170">
        <f t="shared" si="23"/>
        <v>47</v>
      </c>
      <c r="AO100" s="216"/>
      <c r="AP100" s="217"/>
    </row>
    <row r="101" spans="38:42" x14ac:dyDescent="0.25">
      <c r="AL101" s="221"/>
      <c r="AM101" s="18">
        <v>622</v>
      </c>
      <c r="AN101" s="170">
        <f t="shared" si="23"/>
        <v>53</v>
      </c>
      <c r="AO101" s="217"/>
      <c r="AP101" s="218"/>
    </row>
    <row r="102" spans="38:42" x14ac:dyDescent="0.25">
      <c r="AL102" s="219">
        <v>45631</v>
      </c>
      <c r="AM102" s="18">
        <v>569</v>
      </c>
      <c r="AN102" s="170">
        <f t="shared" si="23"/>
        <v>49</v>
      </c>
      <c r="AO102" s="218"/>
      <c r="AP102" s="216">
        <f>AM102-AM105</f>
        <v>121</v>
      </c>
    </row>
    <row r="103" spans="38:42" x14ac:dyDescent="0.25">
      <c r="AL103" s="220"/>
      <c r="AM103" s="18">
        <v>520</v>
      </c>
      <c r="AN103" s="170">
        <f t="shared" si="23"/>
        <v>24</v>
      </c>
      <c r="AO103" s="216"/>
      <c r="AP103" s="217"/>
    </row>
    <row r="104" spans="38:42" x14ac:dyDescent="0.25">
      <c r="AL104" s="221"/>
      <c r="AM104" s="18">
        <v>496</v>
      </c>
      <c r="AN104" s="170">
        <f t="shared" si="23"/>
        <v>48</v>
      </c>
      <c r="AO104" s="217"/>
      <c r="AP104" s="218"/>
    </row>
    <row r="105" spans="38:42" x14ac:dyDescent="0.25">
      <c r="AL105" s="219">
        <v>45630</v>
      </c>
      <c r="AM105" s="18">
        <v>448</v>
      </c>
      <c r="AN105" s="170">
        <f t="shared" si="23"/>
        <v>52</v>
      </c>
      <c r="AO105" s="218"/>
      <c r="AP105" s="216">
        <f>AM105-AM108</f>
        <v>146</v>
      </c>
    </row>
    <row r="106" spans="38:42" x14ac:dyDescent="0.25">
      <c r="AL106" s="220"/>
      <c r="AM106" s="18">
        <v>396</v>
      </c>
      <c r="AN106" s="170">
        <f t="shared" si="23"/>
        <v>45</v>
      </c>
      <c r="AO106" s="216"/>
      <c r="AP106" s="217"/>
    </row>
    <row r="107" spans="38:42" x14ac:dyDescent="0.25">
      <c r="AL107" s="221"/>
      <c r="AM107" s="18">
        <v>351</v>
      </c>
      <c r="AN107" s="170">
        <f t="shared" si="23"/>
        <v>49</v>
      </c>
      <c r="AO107" s="217"/>
      <c r="AP107" s="218"/>
    </row>
    <row r="108" spans="38:42" x14ac:dyDescent="0.25">
      <c r="AL108" s="219">
        <v>45629</v>
      </c>
      <c r="AM108" s="18">
        <v>302</v>
      </c>
      <c r="AN108" s="170">
        <f t="shared" si="23"/>
        <v>43</v>
      </c>
      <c r="AO108" s="218"/>
      <c r="AP108" s="216">
        <f>AM108-AM111</f>
        <v>129</v>
      </c>
    </row>
    <row r="109" spans="38:42" x14ac:dyDescent="0.25">
      <c r="AL109" s="220"/>
      <c r="AM109" s="18">
        <v>259</v>
      </c>
      <c r="AN109" s="170">
        <f t="shared" si="23"/>
        <v>42</v>
      </c>
      <c r="AO109" s="216"/>
      <c r="AP109" s="217"/>
    </row>
    <row r="110" spans="38:42" x14ac:dyDescent="0.25">
      <c r="AL110" s="221"/>
      <c r="AM110" s="18">
        <v>217</v>
      </c>
      <c r="AN110" s="170">
        <f t="shared" si="23"/>
        <v>44</v>
      </c>
      <c r="AO110" s="217"/>
      <c r="AP110" s="218"/>
    </row>
    <row r="111" spans="38:42" x14ac:dyDescent="0.25">
      <c r="AL111" s="219">
        <v>45628</v>
      </c>
      <c r="AM111" s="18">
        <v>173</v>
      </c>
      <c r="AN111" s="170">
        <f t="shared" si="23"/>
        <v>39</v>
      </c>
      <c r="AO111" s="218"/>
      <c r="AP111" s="216">
        <f>AM111-AM114</f>
        <v>173</v>
      </c>
    </row>
    <row r="112" spans="38:42" x14ac:dyDescent="0.25">
      <c r="AL112" s="220"/>
      <c r="AM112" s="18">
        <v>134</v>
      </c>
      <c r="AN112" s="170">
        <f t="shared" si="23"/>
        <v>38</v>
      </c>
      <c r="AP112" s="217"/>
    </row>
    <row r="113" spans="33:42" x14ac:dyDescent="0.25">
      <c r="AL113" s="221"/>
      <c r="AM113" s="18">
        <v>96</v>
      </c>
      <c r="AN113" s="170">
        <f t="shared" si="23"/>
        <v>96</v>
      </c>
      <c r="AP113" s="218"/>
    </row>
    <row r="114" spans="33:42" x14ac:dyDescent="0.25">
      <c r="AL114" s="171"/>
      <c r="AM114" s="18"/>
    </row>
    <row r="115" spans="33:42" x14ac:dyDescent="0.25">
      <c r="AG115" s="2">
        <v>1</v>
      </c>
      <c r="AH115" s="2">
        <v>121.78</v>
      </c>
    </row>
    <row r="116" spans="33:42" x14ac:dyDescent="0.25">
      <c r="AG116" s="2">
        <v>2</v>
      </c>
      <c r="AH116" s="2">
        <v>117.384</v>
      </c>
    </row>
    <row r="117" spans="33:42" x14ac:dyDescent="0.25">
      <c r="AG117" s="2">
        <v>3</v>
      </c>
      <c r="AH117" s="2">
        <v>140.83799999999999</v>
      </c>
      <c r="AI117" s="2">
        <v>140.83799999999999</v>
      </c>
      <c r="AJ117" s="4">
        <f>(AI117+AI118+AI119+AI120+AI125+AI126+AI142+AI143)/8</f>
        <v>145.489</v>
      </c>
      <c r="AK117" s="2">
        <v>145.489</v>
      </c>
      <c r="AL117" s="2">
        <f>AK117-44.061</f>
        <v>101.428</v>
      </c>
    </row>
    <row r="118" spans="33:42" x14ac:dyDescent="0.25">
      <c r="AG118" s="2">
        <v>4</v>
      </c>
      <c r="AH118" s="2">
        <v>163.44600000000003</v>
      </c>
      <c r="AI118" s="2">
        <v>163.44600000000003</v>
      </c>
      <c r="AL118" s="172">
        <f>AK117-AH8</f>
        <v>-7.4329999999999927</v>
      </c>
    </row>
    <row r="119" spans="33:42" x14ac:dyDescent="0.25">
      <c r="AG119" s="2">
        <v>5</v>
      </c>
      <c r="AH119" s="2">
        <v>163.63800000000001</v>
      </c>
      <c r="AI119" s="2">
        <v>163.44600000000003</v>
      </c>
    </row>
    <row r="120" spans="33:42" x14ac:dyDescent="0.25">
      <c r="AG120" s="2">
        <v>6</v>
      </c>
      <c r="AH120" s="2">
        <v>149.00399999999999</v>
      </c>
      <c r="AI120" s="2">
        <v>149.00399999999999</v>
      </c>
    </row>
    <row r="121" spans="33:42" x14ac:dyDescent="0.25">
      <c r="AG121" s="2">
        <v>7</v>
      </c>
      <c r="AH121" s="2">
        <v>152.273</v>
      </c>
    </row>
    <row r="122" spans="33:42" x14ac:dyDescent="0.25">
      <c r="AG122" s="2">
        <v>8</v>
      </c>
      <c r="AH122" s="2">
        <v>191.315</v>
      </c>
    </row>
    <row r="123" spans="33:42" x14ac:dyDescent="0.25">
      <c r="AG123" s="2">
        <v>9</v>
      </c>
      <c r="AH123" s="2">
        <v>175.07300000000001</v>
      </c>
    </row>
    <row r="124" spans="33:42" x14ac:dyDescent="0.25">
      <c r="AG124" s="2">
        <v>10</v>
      </c>
      <c r="AH124" s="2">
        <v>154.36700000000002</v>
      </c>
    </row>
    <row r="125" spans="33:42" x14ac:dyDescent="0.25">
      <c r="AG125" s="2">
        <v>11</v>
      </c>
      <c r="AH125" s="2">
        <v>130.92000000000002</v>
      </c>
      <c r="AI125" s="2">
        <v>130.92000000000002</v>
      </c>
    </row>
    <row r="126" spans="33:42" x14ac:dyDescent="0.25">
      <c r="AG126" s="2">
        <v>12</v>
      </c>
      <c r="AH126" s="2">
        <v>130.92000000000002</v>
      </c>
      <c r="AI126" s="2">
        <v>130.92000000000002</v>
      </c>
    </row>
    <row r="127" spans="33:42" x14ac:dyDescent="0.25">
      <c r="AG127" s="2">
        <v>13</v>
      </c>
      <c r="AH127" s="2">
        <v>146.351</v>
      </c>
    </row>
    <row r="128" spans="33:42" x14ac:dyDescent="0.25">
      <c r="AG128" s="2">
        <v>14</v>
      </c>
      <c r="AH128" s="2">
        <v>146.18699999999998</v>
      </c>
    </row>
    <row r="129" spans="33:35" x14ac:dyDescent="0.25">
      <c r="AG129" s="2">
        <v>15</v>
      </c>
      <c r="AH129" s="2">
        <v>99.468000000000004</v>
      </c>
    </row>
    <row r="130" spans="33:35" x14ac:dyDescent="0.25">
      <c r="AG130" s="2">
        <v>16</v>
      </c>
      <c r="AH130" s="2">
        <v>26.468</v>
      </c>
    </row>
    <row r="131" spans="33:35" x14ac:dyDescent="0.25">
      <c r="AG131" s="2">
        <v>17</v>
      </c>
      <c r="AH131" s="2">
        <v>110.879</v>
      </c>
    </row>
    <row r="132" spans="33:35" x14ac:dyDescent="0.25">
      <c r="AG132" s="2">
        <v>18</v>
      </c>
      <c r="AH132" s="2">
        <v>134.93900000000002</v>
      </c>
    </row>
    <row r="133" spans="33:35" x14ac:dyDescent="0.25">
      <c r="AG133" s="2">
        <v>19</v>
      </c>
      <c r="AH133" s="2">
        <v>130.875</v>
      </c>
    </row>
    <row r="134" spans="33:35" x14ac:dyDescent="0.25">
      <c r="AG134" s="2">
        <v>20</v>
      </c>
      <c r="AH134" s="2">
        <v>127.005</v>
      </c>
    </row>
    <row r="135" spans="33:35" x14ac:dyDescent="0.25">
      <c r="AG135" s="2">
        <v>21</v>
      </c>
      <c r="AH135" s="2">
        <v>130.99700000000001</v>
      </c>
    </row>
    <row r="136" spans="33:35" x14ac:dyDescent="0.25">
      <c r="AG136" s="2">
        <v>22</v>
      </c>
      <c r="AH136" s="2">
        <v>134.90199999999999</v>
      </c>
    </row>
    <row r="137" spans="33:35" x14ac:dyDescent="0.25">
      <c r="AG137" s="2">
        <v>23</v>
      </c>
      <c r="AH137" s="2">
        <v>139.41200000000001</v>
      </c>
    </row>
    <row r="138" spans="33:35" x14ac:dyDescent="0.25">
      <c r="AG138" s="2">
        <v>24</v>
      </c>
      <c r="AH138" s="2">
        <v>138.23099999999999</v>
      </c>
    </row>
    <row r="139" spans="33:35" x14ac:dyDescent="0.25">
      <c r="AG139" s="2">
        <v>25</v>
      </c>
      <c r="AH139" s="2">
        <v>138.52099999999999</v>
      </c>
    </row>
    <row r="140" spans="33:35" x14ac:dyDescent="0.25">
      <c r="AG140" s="2">
        <v>26</v>
      </c>
      <c r="AH140" s="2">
        <v>134.059</v>
      </c>
    </row>
    <row r="141" spans="33:35" x14ac:dyDescent="0.25">
      <c r="AG141" s="2">
        <v>27</v>
      </c>
      <c r="AH141" s="2">
        <v>127.273</v>
      </c>
    </row>
    <row r="142" spans="33:35" x14ac:dyDescent="0.25">
      <c r="AG142" s="2">
        <v>28</v>
      </c>
      <c r="AH142" s="2">
        <v>145.02099999999999</v>
      </c>
      <c r="AI142" s="2">
        <v>145.02099999999999</v>
      </c>
    </row>
    <row r="143" spans="33:35" x14ac:dyDescent="0.25">
      <c r="AG143" s="2">
        <v>29</v>
      </c>
      <c r="AH143" s="2">
        <v>140.31700000000001</v>
      </c>
      <c r="AI143" s="2">
        <v>140.31700000000001</v>
      </c>
    </row>
    <row r="144" spans="33:35" x14ac:dyDescent="0.25">
      <c r="AG144" s="2">
        <v>30</v>
      </c>
      <c r="AH144" s="2">
        <v>44.061</v>
      </c>
    </row>
  </sheetData>
  <mergeCells count="89">
    <mergeCell ref="BK4:BN4"/>
    <mergeCell ref="B4:E4"/>
    <mergeCell ref="F4:I4"/>
    <mergeCell ref="J4:M4"/>
    <mergeCell ref="P4:Q4"/>
    <mergeCell ref="R4:U4"/>
    <mergeCell ref="W4:Z4"/>
    <mergeCell ref="AB4:AE4"/>
    <mergeCell ref="AH4:AP4"/>
    <mergeCell ref="AU4:AX4"/>
    <mergeCell ref="AY4:BA4"/>
    <mergeCell ref="BD4:BJ4"/>
    <mergeCell ref="AA5:AA6"/>
    <mergeCell ref="AB5:AD5"/>
    <mergeCell ref="AE5:AE6"/>
    <mergeCell ref="AF5:AF6"/>
    <mergeCell ref="A43:A45"/>
    <mergeCell ref="B43:B45"/>
    <mergeCell ref="F43:F45"/>
    <mergeCell ref="J43:J45"/>
    <mergeCell ref="N43:N45"/>
    <mergeCell ref="P43:P45"/>
    <mergeCell ref="P5:Q5"/>
    <mergeCell ref="R5:T5"/>
    <mergeCell ref="U5:U6"/>
    <mergeCell ref="V5:V6"/>
    <mergeCell ref="W5:Y5"/>
    <mergeCell ref="Z5:Z6"/>
    <mergeCell ref="AF66:AF68"/>
    <mergeCell ref="AL66:AL68"/>
    <mergeCell ref="AO66:AO68"/>
    <mergeCell ref="AP66:AP68"/>
    <mergeCell ref="U43:U45"/>
    <mergeCell ref="V43:V45"/>
    <mergeCell ref="Z43:Z45"/>
    <mergeCell ref="AA43:AA45"/>
    <mergeCell ref="AE43:AE45"/>
    <mergeCell ref="AF43:AF45"/>
    <mergeCell ref="AH43:AH45"/>
    <mergeCell ref="AF63:AF65"/>
    <mergeCell ref="AL63:AL65"/>
    <mergeCell ref="AO63:AO65"/>
    <mergeCell ref="AP63:AP65"/>
    <mergeCell ref="AF69:AF71"/>
    <mergeCell ref="AL69:AL71"/>
    <mergeCell ref="AO69:AO71"/>
    <mergeCell ref="AP69:AP71"/>
    <mergeCell ref="AF72:AF74"/>
    <mergeCell ref="AL72:AL74"/>
    <mergeCell ref="AO72:AO74"/>
    <mergeCell ref="AP72:AP74"/>
    <mergeCell ref="AL75:AL77"/>
    <mergeCell ref="AO75:AO77"/>
    <mergeCell ref="AP75:AP77"/>
    <mergeCell ref="AL78:AL80"/>
    <mergeCell ref="AO78:AO80"/>
    <mergeCell ref="AP78:AP80"/>
    <mergeCell ref="AL81:AL83"/>
    <mergeCell ref="AO81:AO83"/>
    <mergeCell ref="AP81:AP83"/>
    <mergeCell ref="AL84:AL86"/>
    <mergeCell ref="AO84:AO86"/>
    <mergeCell ref="AP84:AP86"/>
    <mergeCell ref="AL87:AL89"/>
    <mergeCell ref="AO87:AO89"/>
    <mergeCell ref="AP87:AP89"/>
    <mergeCell ref="AL90:AL92"/>
    <mergeCell ref="AO90:AO93"/>
    <mergeCell ref="AP90:AP92"/>
    <mergeCell ref="AL93:AL95"/>
    <mergeCell ref="AP93:AP95"/>
    <mergeCell ref="AO94:AO96"/>
    <mergeCell ref="AL96:AL98"/>
    <mergeCell ref="AP96:AP98"/>
    <mergeCell ref="AO97:AO99"/>
    <mergeCell ref="AL99:AL101"/>
    <mergeCell ref="AP99:AP101"/>
    <mergeCell ref="AO100:AO102"/>
    <mergeCell ref="AL102:AL104"/>
    <mergeCell ref="AP102:AP104"/>
    <mergeCell ref="AO103:AO105"/>
    <mergeCell ref="AL105:AL107"/>
    <mergeCell ref="AP105:AP107"/>
    <mergeCell ref="AO106:AO108"/>
    <mergeCell ref="AL108:AL110"/>
    <mergeCell ref="AP108:AP110"/>
    <mergeCell ref="AO109:AO111"/>
    <mergeCell ref="AL111:AL113"/>
    <mergeCell ref="AP111:AP113"/>
  </mergeCells>
  <pageMargins left="0" right="0" top="0.75" bottom="0.75" header="0.3" footer="0.3"/>
  <pageSetup scale="34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X62"/>
  <sheetViews>
    <sheetView tabSelected="1" zoomScale="85" zoomScaleNormal="85" workbookViewId="0">
      <pane xSplit="2" ySplit="5" topLeftCell="G27" activePane="bottomRight" state="frozen"/>
      <selection activeCell="BN38" sqref="BN38"/>
      <selection pane="topRight" activeCell="BN38" sqref="BN38"/>
      <selection pane="bottomLeft" activeCell="BN38" sqref="BN38"/>
      <selection pane="bottomRight" activeCell="W65" sqref="W65"/>
    </sheetView>
  </sheetViews>
  <sheetFormatPr defaultRowHeight="15" x14ac:dyDescent="0.25"/>
  <cols>
    <col min="1" max="1" width="9.140625" style="3" customWidth="1"/>
    <col min="2" max="2" width="9.28515625" bestFit="1" customWidth="1"/>
    <col min="3" max="6" width="10.7109375" style="175" hidden="1" customWidth="1"/>
    <col min="7" max="7" width="15.28515625" style="2" bestFit="1" customWidth="1"/>
    <col min="8" max="8" width="11.5703125" hidden="1" customWidth="1"/>
    <col min="9" max="17" width="12.140625" hidden="1" customWidth="1"/>
    <col min="18" max="18" width="12.140625" customWidth="1"/>
    <col min="19" max="22" width="9.42578125" customWidth="1"/>
    <col min="23" max="23" width="93.28515625" bestFit="1" customWidth="1"/>
    <col min="24" max="24" width="16.42578125" hidden="1" customWidth="1"/>
    <col min="25" max="25" width="9.140625" hidden="1" customWidth="1"/>
    <col min="26" max="26" width="6.7109375" hidden="1" customWidth="1"/>
    <col min="27" max="30" width="5.85546875" hidden="1" customWidth="1"/>
    <col min="31" max="31" width="15.42578125" hidden="1" customWidth="1"/>
    <col min="32" max="32" width="9.5703125" hidden="1" customWidth="1"/>
    <col min="33" max="33" width="8.5703125" hidden="1" customWidth="1"/>
    <col min="34" max="35" width="9.140625" hidden="1" customWidth="1"/>
    <col min="259" max="259" width="9.140625" customWidth="1"/>
    <col min="260" max="260" width="9.28515625" bestFit="1" customWidth="1"/>
    <col min="261" max="261" width="13.140625" customWidth="1"/>
    <col min="262" max="262" width="13" customWidth="1"/>
    <col min="263" max="263" width="12.7109375" bestFit="1" customWidth="1"/>
    <col min="264" max="264" width="10.7109375" customWidth="1"/>
    <col min="265" max="265" width="10.85546875" bestFit="1" customWidth="1"/>
    <col min="266" max="266" width="10.140625" customWidth="1"/>
    <col min="267" max="274" width="12.140625" customWidth="1"/>
    <col min="275" max="275" width="13.5703125" bestFit="1" customWidth="1"/>
    <col min="276" max="276" width="13" customWidth="1"/>
    <col min="278" max="278" width="11.28515625" bestFit="1" customWidth="1"/>
    <col min="279" max="279" width="10.140625" bestFit="1" customWidth="1"/>
    <col min="280" max="280" width="17.85546875" bestFit="1" customWidth="1"/>
    <col min="515" max="515" width="9.140625" customWidth="1"/>
    <col min="516" max="516" width="9.28515625" bestFit="1" customWidth="1"/>
    <col min="517" max="517" width="13.140625" customWidth="1"/>
    <col min="518" max="518" width="13" customWidth="1"/>
    <col min="519" max="519" width="12.7109375" bestFit="1" customWidth="1"/>
    <col min="520" max="520" width="10.7109375" customWidth="1"/>
    <col min="521" max="521" width="10.85546875" bestFit="1" customWidth="1"/>
    <col min="522" max="522" width="10.140625" customWidth="1"/>
    <col min="523" max="530" width="12.140625" customWidth="1"/>
    <col min="531" max="531" width="13.5703125" bestFit="1" customWidth="1"/>
    <col min="532" max="532" width="13" customWidth="1"/>
    <col min="534" max="534" width="11.28515625" bestFit="1" customWidth="1"/>
    <col min="535" max="535" width="10.140625" bestFit="1" customWidth="1"/>
    <col min="536" max="536" width="17.85546875" bestFit="1" customWidth="1"/>
    <col min="771" max="771" width="9.140625" customWidth="1"/>
    <col min="772" max="772" width="9.28515625" bestFit="1" customWidth="1"/>
    <col min="773" max="773" width="13.140625" customWidth="1"/>
    <col min="774" max="774" width="13" customWidth="1"/>
    <col min="775" max="775" width="12.7109375" bestFit="1" customWidth="1"/>
    <col min="776" max="776" width="10.7109375" customWidth="1"/>
    <col min="777" max="777" width="10.85546875" bestFit="1" customWidth="1"/>
    <col min="778" max="778" width="10.140625" customWidth="1"/>
    <col min="779" max="786" width="12.140625" customWidth="1"/>
    <col min="787" max="787" width="13.5703125" bestFit="1" customWidth="1"/>
    <col min="788" max="788" width="13" customWidth="1"/>
    <col min="790" max="790" width="11.28515625" bestFit="1" customWidth="1"/>
    <col min="791" max="791" width="10.140625" bestFit="1" customWidth="1"/>
    <col min="792" max="792" width="17.85546875" bestFit="1" customWidth="1"/>
    <col min="1027" max="1027" width="9.140625" customWidth="1"/>
    <col min="1028" max="1028" width="9.28515625" bestFit="1" customWidth="1"/>
    <col min="1029" max="1029" width="13.140625" customWidth="1"/>
    <col min="1030" max="1030" width="13" customWidth="1"/>
    <col min="1031" max="1031" width="12.7109375" bestFit="1" customWidth="1"/>
    <col min="1032" max="1032" width="10.7109375" customWidth="1"/>
    <col min="1033" max="1033" width="10.85546875" bestFit="1" customWidth="1"/>
    <col min="1034" max="1034" width="10.140625" customWidth="1"/>
    <col min="1035" max="1042" width="12.140625" customWidth="1"/>
    <col min="1043" max="1043" width="13.5703125" bestFit="1" customWidth="1"/>
    <col min="1044" max="1044" width="13" customWidth="1"/>
    <col min="1046" max="1046" width="11.28515625" bestFit="1" customWidth="1"/>
    <col min="1047" max="1047" width="10.140625" bestFit="1" customWidth="1"/>
    <col min="1048" max="1048" width="17.85546875" bestFit="1" customWidth="1"/>
    <col min="1283" max="1283" width="9.140625" customWidth="1"/>
    <col min="1284" max="1284" width="9.28515625" bestFit="1" customWidth="1"/>
    <col min="1285" max="1285" width="13.140625" customWidth="1"/>
    <col min="1286" max="1286" width="13" customWidth="1"/>
    <col min="1287" max="1287" width="12.7109375" bestFit="1" customWidth="1"/>
    <col min="1288" max="1288" width="10.7109375" customWidth="1"/>
    <col min="1289" max="1289" width="10.85546875" bestFit="1" customWidth="1"/>
    <col min="1290" max="1290" width="10.140625" customWidth="1"/>
    <col min="1291" max="1298" width="12.140625" customWidth="1"/>
    <col min="1299" max="1299" width="13.5703125" bestFit="1" customWidth="1"/>
    <col min="1300" max="1300" width="13" customWidth="1"/>
    <col min="1302" max="1302" width="11.28515625" bestFit="1" customWidth="1"/>
    <col min="1303" max="1303" width="10.140625" bestFit="1" customWidth="1"/>
    <col min="1304" max="1304" width="17.85546875" bestFit="1" customWidth="1"/>
    <col min="1539" max="1539" width="9.140625" customWidth="1"/>
    <col min="1540" max="1540" width="9.28515625" bestFit="1" customWidth="1"/>
    <col min="1541" max="1541" width="13.140625" customWidth="1"/>
    <col min="1542" max="1542" width="13" customWidth="1"/>
    <col min="1543" max="1543" width="12.7109375" bestFit="1" customWidth="1"/>
    <col min="1544" max="1544" width="10.7109375" customWidth="1"/>
    <col min="1545" max="1545" width="10.85546875" bestFit="1" customWidth="1"/>
    <col min="1546" max="1546" width="10.140625" customWidth="1"/>
    <col min="1547" max="1554" width="12.140625" customWidth="1"/>
    <col min="1555" max="1555" width="13.5703125" bestFit="1" customWidth="1"/>
    <col min="1556" max="1556" width="13" customWidth="1"/>
    <col min="1558" max="1558" width="11.28515625" bestFit="1" customWidth="1"/>
    <col min="1559" max="1559" width="10.140625" bestFit="1" customWidth="1"/>
    <col min="1560" max="1560" width="17.85546875" bestFit="1" customWidth="1"/>
    <col min="1795" max="1795" width="9.140625" customWidth="1"/>
    <col min="1796" max="1796" width="9.28515625" bestFit="1" customWidth="1"/>
    <col min="1797" max="1797" width="13.140625" customWidth="1"/>
    <col min="1798" max="1798" width="13" customWidth="1"/>
    <col min="1799" max="1799" width="12.7109375" bestFit="1" customWidth="1"/>
    <col min="1800" max="1800" width="10.7109375" customWidth="1"/>
    <col min="1801" max="1801" width="10.85546875" bestFit="1" customWidth="1"/>
    <col min="1802" max="1802" width="10.140625" customWidth="1"/>
    <col min="1803" max="1810" width="12.140625" customWidth="1"/>
    <col min="1811" max="1811" width="13.5703125" bestFit="1" customWidth="1"/>
    <col min="1812" max="1812" width="13" customWidth="1"/>
    <col min="1814" max="1814" width="11.28515625" bestFit="1" customWidth="1"/>
    <col min="1815" max="1815" width="10.140625" bestFit="1" customWidth="1"/>
    <col min="1816" max="1816" width="17.85546875" bestFit="1" customWidth="1"/>
    <col min="2051" max="2051" width="9.140625" customWidth="1"/>
    <col min="2052" max="2052" width="9.28515625" bestFit="1" customWidth="1"/>
    <col min="2053" max="2053" width="13.140625" customWidth="1"/>
    <col min="2054" max="2054" width="13" customWidth="1"/>
    <col min="2055" max="2055" width="12.7109375" bestFit="1" customWidth="1"/>
    <col min="2056" max="2056" width="10.7109375" customWidth="1"/>
    <col min="2057" max="2057" width="10.85546875" bestFit="1" customWidth="1"/>
    <col min="2058" max="2058" width="10.140625" customWidth="1"/>
    <col min="2059" max="2066" width="12.140625" customWidth="1"/>
    <col min="2067" max="2067" width="13.5703125" bestFit="1" customWidth="1"/>
    <col min="2068" max="2068" width="13" customWidth="1"/>
    <col min="2070" max="2070" width="11.28515625" bestFit="1" customWidth="1"/>
    <col min="2071" max="2071" width="10.140625" bestFit="1" customWidth="1"/>
    <col min="2072" max="2072" width="17.85546875" bestFit="1" customWidth="1"/>
    <col min="2307" max="2307" width="9.140625" customWidth="1"/>
    <col min="2308" max="2308" width="9.28515625" bestFit="1" customWidth="1"/>
    <col min="2309" max="2309" width="13.140625" customWidth="1"/>
    <col min="2310" max="2310" width="13" customWidth="1"/>
    <col min="2311" max="2311" width="12.7109375" bestFit="1" customWidth="1"/>
    <col min="2312" max="2312" width="10.7109375" customWidth="1"/>
    <col min="2313" max="2313" width="10.85546875" bestFit="1" customWidth="1"/>
    <col min="2314" max="2314" width="10.140625" customWidth="1"/>
    <col min="2315" max="2322" width="12.140625" customWidth="1"/>
    <col min="2323" max="2323" width="13.5703125" bestFit="1" customWidth="1"/>
    <col min="2324" max="2324" width="13" customWidth="1"/>
    <col min="2326" max="2326" width="11.28515625" bestFit="1" customWidth="1"/>
    <col min="2327" max="2327" width="10.140625" bestFit="1" customWidth="1"/>
    <col min="2328" max="2328" width="17.85546875" bestFit="1" customWidth="1"/>
    <col min="2563" max="2563" width="9.140625" customWidth="1"/>
    <col min="2564" max="2564" width="9.28515625" bestFit="1" customWidth="1"/>
    <col min="2565" max="2565" width="13.140625" customWidth="1"/>
    <col min="2566" max="2566" width="13" customWidth="1"/>
    <col min="2567" max="2567" width="12.7109375" bestFit="1" customWidth="1"/>
    <col min="2568" max="2568" width="10.7109375" customWidth="1"/>
    <col min="2569" max="2569" width="10.85546875" bestFit="1" customWidth="1"/>
    <col min="2570" max="2570" width="10.140625" customWidth="1"/>
    <col min="2571" max="2578" width="12.140625" customWidth="1"/>
    <col min="2579" max="2579" width="13.5703125" bestFit="1" customWidth="1"/>
    <col min="2580" max="2580" width="13" customWidth="1"/>
    <col min="2582" max="2582" width="11.28515625" bestFit="1" customWidth="1"/>
    <col min="2583" max="2583" width="10.140625" bestFit="1" customWidth="1"/>
    <col min="2584" max="2584" width="17.85546875" bestFit="1" customWidth="1"/>
    <col min="2819" max="2819" width="9.140625" customWidth="1"/>
    <col min="2820" max="2820" width="9.28515625" bestFit="1" customWidth="1"/>
    <col min="2821" max="2821" width="13.140625" customWidth="1"/>
    <col min="2822" max="2822" width="13" customWidth="1"/>
    <col min="2823" max="2823" width="12.7109375" bestFit="1" customWidth="1"/>
    <col min="2824" max="2824" width="10.7109375" customWidth="1"/>
    <col min="2825" max="2825" width="10.85546875" bestFit="1" customWidth="1"/>
    <col min="2826" max="2826" width="10.140625" customWidth="1"/>
    <col min="2827" max="2834" width="12.140625" customWidth="1"/>
    <col min="2835" max="2835" width="13.5703125" bestFit="1" customWidth="1"/>
    <col min="2836" max="2836" width="13" customWidth="1"/>
    <col min="2838" max="2838" width="11.28515625" bestFit="1" customWidth="1"/>
    <col min="2839" max="2839" width="10.140625" bestFit="1" customWidth="1"/>
    <col min="2840" max="2840" width="17.85546875" bestFit="1" customWidth="1"/>
    <col min="3075" max="3075" width="9.140625" customWidth="1"/>
    <col min="3076" max="3076" width="9.28515625" bestFit="1" customWidth="1"/>
    <col min="3077" max="3077" width="13.140625" customWidth="1"/>
    <col min="3078" max="3078" width="13" customWidth="1"/>
    <col min="3079" max="3079" width="12.7109375" bestFit="1" customWidth="1"/>
    <col min="3080" max="3080" width="10.7109375" customWidth="1"/>
    <col min="3081" max="3081" width="10.85546875" bestFit="1" customWidth="1"/>
    <col min="3082" max="3082" width="10.140625" customWidth="1"/>
    <col min="3083" max="3090" width="12.140625" customWidth="1"/>
    <col min="3091" max="3091" width="13.5703125" bestFit="1" customWidth="1"/>
    <col min="3092" max="3092" width="13" customWidth="1"/>
    <col min="3094" max="3094" width="11.28515625" bestFit="1" customWidth="1"/>
    <col min="3095" max="3095" width="10.140625" bestFit="1" customWidth="1"/>
    <col min="3096" max="3096" width="17.85546875" bestFit="1" customWidth="1"/>
    <col min="3331" max="3331" width="9.140625" customWidth="1"/>
    <col min="3332" max="3332" width="9.28515625" bestFit="1" customWidth="1"/>
    <col min="3333" max="3333" width="13.140625" customWidth="1"/>
    <col min="3334" max="3334" width="13" customWidth="1"/>
    <col min="3335" max="3335" width="12.7109375" bestFit="1" customWidth="1"/>
    <col min="3336" max="3336" width="10.7109375" customWidth="1"/>
    <col min="3337" max="3337" width="10.85546875" bestFit="1" customWidth="1"/>
    <col min="3338" max="3338" width="10.140625" customWidth="1"/>
    <col min="3339" max="3346" width="12.140625" customWidth="1"/>
    <col min="3347" max="3347" width="13.5703125" bestFit="1" customWidth="1"/>
    <col min="3348" max="3348" width="13" customWidth="1"/>
    <col min="3350" max="3350" width="11.28515625" bestFit="1" customWidth="1"/>
    <col min="3351" max="3351" width="10.140625" bestFit="1" customWidth="1"/>
    <col min="3352" max="3352" width="17.85546875" bestFit="1" customWidth="1"/>
    <col min="3587" max="3587" width="9.140625" customWidth="1"/>
    <col min="3588" max="3588" width="9.28515625" bestFit="1" customWidth="1"/>
    <col min="3589" max="3589" width="13.140625" customWidth="1"/>
    <col min="3590" max="3590" width="13" customWidth="1"/>
    <col min="3591" max="3591" width="12.7109375" bestFit="1" customWidth="1"/>
    <col min="3592" max="3592" width="10.7109375" customWidth="1"/>
    <col min="3593" max="3593" width="10.85546875" bestFit="1" customWidth="1"/>
    <col min="3594" max="3594" width="10.140625" customWidth="1"/>
    <col min="3595" max="3602" width="12.140625" customWidth="1"/>
    <col min="3603" max="3603" width="13.5703125" bestFit="1" customWidth="1"/>
    <col min="3604" max="3604" width="13" customWidth="1"/>
    <col min="3606" max="3606" width="11.28515625" bestFit="1" customWidth="1"/>
    <col min="3607" max="3607" width="10.140625" bestFit="1" customWidth="1"/>
    <col min="3608" max="3608" width="17.85546875" bestFit="1" customWidth="1"/>
    <col min="3843" max="3843" width="9.140625" customWidth="1"/>
    <col min="3844" max="3844" width="9.28515625" bestFit="1" customWidth="1"/>
    <col min="3845" max="3845" width="13.140625" customWidth="1"/>
    <col min="3846" max="3846" width="13" customWidth="1"/>
    <col min="3847" max="3847" width="12.7109375" bestFit="1" customWidth="1"/>
    <col min="3848" max="3848" width="10.7109375" customWidth="1"/>
    <col min="3849" max="3849" width="10.85546875" bestFit="1" customWidth="1"/>
    <col min="3850" max="3850" width="10.140625" customWidth="1"/>
    <col min="3851" max="3858" width="12.140625" customWidth="1"/>
    <col min="3859" max="3859" width="13.5703125" bestFit="1" customWidth="1"/>
    <col min="3860" max="3860" width="13" customWidth="1"/>
    <col min="3862" max="3862" width="11.28515625" bestFit="1" customWidth="1"/>
    <col min="3863" max="3863" width="10.140625" bestFit="1" customWidth="1"/>
    <col min="3864" max="3864" width="17.85546875" bestFit="1" customWidth="1"/>
    <col min="4099" max="4099" width="9.140625" customWidth="1"/>
    <col min="4100" max="4100" width="9.28515625" bestFit="1" customWidth="1"/>
    <col min="4101" max="4101" width="13.140625" customWidth="1"/>
    <col min="4102" max="4102" width="13" customWidth="1"/>
    <col min="4103" max="4103" width="12.7109375" bestFit="1" customWidth="1"/>
    <col min="4104" max="4104" width="10.7109375" customWidth="1"/>
    <col min="4105" max="4105" width="10.85546875" bestFit="1" customWidth="1"/>
    <col min="4106" max="4106" width="10.140625" customWidth="1"/>
    <col min="4107" max="4114" width="12.140625" customWidth="1"/>
    <col min="4115" max="4115" width="13.5703125" bestFit="1" customWidth="1"/>
    <col min="4116" max="4116" width="13" customWidth="1"/>
    <col min="4118" max="4118" width="11.28515625" bestFit="1" customWidth="1"/>
    <col min="4119" max="4119" width="10.140625" bestFit="1" customWidth="1"/>
    <col min="4120" max="4120" width="17.85546875" bestFit="1" customWidth="1"/>
    <col min="4355" max="4355" width="9.140625" customWidth="1"/>
    <col min="4356" max="4356" width="9.28515625" bestFit="1" customWidth="1"/>
    <col min="4357" max="4357" width="13.140625" customWidth="1"/>
    <col min="4358" max="4358" width="13" customWidth="1"/>
    <col min="4359" max="4359" width="12.7109375" bestFit="1" customWidth="1"/>
    <col min="4360" max="4360" width="10.7109375" customWidth="1"/>
    <col min="4361" max="4361" width="10.85546875" bestFit="1" customWidth="1"/>
    <col min="4362" max="4362" width="10.140625" customWidth="1"/>
    <col min="4363" max="4370" width="12.140625" customWidth="1"/>
    <col min="4371" max="4371" width="13.5703125" bestFit="1" customWidth="1"/>
    <col min="4372" max="4372" width="13" customWidth="1"/>
    <col min="4374" max="4374" width="11.28515625" bestFit="1" customWidth="1"/>
    <col min="4375" max="4375" width="10.140625" bestFit="1" customWidth="1"/>
    <col min="4376" max="4376" width="17.85546875" bestFit="1" customWidth="1"/>
    <col min="4611" max="4611" width="9.140625" customWidth="1"/>
    <col min="4612" max="4612" width="9.28515625" bestFit="1" customWidth="1"/>
    <col min="4613" max="4613" width="13.140625" customWidth="1"/>
    <col min="4614" max="4614" width="13" customWidth="1"/>
    <col min="4615" max="4615" width="12.7109375" bestFit="1" customWidth="1"/>
    <col min="4616" max="4616" width="10.7109375" customWidth="1"/>
    <col min="4617" max="4617" width="10.85546875" bestFit="1" customWidth="1"/>
    <col min="4618" max="4618" width="10.140625" customWidth="1"/>
    <col min="4619" max="4626" width="12.140625" customWidth="1"/>
    <col min="4627" max="4627" width="13.5703125" bestFit="1" customWidth="1"/>
    <col min="4628" max="4628" width="13" customWidth="1"/>
    <col min="4630" max="4630" width="11.28515625" bestFit="1" customWidth="1"/>
    <col min="4631" max="4631" width="10.140625" bestFit="1" customWidth="1"/>
    <col min="4632" max="4632" width="17.85546875" bestFit="1" customWidth="1"/>
    <col min="4867" max="4867" width="9.140625" customWidth="1"/>
    <col min="4868" max="4868" width="9.28515625" bestFit="1" customWidth="1"/>
    <col min="4869" max="4869" width="13.140625" customWidth="1"/>
    <col min="4870" max="4870" width="13" customWidth="1"/>
    <col min="4871" max="4871" width="12.7109375" bestFit="1" customWidth="1"/>
    <col min="4872" max="4872" width="10.7109375" customWidth="1"/>
    <col min="4873" max="4873" width="10.85546875" bestFit="1" customWidth="1"/>
    <col min="4874" max="4874" width="10.140625" customWidth="1"/>
    <col min="4875" max="4882" width="12.140625" customWidth="1"/>
    <col min="4883" max="4883" width="13.5703125" bestFit="1" customWidth="1"/>
    <col min="4884" max="4884" width="13" customWidth="1"/>
    <col min="4886" max="4886" width="11.28515625" bestFit="1" customWidth="1"/>
    <col min="4887" max="4887" width="10.140625" bestFit="1" customWidth="1"/>
    <col min="4888" max="4888" width="17.85546875" bestFit="1" customWidth="1"/>
    <col min="5123" max="5123" width="9.140625" customWidth="1"/>
    <col min="5124" max="5124" width="9.28515625" bestFit="1" customWidth="1"/>
    <col min="5125" max="5125" width="13.140625" customWidth="1"/>
    <col min="5126" max="5126" width="13" customWidth="1"/>
    <col min="5127" max="5127" width="12.7109375" bestFit="1" customWidth="1"/>
    <col min="5128" max="5128" width="10.7109375" customWidth="1"/>
    <col min="5129" max="5129" width="10.85546875" bestFit="1" customWidth="1"/>
    <col min="5130" max="5130" width="10.140625" customWidth="1"/>
    <col min="5131" max="5138" width="12.140625" customWidth="1"/>
    <col min="5139" max="5139" width="13.5703125" bestFit="1" customWidth="1"/>
    <col min="5140" max="5140" width="13" customWidth="1"/>
    <col min="5142" max="5142" width="11.28515625" bestFit="1" customWidth="1"/>
    <col min="5143" max="5143" width="10.140625" bestFit="1" customWidth="1"/>
    <col min="5144" max="5144" width="17.85546875" bestFit="1" customWidth="1"/>
    <col min="5379" max="5379" width="9.140625" customWidth="1"/>
    <col min="5380" max="5380" width="9.28515625" bestFit="1" customWidth="1"/>
    <col min="5381" max="5381" width="13.140625" customWidth="1"/>
    <col min="5382" max="5382" width="13" customWidth="1"/>
    <col min="5383" max="5383" width="12.7109375" bestFit="1" customWidth="1"/>
    <col min="5384" max="5384" width="10.7109375" customWidth="1"/>
    <col min="5385" max="5385" width="10.85546875" bestFit="1" customWidth="1"/>
    <col min="5386" max="5386" width="10.140625" customWidth="1"/>
    <col min="5387" max="5394" width="12.140625" customWidth="1"/>
    <col min="5395" max="5395" width="13.5703125" bestFit="1" customWidth="1"/>
    <col min="5396" max="5396" width="13" customWidth="1"/>
    <col min="5398" max="5398" width="11.28515625" bestFit="1" customWidth="1"/>
    <col min="5399" max="5399" width="10.140625" bestFit="1" customWidth="1"/>
    <col min="5400" max="5400" width="17.85546875" bestFit="1" customWidth="1"/>
    <col min="5635" max="5635" width="9.140625" customWidth="1"/>
    <col min="5636" max="5636" width="9.28515625" bestFit="1" customWidth="1"/>
    <col min="5637" max="5637" width="13.140625" customWidth="1"/>
    <col min="5638" max="5638" width="13" customWidth="1"/>
    <col min="5639" max="5639" width="12.7109375" bestFit="1" customWidth="1"/>
    <col min="5640" max="5640" width="10.7109375" customWidth="1"/>
    <col min="5641" max="5641" width="10.85546875" bestFit="1" customWidth="1"/>
    <col min="5642" max="5642" width="10.140625" customWidth="1"/>
    <col min="5643" max="5650" width="12.140625" customWidth="1"/>
    <col min="5651" max="5651" width="13.5703125" bestFit="1" customWidth="1"/>
    <col min="5652" max="5652" width="13" customWidth="1"/>
    <col min="5654" max="5654" width="11.28515625" bestFit="1" customWidth="1"/>
    <col min="5655" max="5655" width="10.140625" bestFit="1" customWidth="1"/>
    <col min="5656" max="5656" width="17.85546875" bestFit="1" customWidth="1"/>
    <col min="5891" max="5891" width="9.140625" customWidth="1"/>
    <col min="5892" max="5892" width="9.28515625" bestFit="1" customWidth="1"/>
    <col min="5893" max="5893" width="13.140625" customWidth="1"/>
    <col min="5894" max="5894" width="13" customWidth="1"/>
    <col min="5895" max="5895" width="12.7109375" bestFit="1" customWidth="1"/>
    <col min="5896" max="5896" width="10.7109375" customWidth="1"/>
    <col min="5897" max="5897" width="10.85546875" bestFit="1" customWidth="1"/>
    <col min="5898" max="5898" width="10.140625" customWidth="1"/>
    <col min="5899" max="5906" width="12.140625" customWidth="1"/>
    <col min="5907" max="5907" width="13.5703125" bestFit="1" customWidth="1"/>
    <col min="5908" max="5908" width="13" customWidth="1"/>
    <col min="5910" max="5910" width="11.28515625" bestFit="1" customWidth="1"/>
    <col min="5911" max="5911" width="10.140625" bestFit="1" customWidth="1"/>
    <col min="5912" max="5912" width="17.85546875" bestFit="1" customWidth="1"/>
    <col min="6147" max="6147" width="9.140625" customWidth="1"/>
    <col min="6148" max="6148" width="9.28515625" bestFit="1" customWidth="1"/>
    <col min="6149" max="6149" width="13.140625" customWidth="1"/>
    <col min="6150" max="6150" width="13" customWidth="1"/>
    <col min="6151" max="6151" width="12.7109375" bestFit="1" customWidth="1"/>
    <col min="6152" max="6152" width="10.7109375" customWidth="1"/>
    <col min="6153" max="6153" width="10.85546875" bestFit="1" customWidth="1"/>
    <col min="6154" max="6154" width="10.140625" customWidth="1"/>
    <col min="6155" max="6162" width="12.140625" customWidth="1"/>
    <col min="6163" max="6163" width="13.5703125" bestFit="1" customWidth="1"/>
    <col min="6164" max="6164" width="13" customWidth="1"/>
    <col min="6166" max="6166" width="11.28515625" bestFit="1" customWidth="1"/>
    <col min="6167" max="6167" width="10.140625" bestFit="1" customWidth="1"/>
    <col min="6168" max="6168" width="17.85546875" bestFit="1" customWidth="1"/>
    <col min="6403" max="6403" width="9.140625" customWidth="1"/>
    <col min="6404" max="6404" width="9.28515625" bestFit="1" customWidth="1"/>
    <col min="6405" max="6405" width="13.140625" customWidth="1"/>
    <col min="6406" max="6406" width="13" customWidth="1"/>
    <col min="6407" max="6407" width="12.7109375" bestFit="1" customWidth="1"/>
    <col min="6408" max="6408" width="10.7109375" customWidth="1"/>
    <col min="6409" max="6409" width="10.85546875" bestFit="1" customWidth="1"/>
    <col min="6410" max="6410" width="10.140625" customWidth="1"/>
    <col min="6411" max="6418" width="12.140625" customWidth="1"/>
    <col min="6419" max="6419" width="13.5703125" bestFit="1" customWidth="1"/>
    <col min="6420" max="6420" width="13" customWidth="1"/>
    <col min="6422" max="6422" width="11.28515625" bestFit="1" customWidth="1"/>
    <col min="6423" max="6423" width="10.140625" bestFit="1" customWidth="1"/>
    <col min="6424" max="6424" width="17.85546875" bestFit="1" customWidth="1"/>
    <col min="6659" max="6659" width="9.140625" customWidth="1"/>
    <col min="6660" max="6660" width="9.28515625" bestFit="1" customWidth="1"/>
    <col min="6661" max="6661" width="13.140625" customWidth="1"/>
    <col min="6662" max="6662" width="13" customWidth="1"/>
    <col min="6663" max="6663" width="12.7109375" bestFit="1" customWidth="1"/>
    <col min="6664" max="6664" width="10.7109375" customWidth="1"/>
    <col min="6665" max="6665" width="10.85546875" bestFit="1" customWidth="1"/>
    <col min="6666" max="6666" width="10.140625" customWidth="1"/>
    <col min="6667" max="6674" width="12.140625" customWidth="1"/>
    <col min="6675" max="6675" width="13.5703125" bestFit="1" customWidth="1"/>
    <col min="6676" max="6676" width="13" customWidth="1"/>
    <col min="6678" max="6678" width="11.28515625" bestFit="1" customWidth="1"/>
    <col min="6679" max="6679" width="10.140625" bestFit="1" customWidth="1"/>
    <col min="6680" max="6680" width="17.85546875" bestFit="1" customWidth="1"/>
    <col min="6915" max="6915" width="9.140625" customWidth="1"/>
    <col min="6916" max="6916" width="9.28515625" bestFit="1" customWidth="1"/>
    <col min="6917" max="6917" width="13.140625" customWidth="1"/>
    <col min="6918" max="6918" width="13" customWidth="1"/>
    <col min="6919" max="6919" width="12.7109375" bestFit="1" customWidth="1"/>
    <col min="6920" max="6920" width="10.7109375" customWidth="1"/>
    <col min="6921" max="6921" width="10.85546875" bestFit="1" customWidth="1"/>
    <col min="6922" max="6922" width="10.140625" customWidth="1"/>
    <col min="6923" max="6930" width="12.140625" customWidth="1"/>
    <col min="6931" max="6931" width="13.5703125" bestFit="1" customWidth="1"/>
    <col min="6932" max="6932" width="13" customWidth="1"/>
    <col min="6934" max="6934" width="11.28515625" bestFit="1" customWidth="1"/>
    <col min="6935" max="6935" width="10.140625" bestFit="1" customWidth="1"/>
    <col min="6936" max="6936" width="17.85546875" bestFit="1" customWidth="1"/>
    <col min="7171" max="7171" width="9.140625" customWidth="1"/>
    <col min="7172" max="7172" width="9.28515625" bestFit="1" customWidth="1"/>
    <col min="7173" max="7173" width="13.140625" customWidth="1"/>
    <col min="7174" max="7174" width="13" customWidth="1"/>
    <col min="7175" max="7175" width="12.7109375" bestFit="1" customWidth="1"/>
    <col min="7176" max="7176" width="10.7109375" customWidth="1"/>
    <col min="7177" max="7177" width="10.85546875" bestFit="1" customWidth="1"/>
    <col min="7178" max="7178" width="10.140625" customWidth="1"/>
    <col min="7179" max="7186" width="12.140625" customWidth="1"/>
    <col min="7187" max="7187" width="13.5703125" bestFit="1" customWidth="1"/>
    <col min="7188" max="7188" width="13" customWidth="1"/>
    <col min="7190" max="7190" width="11.28515625" bestFit="1" customWidth="1"/>
    <col min="7191" max="7191" width="10.140625" bestFit="1" customWidth="1"/>
    <col min="7192" max="7192" width="17.85546875" bestFit="1" customWidth="1"/>
    <col min="7427" max="7427" width="9.140625" customWidth="1"/>
    <col min="7428" max="7428" width="9.28515625" bestFit="1" customWidth="1"/>
    <col min="7429" max="7429" width="13.140625" customWidth="1"/>
    <col min="7430" max="7430" width="13" customWidth="1"/>
    <col min="7431" max="7431" width="12.7109375" bestFit="1" customWidth="1"/>
    <col min="7432" max="7432" width="10.7109375" customWidth="1"/>
    <col min="7433" max="7433" width="10.85546875" bestFit="1" customWidth="1"/>
    <col min="7434" max="7434" width="10.140625" customWidth="1"/>
    <col min="7435" max="7442" width="12.140625" customWidth="1"/>
    <col min="7443" max="7443" width="13.5703125" bestFit="1" customWidth="1"/>
    <col min="7444" max="7444" width="13" customWidth="1"/>
    <col min="7446" max="7446" width="11.28515625" bestFit="1" customWidth="1"/>
    <col min="7447" max="7447" width="10.140625" bestFit="1" customWidth="1"/>
    <col min="7448" max="7448" width="17.85546875" bestFit="1" customWidth="1"/>
    <col min="7683" max="7683" width="9.140625" customWidth="1"/>
    <col min="7684" max="7684" width="9.28515625" bestFit="1" customWidth="1"/>
    <col min="7685" max="7685" width="13.140625" customWidth="1"/>
    <col min="7686" max="7686" width="13" customWidth="1"/>
    <col min="7687" max="7687" width="12.7109375" bestFit="1" customWidth="1"/>
    <col min="7688" max="7688" width="10.7109375" customWidth="1"/>
    <col min="7689" max="7689" width="10.85546875" bestFit="1" customWidth="1"/>
    <col min="7690" max="7690" width="10.140625" customWidth="1"/>
    <col min="7691" max="7698" width="12.140625" customWidth="1"/>
    <col min="7699" max="7699" width="13.5703125" bestFit="1" customWidth="1"/>
    <col min="7700" max="7700" width="13" customWidth="1"/>
    <col min="7702" max="7702" width="11.28515625" bestFit="1" customWidth="1"/>
    <col min="7703" max="7703" width="10.140625" bestFit="1" customWidth="1"/>
    <col min="7704" max="7704" width="17.85546875" bestFit="1" customWidth="1"/>
    <col min="7939" max="7939" width="9.140625" customWidth="1"/>
    <col min="7940" max="7940" width="9.28515625" bestFit="1" customWidth="1"/>
    <col min="7941" max="7941" width="13.140625" customWidth="1"/>
    <col min="7942" max="7942" width="13" customWidth="1"/>
    <col min="7943" max="7943" width="12.7109375" bestFit="1" customWidth="1"/>
    <col min="7944" max="7944" width="10.7109375" customWidth="1"/>
    <col min="7945" max="7945" width="10.85546875" bestFit="1" customWidth="1"/>
    <col min="7946" max="7946" width="10.140625" customWidth="1"/>
    <col min="7947" max="7954" width="12.140625" customWidth="1"/>
    <col min="7955" max="7955" width="13.5703125" bestFit="1" customWidth="1"/>
    <col min="7956" max="7956" width="13" customWidth="1"/>
    <col min="7958" max="7958" width="11.28515625" bestFit="1" customWidth="1"/>
    <col min="7959" max="7959" width="10.140625" bestFit="1" customWidth="1"/>
    <col min="7960" max="7960" width="17.85546875" bestFit="1" customWidth="1"/>
    <col min="8195" max="8195" width="9.140625" customWidth="1"/>
    <col min="8196" max="8196" width="9.28515625" bestFit="1" customWidth="1"/>
    <col min="8197" max="8197" width="13.140625" customWidth="1"/>
    <col min="8198" max="8198" width="13" customWidth="1"/>
    <col min="8199" max="8199" width="12.7109375" bestFit="1" customWidth="1"/>
    <col min="8200" max="8200" width="10.7109375" customWidth="1"/>
    <col min="8201" max="8201" width="10.85546875" bestFit="1" customWidth="1"/>
    <col min="8202" max="8202" width="10.140625" customWidth="1"/>
    <col min="8203" max="8210" width="12.140625" customWidth="1"/>
    <col min="8211" max="8211" width="13.5703125" bestFit="1" customWidth="1"/>
    <col min="8212" max="8212" width="13" customWidth="1"/>
    <col min="8214" max="8214" width="11.28515625" bestFit="1" customWidth="1"/>
    <col min="8215" max="8215" width="10.140625" bestFit="1" customWidth="1"/>
    <col min="8216" max="8216" width="17.85546875" bestFit="1" customWidth="1"/>
    <col min="8451" max="8451" width="9.140625" customWidth="1"/>
    <col min="8452" max="8452" width="9.28515625" bestFit="1" customWidth="1"/>
    <col min="8453" max="8453" width="13.140625" customWidth="1"/>
    <col min="8454" max="8454" width="13" customWidth="1"/>
    <col min="8455" max="8455" width="12.7109375" bestFit="1" customWidth="1"/>
    <col min="8456" max="8456" width="10.7109375" customWidth="1"/>
    <col min="8457" max="8457" width="10.85546875" bestFit="1" customWidth="1"/>
    <col min="8458" max="8458" width="10.140625" customWidth="1"/>
    <col min="8459" max="8466" width="12.140625" customWidth="1"/>
    <col min="8467" max="8467" width="13.5703125" bestFit="1" customWidth="1"/>
    <col min="8468" max="8468" width="13" customWidth="1"/>
    <col min="8470" max="8470" width="11.28515625" bestFit="1" customWidth="1"/>
    <col min="8471" max="8471" width="10.140625" bestFit="1" customWidth="1"/>
    <col min="8472" max="8472" width="17.85546875" bestFit="1" customWidth="1"/>
    <col min="8707" max="8707" width="9.140625" customWidth="1"/>
    <col min="8708" max="8708" width="9.28515625" bestFit="1" customWidth="1"/>
    <col min="8709" max="8709" width="13.140625" customWidth="1"/>
    <col min="8710" max="8710" width="13" customWidth="1"/>
    <col min="8711" max="8711" width="12.7109375" bestFit="1" customWidth="1"/>
    <col min="8712" max="8712" width="10.7109375" customWidth="1"/>
    <col min="8713" max="8713" width="10.85546875" bestFit="1" customWidth="1"/>
    <col min="8714" max="8714" width="10.140625" customWidth="1"/>
    <col min="8715" max="8722" width="12.140625" customWidth="1"/>
    <col min="8723" max="8723" width="13.5703125" bestFit="1" customWidth="1"/>
    <col min="8724" max="8724" width="13" customWidth="1"/>
    <col min="8726" max="8726" width="11.28515625" bestFit="1" customWidth="1"/>
    <col min="8727" max="8727" width="10.140625" bestFit="1" customWidth="1"/>
    <col min="8728" max="8728" width="17.85546875" bestFit="1" customWidth="1"/>
    <col min="8963" max="8963" width="9.140625" customWidth="1"/>
    <col min="8964" max="8964" width="9.28515625" bestFit="1" customWidth="1"/>
    <col min="8965" max="8965" width="13.140625" customWidth="1"/>
    <col min="8966" max="8966" width="13" customWidth="1"/>
    <col min="8967" max="8967" width="12.7109375" bestFit="1" customWidth="1"/>
    <col min="8968" max="8968" width="10.7109375" customWidth="1"/>
    <col min="8969" max="8969" width="10.85546875" bestFit="1" customWidth="1"/>
    <col min="8970" max="8970" width="10.140625" customWidth="1"/>
    <col min="8971" max="8978" width="12.140625" customWidth="1"/>
    <col min="8979" max="8979" width="13.5703125" bestFit="1" customWidth="1"/>
    <col min="8980" max="8980" width="13" customWidth="1"/>
    <col min="8982" max="8982" width="11.28515625" bestFit="1" customWidth="1"/>
    <col min="8983" max="8983" width="10.140625" bestFit="1" customWidth="1"/>
    <col min="8984" max="8984" width="17.85546875" bestFit="1" customWidth="1"/>
    <col min="9219" max="9219" width="9.140625" customWidth="1"/>
    <col min="9220" max="9220" width="9.28515625" bestFit="1" customWidth="1"/>
    <col min="9221" max="9221" width="13.140625" customWidth="1"/>
    <col min="9222" max="9222" width="13" customWidth="1"/>
    <col min="9223" max="9223" width="12.7109375" bestFit="1" customWidth="1"/>
    <col min="9224" max="9224" width="10.7109375" customWidth="1"/>
    <col min="9225" max="9225" width="10.85546875" bestFit="1" customWidth="1"/>
    <col min="9226" max="9226" width="10.140625" customWidth="1"/>
    <col min="9227" max="9234" width="12.140625" customWidth="1"/>
    <col min="9235" max="9235" width="13.5703125" bestFit="1" customWidth="1"/>
    <col min="9236" max="9236" width="13" customWidth="1"/>
    <col min="9238" max="9238" width="11.28515625" bestFit="1" customWidth="1"/>
    <col min="9239" max="9239" width="10.140625" bestFit="1" customWidth="1"/>
    <col min="9240" max="9240" width="17.85546875" bestFit="1" customWidth="1"/>
    <col min="9475" max="9475" width="9.140625" customWidth="1"/>
    <col min="9476" max="9476" width="9.28515625" bestFit="1" customWidth="1"/>
    <col min="9477" max="9477" width="13.140625" customWidth="1"/>
    <col min="9478" max="9478" width="13" customWidth="1"/>
    <col min="9479" max="9479" width="12.7109375" bestFit="1" customWidth="1"/>
    <col min="9480" max="9480" width="10.7109375" customWidth="1"/>
    <col min="9481" max="9481" width="10.85546875" bestFit="1" customWidth="1"/>
    <col min="9482" max="9482" width="10.140625" customWidth="1"/>
    <col min="9483" max="9490" width="12.140625" customWidth="1"/>
    <col min="9491" max="9491" width="13.5703125" bestFit="1" customWidth="1"/>
    <col min="9492" max="9492" width="13" customWidth="1"/>
    <col min="9494" max="9494" width="11.28515625" bestFit="1" customWidth="1"/>
    <col min="9495" max="9495" width="10.140625" bestFit="1" customWidth="1"/>
    <col min="9496" max="9496" width="17.85546875" bestFit="1" customWidth="1"/>
    <col min="9731" max="9731" width="9.140625" customWidth="1"/>
    <col min="9732" max="9732" width="9.28515625" bestFit="1" customWidth="1"/>
    <col min="9733" max="9733" width="13.140625" customWidth="1"/>
    <col min="9734" max="9734" width="13" customWidth="1"/>
    <col min="9735" max="9735" width="12.7109375" bestFit="1" customWidth="1"/>
    <col min="9736" max="9736" width="10.7109375" customWidth="1"/>
    <col min="9737" max="9737" width="10.85546875" bestFit="1" customWidth="1"/>
    <col min="9738" max="9738" width="10.140625" customWidth="1"/>
    <col min="9739" max="9746" width="12.140625" customWidth="1"/>
    <col min="9747" max="9747" width="13.5703125" bestFit="1" customWidth="1"/>
    <col min="9748" max="9748" width="13" customWidth="1"/>
    <col min="9750" max="9750" width="11.28515625" bestFit="1" customWidth="1"/>
    <col min="9751" max="9751" width="10.140625" bestFit="1" customWidth="1"/>
    <col min="9752" max="9752" width="17.85546875" bestFit="1" customWidth="1"/>
    <col min="9987" max="9987" width="9.140625" customWidth="1"/>
    <col min="9988" max="9988" width="9.28515625" bestFit="1" customWidth="1"/>
    <col min="9989" max="9989" width="13.140625" customWidth="1"/>
    <col min="9990" max="9990" width="13" customWidth="1"/>
    <col min="9991" max="9991" width="12.7109375" bestFit="1" customWidth="1"/>
    <col min="9992" max="9992" width="10.7109375" customWidth="1"/>
    <col min="9993" max="9993" width="10.85546875" bestFit="1" customWidth="1"/>
    <col min="9994" max="9994" width="10.140625" customWidth="1"/>
    <col min="9995" max="10002" width="12.140625" customWidth="1"/>
    <col min="10003" max="10003" width="13.5703125" bestFit="1" customWidth="1"/>
    <col min="10004" max="10004" width="13" customWidth="1"/>
    <col min="10006" max="10006" width="11.28515625" bestFit="1" customWidth="1"/>
    <col min="10007" max="10007" width="10.140625" bestFit="1" customWidth="1"/>
    <col min="10008" max="10008" width="17.85546875" bestFit="1" customWidth="1"/>
    <col min="10243" max="10243" width="9.140625" customWidth="1"/>
    <col min="10244" max="10244" width="9.28515625" bestFit="1" customWidth="1"/>
    <col min="10245" max="10245" width="13.140625" customWidth="1"/>
    <col min="10246" max="10246" width="13" customWidth="1"/>
    <col min="10247" max="10247" width="12.7109375" bestFit="1" customWidth="1"/>
    <col min="10248" max="10248" width="10.7109375" customWidth="1"/>
    <col min="10249" max="10249" width="10.85546875" bestFit="1" customWidth="1"/>
    <col min="10250" max="10250" width="10.140625" customWidth="1"/>
    <col min="10251" max="10258" width="12.140625" customWidth="1"/>
    <col min="10259" max="10259" width="13.5703125" bestFit="1" customWidth="1"/>
    <col min="10260" max="10260" width="13" customWidth="1"/>
    <col min="10262" max="10262" width="11.28515625" bestFit="1" customWidth="1"/>
    <col min="10263" max="10263" width="10.140625" bestFit="1" customWidth="1"/>
    <col min="10264" max="10264" width="17.85546875" bestFit="1" customWidth="1"/>
    <col min="10499" max="10499" width="9.140625" customWidth="1"/>
    <col min="10500" max="10500" width="9.28515625" bestFit="1" customWidth="1"/>
    <col min="10501" max="10501" width="13.140625" customWidth="1"/>
    <col min="10502" max="10502" width="13" customWidth="1"/>
    <col min="10503" max="10503" width="12.7109375" bestFit="1" customWidth="1"/>
    <col min="10504" max="10504" width="10.7109375" customWidth="1"/>
    <col min="10505" max="10505" width="10.85546875" bestFit="1" customWidth="1"/>
    <col min="10506" max="10506" width="10.140625" customWidth="1"/>
    <col min="10507" max="10514" width="12.140625" customWidth="1"/>
    <col min="10515" max="10515" width="13.5703125" bestFit="1" customWidth="1"/>
    <col min="10516" max="10516" width="13" customWidth="1"/>
    <col min="10518" max="10518" width="11.28515625" bestFit="1" customWidth="1"/>
    <col min="10519" max="10519" width="10.140625" bestFit="1" customWidth="1"/>
    <col min="10520" max="10520" width="17.85546875" bestFit="1" customWidth="1"/>
    <col min="10755" max="10755" width="9.140625" customWidth="1"/>
    <col min="10756" max="10756" width="9.28515625" bestFit="1" customWidth="1"/>
    <col min="10757" max="10757" width="13.140625" customWidth="1"/>
    <col min="10758" max="10758" width="13" customWidth="1"/>
    <col min="10759" max="10759" width="12.7109375" bestFit="1" customWidth="1"/>
    <col min="10760" max="10760" width="10.7109375" customWidth="1"/>
    <col min="10761" max="10761" width="10.85546875" bestFit="1" customWidth="1"/>
    <col min="10762" max="10762" width="10.140625" customWidth="1"/>
    <col min="10763" max="10770" width="12.140625" customWidth="1"/>
    <col min="10771" max="10771" width="13.5703125" bestFit="1" customWidth="1"/>
    <col min="10772" max="10772" width="13" customWidth="1"/>
    <col min="10774" max="10774" width="11.28515625" bestFit="1" customWidth="1"/>
    <col min="10775" max="10775" width="10.140625" bestFit="1" customWidth="1"/>
    <col min="10776" max="10776" width="17.85546875" bestFit="1" customWidth="1"/>
    <col min="11011" max="11011" width="9.140625" customWidth="1"/>
    <col min="11012" max="11012" width="9.28515625" bestFit="1" customWidth="1"/>
    <col min="11013" max="11013" width="13.140625" customWidth="1"/>
    <col min="11014" max="11014" width="13" customWidth="1"/>
    <col min="11015" max="11015" width="12.7109375" bestFit="1" customWidth="1"/>
    <col min="11016" max="11016" width="10.7109375" customWidth="1"/>
    <col min="11017" max="11017" width="10.85546875" bestFit="1" customWidth="1"/>
    <col min="11018" max="11018" width="10.140625" customWidth="1"/>
    <col min="11019" max="11026" width="12.140625" customWidth="1"/>
    <col min="11027" max="11027" width="13.5703125" bestFit="1" customWidth="1"/>
    <col min="11028" max="11028" width="13" customWidth="1"/>
    <col min="11030" max="11030" width="11.28515625" bestFit="1" customWidth="1"/>
    <col min="11031" max="11031" width="10.140625" bestFit="1" customWidth="1"/>
    <col min="11032" max="11032" width="17.85546875" bestFit="1" customWidth="1"/>
    <col min="11267" max="11267" width="9.140625" customWidth="1"/>
    <col min="11268" max="11268" width="9.28515625" bestFit="1" customWidth="1"/>
    <col min="11269" max="11269" width="13.140625" customWidth="1"/>
    <col min="11270" max="11270" width="13" customWidth="1"/>
    <col min="11271" max="11271" width="12.7109375" bestFit="1" customWidth="1"/>
    <col min="11272" max="11272" width="10.7109375" customWidth="1"/>
    <col min="11273" max="11273" width="10.85546875" bestFit="1" customWidth="1"/>
    <col min="11274" max="11274" width="10.140625" customWidth="1"/>
    <col min="11275" max="11282" width="12.140625" customWidth="1"/>
    <col min="11283" max="11283" width="13.5703125" bestFit="1" customWidth="1"/>
    <col min="11284" max="11284" width="13" customWidth="1"/>
    <col min="11286" max="11286" width="11.28515625" bestFit="1" customWidth="1"/>
    <col min="11287" max="11287" width="10.140625" bestFit="1" customWidth="1"/>
    <col min="11288" max="11288" width="17.85546875" bestFit="1" customWidth="1"/>
    <col min="11523" max="11523" width="9.140625" customWidth="1"/>
    <col min="11524" max="11524" width="9.28515625" bestFit="1" customWidth="1"/>
    <col min="11525" max="11525" width="13.140625" customWidth="1"/>
    <col min="11526" max="11526" width="13" customWidth="1"/>
    <col min="11527" max="11527" width="12.7109375" bestFit="1" customWidth="1"/>
    <col min="11528" max="11528" width="10.7109375" customWidth="1"/>
    <col min="11529" max="11529" width="10.85546875" bestFit="1" customWidth="1"/>
    <col min="11530" max="11530" width="10.140625" customWidth="1"/>
    <col min="11531" max="11538" width="12.140625" customWidth="1"/>
    <col min="11539" max="11539" width="13.5703125" bestFit="1" customWidth="1"/>
    <col min="11540" max="11540" width="13" customWidth="1"/>
    <col min="11542" max="11542" width="11.28515625" bestFit="1" customWidth="1"/>
    <col min="11543" max="11543" width="10.140625" bestFit="1" customWidth="1"/>
    <col min="11544" max="11544" width="17.85546875" bestFit="1" customWidth="1"/>
    <col min="11779" max="11779" width="9.140625" customWidth="1"/>
    <col min="11780" max="11780" width="9.28515625" bestFit="1" customWidth="1"/>
    <col min="11781" max="11781" width="13.140625" customWidth="1"/>
    <col min="11782" max="11782" width="13" customWidth="1"/>
    <col min="11783" max="11783" width="12.7109375" bestFit="1" customWidth="1"/>
    <col min="11784" max="11784" width="10.7109375" customWidth="1"/>
    <col min="11785" max="11785" width="10.85546875" bestFit="1" customWidth="1"/>
    <col min="11786" max="11786" width="10.140625" customWidth="1"/>
    <col min="11787" max="11794" width="12.140625" customWidth="1"/>
    <col min="11795" max="11795" width="13.5703125" bestFit="1" customWidth="1"/>
    <col min="11796" max="11796" width="13" customWidth="1"/>
    <col min="11798" max="11798" width="11.28515625" bestFit="1" customWidth="1"/>
    <col min="11799" max="11799" width="10.140625" bestFit="1" customWidth="1"/>
    <col min="11800" max="11800" width="17.85546875" bestFit="1" customWidth="1"/>
    <col min="12035" max="12035" width="9.140625" customWidth="1"/>
    <col min="12036" max="12036" width="9.28515625" bestFit="1" customWidth="1"/>
    <col min="12037" max="12037" width="13.140625" customWidth="1"/>
    <col min="12038" max="12038" width="13" customWidth="1"/>
    <col min="12039" max="12039" width="12.7109375" bestFit="1" customWidth="1"/>
    <col min="12040" max="12040" width="10.7109375" customWidth="1"/>
    <col min="12041" max="12041" width="10.85546875" bestFit="1" customWidth="1"/>
    <col min="12042" max="12042" width="10.140625" customWidth="1"/>
    <col min="12043" max="12050" width="12.140625" customWidth="1"/>
    <col min="12051" max="12051" width="13.5703125" bestFit="1" customWidth="1"/>
    <col min="12052" max="12052" width="13" customWidth="1"/>
    <col min="12054" max="12054" width="11.28515625" bestFit="1" customWidth="1"/>
    <col min="12055" max="12055" width="10.140625" bestFit="1" customWidth="1"/>
    <col min="12056" max="12056" width="17.85546875" bestFit="1" customWidth="1"/>
    <col min="12291" max="12291" width="9.140625" customWidth="1"/>
    <col min="12292" max="12292" width="9.28515625" bestFit="1" customWidth="1"/>
    <col min="12293" max="12293" width="13.140625" customWidth="1"/>
    <col min="12294" max="12294" width="13" customWidth="1"/>
    <col min="12295" max="12295" width="12.7109375" bestFit="1" customWidth="1"/>
    <col min="12296" max="12296" width="10.7109375" customWidth="1"/>
    <col min="12297" max="12297" width="10.85546875" bestFit="1" customWidth="1"/>
    <col min="12298" max="12298" width="10.140625" customWidth="1"/>
    <col min="12299" max="12306" width="12.140625" customWidth="1"/>
    <col min="12307" max="12307" width="13.5703125" bestFit="1" customWidth="1"/>
    <col min="12308" max="12308" width="13" customWidth="1"/>
    <col min="12310" max="12310" width="11.28515625" bestFit="1" customWidth="1"/>
    <col min="12311" max="12311" width="10.140625" bestFit="1" customWidth="1"/>
    <col min="12312" max="12312" width="17.85546875" bestFit="1" customWidth="1"/>
    <col min="12547" max="12547" width="9.140625" customWidth="1"/>
    <col min="12548" max="12548" width="9.28515625" bestFit="1" customWidth="1"/>
    <col min="12549" max="12549" width="13.140625" customWidth="1"/>
    <col min="12550" max="12550" width="13" customWidth="1"/>
    <col min="12551" max="12551" width="12.7109375" bestFit="1" customWidth="1"/>
    <col min="12552" max="12552" width="10.7109375" customWidth="1"/>
    <col min="12553" max="12553" width="10.85546875" bestFit="1" customWidth="1"/>
    <col min="12554" max="12554" width="10.140625" customWidth="1"/>
    <col min="12555" max="12562" width="12.140625" customWidth="1"/>
    <col min="12563" max="12563" width="13.5703125" bestFit="1" customWidth="1"/>
    <col min="12564" max="12564" width="13" customWidth="1"/>
    <col min="12566" max="12566" width="11.28515625" bestFit="1" customWidth="1"/>
    <col min="12567" max="12567" width="10.140625" bestFit="1" customWidth="1"/>
    <col min="12568" max="12568" width="17.85546875" bestFit="1" customWidth="1"/>
    <col min="12803" max="12803" width="9.140625" customWidth="1"/>
    <col min="12804" max="12804" width="9.28515625" bestFit="1" customWidth="1"/>
    <col min="12805" max="12805" width="13.140625" customWidth="1"/>
    <col min="12806" max="12806" width="13" customWidth="1"/>
    <col min="12807" max="12807" width="12.7109375" bestFit="1" customWidth="1"/>
    <col min="12808" max="12808" width="10.7109375" customWidth="1"/>
    <col min="12809" max="12809" width="10.85546875" bestFit="1" customWidth="1"/>
    <col min="12810" max="12810" width="10.140625" customWidth="1"/>
    <col min="12811" max="12818" width="12.140625" customWidth="1"/>
    <col min="12819" max="12819" width="13.5703125" bestFit="1" customWidth="1"/>
    <col min="12820" max="12820" width="13" customWidth="1"/>
    <col min="12822" max="12822" width="11.28515625" bestFit="1" customWidth="1"/>
    <col min="12823" max="12823" width="10.140625" bestFit="1" customWidth="1"/>
    <col min="12824" max="12824" width="17.85546875" bestFit="1" customWidth="1"/>
    <col min="13059" max="13059" width="9.140625" customWidth="1"/>
    <col min="13060" max="13060" width="9.28515625" bestFit="1" customWidth="1"/>
    <col min="13061" max="13061" width="13.140625" customWidth="1"/>
    <col min="13062" max="13062" width="13" customWidth="1"/>
    <col min="13063" max="13063" width="12.7109375" bestFit="1" customWidth="1"/>
    <col min="13064" max="13064" width="10.7109375" customWidth="1"/>
    <col min="13065" max="13065" width="10.85546875" bestFit="1" customWidth="1"/>
    <col min="13066" max="13066" width="10.140625" customWidth="1"/>
    <col min="13067" max="13074" width="12.140625" customWidth="1"/>
    <col min="13075" max="13075" width="13.5703125" bestFit="1" customWidth="1"/>
    <col min="13076" max="13076" width="13" customWidth="1"/>
    <col min="13078" max="13078" width="11.28515625" bestFit="1" customWidth="1"/>
    <col min="13079" max="13079" width="10.140625" bestFit="1" customWidth="1"/>
    <col min="13080" max="13080" width="17.85546875" bestFit="1" customWidth="1"/>
    <col min="13315" max="13315" width="9.140625" customWidth="1"/>
    <col min="13316" max="13316" width="9.28515625" bestFit="1" customWidth="1"/>
    <col min="13317" max="13317" width="13.140625" customWidth="1"/>
    <col min="13318" max="13318" width="13" customWidth="1"/>
    <col min="13319" max="13319" width="12.7109375" bestFit="1" customWidth="1"/>
    <col min="13320" max="13320" width="10.7109375" customWidth="1"/>
    <col min="13321" max="13321" width="10.85546875" bestFit="1" customWidth="1"/>
    <col min="13322" max="13322" width="10.140625" customWidth="1"/>
    <col min="13323" max="13330" width="12.140625" customWidth="1"/>
    <col min="13331" max="13331" width="13.5703125" bestFit="1" customWidth="1"/>
    <col min="13332" max="13332" width="13" customWidth="1"/>
    <col min="13334" max="13334" width="11.28515625" bestFit="1" customWidth="1"/>
    <col min="13335" max="13335" width="10.140625" bestFit="1" customWidth="1"/>
    <col min="13336" max="13336" width="17.85546875" bestFit="1" customWidth="1"/>
    <col min="13571" max="13571" width="9.140625" customWidth="1"/>
    <col min="13572" max="13572" width="9.28515625" bestFit="1" customWidth="1"/>
    <col min="13573" max="13573" width="13.140625" customWidth="1"/>
    <col min="13574" max="13574" width="13" customWidth="1"/>
    <col min="13575" max="13575" width="12.7109375" bestFit="1" customWidth="1"/>
    <col min="13576" max="13576" width="10.7109375" customWidth="1"/>
    <col min="13577" max="13577" width="10.85546875" bestFit="1" customWidth="1"/>
    <col min="13578" max="13578" width="10.140625" customWidth="1"/>
    <col min="13579" max="13586" width="12.140625" customWidth="1"/>
    <col min="13587" max="13587" width="13.5703125" bestFit="1" customWidth="1"/>
    <col min="13588" max="13588" width="13" customWidth="1"/>
    <col min="13590" max="13590" width="11.28515625" bestFit="1" customWidth="1"/>
    <col min="13591" max="13591" width="10.140625" bestFit="1" customWidth="1"/>
    <col min="13592" max="13592" width="17.85546875" bestFit="1" customWidth="1"/>
    <col min="13827" max="13827" width="9.140625" customWidth="1"/>
    <col min="13828" max="13828" width="9.28515625" bestFit="1" customWidth="1"/>
    <col min="13829" max="13829" width="13.140625" customWidth="1"/>
    <col min="13830" max="13830" width="13" customWidth="1"/>
    <col min="13831" max="13831" width="12.7109375" bestFit="1" customWidth="1"/>
    <col min="13832" max="13832" width="10.7109375" customWidth="1"/>
    <col min="13833" max="13833" width="10.85546875" bestFit="1" customWidth="1"/>
    <col min="13834" max="13834" width="10.140625" customWidth="1"/>
    <col min="13835" max="13842" width="12.140625" customWidth="1"/>
    <col min="13843" max="13843" width="13.5703125" bestFit="1" customWidth="1"/>
    <col min="13844" max="13844" width="13" customWidth="1"/>
    <col min="13846" max="13846" width="11.28515625" bestFit="1" customWidth="1"/>
    <col min="13847" max="13847" width="10.140625" bestFit="1" customWidth="1"/>
    <col min="13848" max="13848" width="17.85546875" bestFit="1" customWidth="1"/>
    <col min="14083" max="14083" width="9.140625" customWidth="1"/>
    <col min="14084" max="14084" width="9.28515625" bestFit="1" customWidth="1"/>
    <col min="14085" max="14085" width="13.140625" customWidth="1"/>
    <col min="14086" max="14086" width="13" customWidth="1"/>
    <col min="14087" max="14087" width="12.7109375" bestFit="1" customWidth="1"/>
    <col min="14088" max="14088" width="10.7109375" customWidth="1"/>
    <col min="14089" max="14089" width="10.85546875" bestFit="1" customWidth="1"/>
    <col min="14090" max="14090" width="10.140625" customWidth="1"/>
    <col min="14091" max="14098" width="12.140625" customWidth="1"/>
    <col min="14099" max="14099" width="13.5703125" bestFit="1" customWidth="1"/>
    <col min="14100" max="14100" width="13" customWidth="1"/>
    <col min="14102" max="14102" width="11.28515625" bestFit="1" customWidth="1"/>
    <col min="14103" max="14103" width="10.140625" bestFit="1" customWidth="1"/>
    <col min="14104" max="14104" width="17.85546875" bestFit="1" customWidth="1"/>
    <col min="14339" max="14339" width="9.140625" customWidth="1"/>
    <col min="14340" max="14340" width="9.28515625" bestFit="1" customWidth="1"/>
    <col min="14341" max="14341" width="13.140625" customWidth="1"/>
    <col min="14342" max="14342" width="13" customWidth="1"/>
    <col min="14343" max="14343" width="12.7109375" bestFit="1" customWidth="1"/>
    <col min="14344" max="14344" width="10.7109375" customWidth="1"/>
    <col min="14345" max="14345" width="10.85546875" bestFit="1" customWidth="1"/>
    <col min="14346" max="14346" width="10.140625" customWidth="1"/>
    <col min="14347" max="14354" width="12.140625" customWidth="1"/>
    <col min="14355" max="14355" width="13.5703125" bestFit="1" customWidth="1"/>
    <col min="14356" max="14356" width="13" customWidth="1"/>
    <col min="14358" max="14358" width="11.28515625" bestFit="1" customWidth="1"/>
    <col min="14359" max="14359" width="10.140625" bestFit="1" customWidth="1"/>
    <col min="14360" max="14360" width="17.85546875" bestFit="1" customWidth="1"/>
    <col min="14595" max="14595" width="9.140625" customWidth="1"/>
    <col min="14596" max="14596" width="9.28515625" bestFit="1" customWidth="1"/>
    <col min="14597" max="14597" width="13.140625" customWidth="1"/>
    <col min="14598" max="14598" width="13" customWidth="1"/>
    <col min="14599" max="14599" width="12.7109375" bestFit="1" customWidth="1"/>
    <col min="14600" max="14600" width="10.7109375" customWidth="1"/>
    <col min="14601" max="14601" width="10.85546875" bestFit="1" customWidth="1"/>
    <col min="14602" max="14602" width="10.140625" customWidth="1"/>
    <col min="14603" max="14610" width="12.140625" customWidth="1"/>
    <col min="14611" max="14611" width="13.5703125" bestFit="1" customWidth="1"/>
    <col min="14612" max="14612" width="13" customWidth="1"/>
    <col min="14614" max="14614" width="11.28515625" bestFit="1" customWidth="1"/>
    <col min="14615" max="14615" width="10.140625" bestFit="1" customWidth="1"/>
    <col min="14616" max="14616" width="17.85546875" bestFit="1" customWidth="1"/>
    <col min="14851" max="14851" width="9.140625" customWidth="1"/>
    <col min="14852" max="14852" width="9.28515625" bestFit="1" customWidth="1"/>
    <col min="14853" max="14853" width="13.140625" customWidth="1"/>
    <col min="14854" max="14854" width="13" customWidth="1"/>
    <col min="14855" max="14855" width="12.7109375" bestFit="1" customWidth="1"/>
    <col min="14856" max="14856" width="10.7109375" customWidth="1"/>
    <col min="14857" max="14857" width="10.85546875" bestFit="1" customWidth="1"/>
    <col min="14858" max="14858" width="10.140625" customWidth="1"/>
    <col min="14859" max="14866" width="12.140625" customWidth="1"/>
    <col min="14867" max="14867" width="13.5703125" bestFit="1" customWidth="1"/>
    <col min="14868" max="14868" width="13" customWidth="1"/>
    <col min="14870" max="14870" width="11.28515625" bestFit="1" customWidth="1"/>
    <col min="14871" max="14871" width="10.140625" bestFit="1" customWidth="1"/>
    <col min="14872" max="14872" width="17.85546875" bestFit="1" customWidth="1"/>
    <col min="15107" max="15107" width="9.140625" customWidth="1"/>
    <col min="15108" max="15108" width="9.28515625" bestFit="1" customWidth="1"/>
    <col min="15109" max="15109" width="13.140625" customWidth="1"/>
    <col min="15110" max="15110" width="13" customWidth="1"/>
    <col min="15111" max="15111" width="12.7109375" bestFit="1" customWidth="1"/>
    <col min="15112" max="15112" width="10.7109375" customWidth="1"/>
    <col min="15113" max="15113" width="10.85546875" bestFit="1" customWidth="1"/>
    <col min="15114" max="15114" width="10.140625" customWidth="1"/>
    <col min="15115" max="15122" width="12.140625" customWidth="1"/>
    <col min="15123" max="15123" width="13.5703125" bestFit="1" customWidth="1"/>
    <col min="15124" max="15124" width="13" customWidth="1"/>
    <col min="15126" max="15126" width="11.28515625" bestFit="1" customWidth="1"/>
    <col min="15127" max="15127" width="10.140625" bestFit="1" customWidth="1"/>
    <col min="15128" max="15128" width="17.85546875" bestFit="1" customWidth="1"/>
    <col min="15363" max="15363" width="9.140625" customWidth="1"/>
    <col min="15364" max="15364" width="9.28515625" bestFit="1" customWidth="1"/>
    <col min="15365" max="15365" width="13.140625" customWidth="1"/>
    <col min="15366" max="15366" width="13" customWidth="1"/>
    <col min="15367" max="15367" width="12.7109375" bestFit="1" customWidth="1"/>
    <col min="15368" max="15368" width="10.7109375" customWidth="1"/>
    <col min="15369" max="15369" width="10.85546875" bestFit="1" customWidth="1"/>
    <col min="15370" max="15370" width="10.140625" customWidth="1"/>
    <col min="15371" max="15378" width="12.140625" customWidth="1"/>
    <col min="15379" max="15379" width="13.5703125" bestFit="1" customWidth="1"/>
    <col min="15380" max="15380" width="13" customWidth="1"/>
    <col min="15382" max="15382" width="11.28515625" bestFit="1" customWidth="1"/>
    <col min="15383" max="15383" width="10.140625" bestFit="1" customWidth="1"/>
    <col min="15384" max="15384" width="17.85546875" bestFit="1" customWidth="1"/>
    <col min="15619" max="15619" width="9.140625" customWidth="1"/>
    <col min="15620" max="15620" width="9.28515625" bestFit="1" customWidth="1"/>
    <col min="15621" max="15621" width="13.140625" customWidth="1"/>
    <col min="15622" max="15622" width="13" customWidth="1"/>
    <col min="15623" max="15623" width="12.7109375" bestFit="1" customWidth="1"/>
    <col min="15624" max="15624" width="10.7109375" customWidth="1"/>
    <col min="15625" max="15625" width="10.85546875" bestFit="1" customWidth="1"/>
    <col min="15626" max="15626" width="10.140625" customWidth="1"/>
    <col min="15627" max="15634" width="12.140625" customWidth="1"/>
    <col min="15635" max="15635" width="13.5703125" bestFit="1" customWidth="1"/>
    <col min="15636" max="15636" width="13" customWidth="1"/>
    <col min="15638" max="15638" width="11.28515625" bestFit="1" customWidth="1"/>
    <col min="15639" max="15639" width="10.140625" bestFit="1" customWidth="1"/>
    <col min="15640" max="15640" width="17.85546875" bestFit="1" customWidth="1"/>
    <col min="15875" max="15875" width="9.140625" customWidth="1"/>
    <col min="15876" max="15876" width="9.28515625" bestFit="1" customWidth="1"/>
    <col min="15877" max="15877" width="13.140625" customWidth="1"/>
    <col min="15878" max="15878" width="13" customWidth="1"/>
    <col min="15879" max="15879" width="12.7109375" bestFit="1" customWidth="1"/>
    <col min="15880" max="15880" width="10.7109375" customWidth="1"/>
    <col min="15881" max="15881" width="10.85546875" bestFit="1" customWidth="1"/>
    <col min="15882" max="15882" width="10.140625" customWidth="1"/>
    <col min="15883" max="15890" width="12.140625" customWidth="1"/>
    <col min="15891" max="15891" width="13.5703125" bestFit="1" customWidth="1"/>
    <col min="15892" max="15892" width="13" customWidth="1"/>
    <col min="15894" max="15894" width="11.28515625" bestFit="1" customWidth="1"/>
    <col min="15895" max="15895" width="10.140625" bestFit="1" customWidth="1"/>
    <col min="15896" max="15896" width="17.85546875" bestFit="1" customWidth="1"/>
    <col min="16131" max="16131" width="9.140625" customWidth="1"/>
    <col min="16132" max="16132" width="9.28515625" bestFit="1" customWidth="1"/>
    <col min="16133" max="16133" width="13.140625" customWidth="1"/>
    <col min="16134" max="16134" width="13" customWidth="1"/>
    <col min="16135" max="16135" width="12.7109375" bestFit="1" customWidth="1"/>
    <col min="16136" max="16136" width="10.7109375" customWidth="1"/>
    <col min="16137" max="16137" width="10.85546875" bestFit="1" customWidth="1"/>
    <col min="16138" max="16138" width="10.140625" customWidth="1"/>
    <col min="16139" max="16146" width="12.140625" customWidth="1"/>
    <col min="16147" max="16147" width="13.5703125" bestFit="1" customWidth="1"/>
    <col min="16148" max="16148" width="13" customWidth="1"/>
    <col min="16150" max="16150" width="11.28515625" bestFit="1" customWidth="1"/>
    <col min="16151" max="16151" width="10.140625" bestFit="1" customWidth="1"/>
    <col min="16152" max="16152" width="17.85546875" bestFit="1" customWidth="1"/>
  </cols>
  <sheetData>
    <row r="2" spans="1:258" x14ac:dyDescent="0.25">
      <c r="B2" s="173" t="s">
        <v>73</v>
      </c>
      <c r="C2" s="174"/>
      <c r="D2" s="174"/>
      <c r="E2" s="174"/>
      <c r="F2" s="174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</row>
    <row r="3" spans="1:258" x14ac:dyDescent="0.25">
      <c r="B3" s="173" t="s">
        <v>114</v>
      </c>
      <c r="D3" s="176"/>
      <c r="E3" s="174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206"/>
    </row>
    <row r="4" spans="1:258" ht="15" customHeight="1" x14ac:dyDescent="0.25">
      <c r="B4" s="283" t="s">
        <v>74</v>
      </c>
      <c r="C4" s="285" t="s">
        <v>75</v>
      </c>
      <c r="D4" s="286"/>
      <c r="E4" s="287"/>
      <c r="F4" s="205" t="s">
        <v>76</v>
      </c>
      <c r="G4" s="177"/>
      <c r="H4" s="278" t="s">
        <v>77</v>
      </c>
      <c r="I4" s="278" t="s">
        <v>78</v>
      </c>
      <c r="J4" s="278" t="s">
        <v>79</v>
      </c>
      <c r="K4" s="278" t="s">
        <v>80</v>
      </c>
      <c r="L4" s="278" t="s">
        <v>81</v>
      </c>
      <c r="M4" s="278" t="s">
        <v>82</v>
      </c>
      <c r="N4" s="278" t="s">
        <v>83</v>
      </c>
      <c r="O4" s="278" t="s">
        <v>84</v>
      </c>
      <c r="P4" s="278" t="s">
        <v>85</v>
      </c>
      <c r="Q4" s="278" t="s">
        <v>86</v>
      </c>
      <c r="R4" s="278" t="s">
        <v>87</v>
      </c>
      <c r="S4" s="274" t="s">
        <v>97</v>
      </c>
      <c r="T4" s="275"/>
      <c r="U4" s="275"/>
      <c r="V4" s="276"/>
      <c r="W4" s="201" t="s">
        <v>107</v>
      </c>
      <c r="X4" s="277" t="s">
        <v>88</v>
      </c>
      <c r="Y4" s="277" t="s">
        <v>40</v>
      </c>
      <c r="Z4" s="280" t="s">
        <v>89</v>
      </c>
      <c r="AA4" s="281"/>
      <c r="AB4" s="281"/>
      <c r="AC4" s="281"/>
      <c r="AD4" s="282"/>
      <c r="AE4" s="277" t="s">
        <v>90</v>
      </c>
      <c r="AF4" s="277" t="s">
        <v>48</v>
      </c>
      <c r="AG4" s="277"/>
      <c r="AH4" s="277" t="s">
        <v>91</v>
      </c>
      <c r="AI4" s="277"/>
    </row>
    <row r="5" spans="1:258" ht="30" x14ac:dyDescent="0.25">
      <c r="B5" s="284"/>
      <c r="C5" s="205" t="s">
        <v>92</v>
      </c>
      <c r="D5" s="205" t="s">
        <v>93</v>
      </c>
      <c r="E5" s="205" t="s">
        <v>94</v>
      </c>
      <c r="F5" s="205" t="s">
        <v>95</v>
      </c>
      <c r="G5" s="178" t="s">
        <v>96</v>
      </c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05" t="s">
        <v>111</v>
      </c>
      <c r="T5" s="205" t="s">
        <v>109</v>
      </c>
      <c r="U5" s="205" t="s">
        <v>112</v>
      </c>
      <c r="V5" s="205" t="s">
        <v>110</v>
      </c>
      <c r="W5" s="202" t="s">
        <v>108</v>
      </c>
      <c r="X5" s="277"/>
      <c r="Y5" s="277"/>
      <c r="Z5" s="80" t="s">
        <v>98</v>
      </c>
      <c r="AA5" s="80" t="s">
        <v>99</v>
      </c>
      <c r="AB5" s="80" t="s">
        <v>100</v>
      </c>
      <c r="AC5" s="80" t="s">
        <v>101</v>
      </c>
      <c r="AD5" s="80" t="s">
        <v>102</v>
      </c>
      <c r="AE5" s="277"/>
      <c r="AF5" s="80" t="s">
        <v>103</v>
      </c>
      <c r="AG5" s="80" t="s">
        <v>104</v>
      </c>
      <c r="AH5" s="80" t="s">
        <v>103</v>
      </c>
      <c r="AI5" s="80" t="s">
        <v>104</v>
      </c>
    </row>
    <row r="6" spans="1:258" s="190" customFormat="1" x14ac:dyDescent="0.25">
      <c r="A6" s="3"/>
      <c r="B6" s="179">
        <v>45962</v>
      </c>
      <c r="C6" s="180">
        <f>Master!B8</f>
        <v>0</v>
      </c>
      <c r="D6" s="180">
        <f>Master!F8</f>
        <v>0</v>
      </c>
      <c r="E6" s="181">
        <f>Master!J8</f>
        <v>0</v>
      </c>
      <c r="F6" s="182">
        <f>Master!U8+Master!Z8+Master!AE8</f>
        <v>0</v>
      </c>
      <c r="G6" s="183">
        <f>Master!AG8</f>
        <v>656</v>
      </c>
      <c r="H6" s="184">
        <f>Master!AH8</f>
        <v>152.922</v>
      </c>
      <c r="I6" s="185">
        <f>Master!AI8</f>
        <v>127.483</v>
      </c>
      <c r="J6" s="186">
        <f>Master!AK8</f>
        <v>25.3</v>
      </c>
      <c r="K6" s="186">
        <f>Master!AL8</f>
        <v>62.9</v>
      </c>
      <c r="L6" s="186">
        <f>Master!AN8</f>
        <v>137.69999999999999</v>
      </c>
      <c r="M6" s="186">
        <f>Master!AP8</f>
        <v>86.3</v>
      </c>
      <c r="N6" s="186">
        <f>Master!AJ8</f>
        <v>12.8</v>
      </c>
      <c r="O6" s="186">
        <f>Master!AM8</f>
        <v>7.9</v>
      </c>
      <c r="P6" s="186">
        <f>Master!AO8</f>
        <v>0</v>
      </c>
      <c r="Q6" s="186">
        <f>Master!AQ8</f>
        <v>7.3</v>
      </c>
      <c r="R6" s="186">
        <f t="shared" ref="R6:R8" si="0">SUM(H6:Q6)</f>
        <v>620.60499999999979</v>
      </c>
      <c r="S6" s="184">
        <f>(F6+G6)-R6</f>
        <v>35.395000000000209</v>
      </c>
      <c r="T6" s="187">
        <f t="shared" ref="T6:T35" si="1">S6/(F6+G6)</f>
        <v>5.3955792682927148E-2</v>
      </c>
      <c r="U6" s="184">
        <f>(F6+G6)-R6</f>
        <v>35.395000000000209</v>
      </c>
      <c r="V6" s="187">
        <f>+U6/(F6+(SUM($G$6:G6)))</f>
        <v>5.3955792682927148E-2</v>
      </c>
      <c r="W6" s="208" t="s">
        <v>115</v>
      </c>
      <c r="X6" s="80">
        <f>Master!BM8</f>
        <v>400</v>
      </c>
      <c r="Y6" s="80">
        <f>Master!BD8</f>
        <v>401.2</v>
      </c>
      <c r="Z6" s="188">
        <f>Master!BF8</f>
        <v>145.80000000000001</v>
      </c>
      <c r="AA6" s="80">
        <f>Master!BG8</f>
        <v>71.8</v>
      </c>
      <c r="AB6" s="80">
        <f>Master!BH8</f>
        <v>0</v>
      </c>
      <c r="AC6" s="80">
        <f>Master!BI8</f>
        <v>126.80000000000001</v>
      </c>
      <c r="AD6" s="80"/>
      <c r="AE6" s="188">
        <f>SUM(Z6:AD6)</f>
        <v>344.40000000000003</v>
      </c>
      <c r="AF6" s="188">
        <f>ABS(X6-AE6)</f>
        <v>55.599999999999966</v>
      </c>
      <c r="AG6" s="188">
        <f>ABS(Y6-AE6)</f>
        <v>56.799999999999955</v>
      </c>
      <c r="AH6" s="189">
        <f t="shared" ref="AH6:AI7" si="2">AF6/X6</f>
        <v>0.1389999999999999</v>
      </c>
      <c r="AI6" s="189">
        <f t="shared" si="2"/>
        <v>0.14157527417746749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s="190" customFormat="1" x14ac:dyDescent="0.25">
      <c r="A7" s="3"/>
      <c r="B7" s="179">
        <f>1+B6</f>
        <v>45963</v>
      </c>
      <c r="C7" s="180">
        <f>Master!B9</f>
        <v>0</v>
      </c>
      <c r="D7" s="180">
        <f>Master!F9</f>
        <v>0</v>
      </c>
      <c r="E7" s="181">
        <f>Master!J9</f>
        <v>0</v>
      </c>
      <c r="F7" s="182">
        <f>Master!U9+Master!Z9+Master!AE9</f>
        <v>0</v>
      </c>
      <c r="G7" s="183">
        <f>Master!AG9</f>
        <v>653</v>
      </c>
      <c r="H7" s="184">
        <f>Master!AH9</f>
        <v>158.39499999999998</v>
      </c>
      <c r="I7" s="185">
        <f>Master!AI9</f>
        <v>129.185</v>
      </c>
      <c r="J7" s="186">
        <f>Master!AK9</f>
        <v>23.5</v>
      </c>
      <c r="K7" s="186">
        <f>Master!AL9</f>
        <v>67.8</v>
      </c>
      <c r="L7" s="186">
        <f>Master!AN9</f>
        <v>135.19999999999999</v>
      </c>
      <c r="M7" s="186">
        <f>Master!AP9</f>
        <v>73.900000000000006</v>
      </c>
      <c r="N7" s="186">
        <f>Master!AJ9</f>
        <v>13.6</v>
      </c>
      <c r="O7" s="186">
        <f>Master!AM9</f>
        <v>10.9</v>
      </c>
      <c r="P7" s="186">
        <f>Master!AO9</f>
        <v>0</v>
      </c>
      <c r="Q7" s="186">
        <f>Master!AQ9</f>
        <v>8</v>
      </c>
      <c r="R7" s="186">
        <f t="shared" si="0"/>
        <v>620.4799999999999</v>
      </c>
      <c r="S7" s="184">
        <f t="shared" ref="S7:S35" si="3">(F7+G7)-R7</f>
        <v>32.520000000000095</v>
      </c>
      <c r="T7" s="187">
        <f t="shared" si="1"/>
        <v>4.9800918836141031E-2</v>
      </c>
      <c r="U7" s="184">
        <f>(F7+G7)-R7+U6</f>
        <v>67.915000000000305</v>
      </c>
      <c r="V7" s="187">
        <f>+U7/(F7+(SUM($G$6:G7)))</f>
        <v>5.1883116883117114E-2</v>
      </c>
      <c r="W7" s="208" t="s">
        <v>115</v>
      </c>
      <c r="X7" s="80">
        <f>Master!BM9</f>
        <v>401</v>
      </c>
      <c r="Y7" s="80">
        <f>Master!BD9</f>
        <v>404.2</v>
      </c>
      <c r="Z7" s="188">
        <f>Master!BF9</f>
        <v>132.1</v>
      </c>
      <c r="AA7" s="80">
        <f>Master!BG9</f>
        <v>108.4</v>
      </c>
      <c r="AB7" s="80">
        <f>Master!BH9</f>
        <v>0</v>
      </c>
      <c r="AC7" s="80">
        <f>Master!BI9</f>
        <v>126.9</v>
      </c>
      <c r="AD7" s="80"/>
      <c r="AE7" s="188">
        <f t="shared" ref="AE7:AE37" si="4">SUM(Z7:AD7)</f>
        <v>367.4</v>
      </c>
      <c r="AF7" s="188">
        <f t="shared" ref="AF7:AF35" si="5">ABS(X7-AE7)</f>
        <v>33.600000000000023</v>
      </c>
      <c r="AG7" s="188">
        <f t="shared" ref="AG7:AG35" si="6">ABS(Y7-AE7)</f>
        <v>36.800000000000011</v>
      </c>
      <c r="AH7" s="189">
        <f t="shared" si="2"/>
        <v>8.3790523690773125E-2</v>
      </c>
      <c r="AI7" s="189">
        <f t="shared" si="2"/>
        <v>9.1044037605145997E-2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s="190" customFormat="1" x14ac:dyDescent="0.25">
      <c r="A8" s="3"/>
      <c r="B8" s="179">
        <f t="shared" ref="B8:B35" si="7">1+B7</f>
        <v>45964</v>
      </c>
      <c r="C8" s="180">
        <f>Master!B10</f>
        <v>0</v>
      </c>
      <c r="D8" s="180">
        <f>Master!F10</f>
        <v>0</v>
      </c>
      <c r="E8" s="181">
        <f>Master!J10</f>
        <v>0</v>
      </c>
      <c r="F8" s="182">
        <f>Master!U10+Master!Z10+Master!AE10</f>
        <v>0</v>
      </c>
      <c r="G8" s="183">
        <f>Master!AG10</f>
        <v>592</v>
      </c>
      <c r="H8" s="184">
        <f>Master!AH10</f>
        <v>167.041</v>
      </c>
      <c r="I8" s="185">
        <f>Master!AI10</f>
        <v>137.22300000000001</v>
      </c>
      <c r="J8" s="186">
        <f>Master!AK10</f>
        <v>23.4</v>
      </c>
      <c r="K8" s="186">
        <f>Master!AL10</f>
        <v>69</v>
      </c>
      <c r="L8" s="186">
        <f>Master!AN10</f>
        <v>58.3</v>
      </c>
      <c r="M8" s="186">
        <f>Master!AP10</f>
        <v>87.9</v>
      </c>
      <c r="N8" s="186">
        <f>Master!AJ10</f>
        <v>11.2</v>
      </c>
      <c r="O8" s="186">
        <f>Master!AM10</f>
        <v>9.9</v>
      </c>
      <c r="P8" s="186">
        <f>Master!AO10</f>
        <v>0</v>
      </c>
      <c r="Q8" s="186">
        <f>Master!AQ10</f>
        <v>8.1</v>
      </c>
      <c r="R8" s="186">
        <f t="shared" si="0"/>
        <v>572.06400000000008</v>
      </c>
      <c r="S8" s="184">
        <f t="shared" si="3"/>
        <v>19.935999999999922</v>
      </c>
      <c r="T8" s="187">
        <f t="shared" si="1"/>
        <v>3.3675675675675545E-2</v>
      </c>
      <c r="U8" s="184">
        <f>(F8+G8)-R8+U7</f>
        <v>87.851000000000226</v>
      </c>
      <c r="V8" s="187">
        <f>+U8/(F8+(SUM($G$6:G8)))</f>
        <v>4.6213045765386755E-2</v>
      </c>
      <c r="W8" s="209" t="s">
        <v>117</v>
      </c>
      <c r="X8" s="80">
        <f>Master!BM10</f>
        <v>454</v>
      </c>
      <c r="Y8" s="80">
        <f>Master!BD10</f>
        <v>460.4</v>
      </c>
      <c r="Z8" s="188">
        <f>Master!BF10</f>
        <v>144.80000000000001</v>
      </c>
      <c r="AA8" s="80">
        <f>Master!BG10</f>
        <v>147.30000000000001</v>
      </c>
      <c r="AB8" s="80">
        <f>Master!BH10</f>
        <v>5.6</v>
      </c>
      <c r="AC8" s="80">
        <f>Master!BI10</f>
        <v>125.7</v>
      </c>
      <c r="AD8" s="80"/>
      <c r="AE8" s="188">
        <f t="shared" si="4"/>
        <v>423.40000000000003</v>
      </c>
      <c r="AF8" s="188">
        <f t="shared" si="5"/>
        <v>30.599999999999966</v>
      </c>
      <c r="AG8" s="188">
        <f t="shared" si="6"/>
        <v>36.999999999999943</v>
      </c>
      <c r="AH8" s="189">
        <f t="shared" ref="AH8:AH35" si="8">AF8/X8</f>
        <v>6.7400881057268644E-2</v>
      </c>
      <c r="AI8" s="189">
        <f t="shared" ref="AI8:AI35" si="9">AG8/Y8</f>
        <v>8.0364900086880853E-2</v>
      </c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s="190" customFormat="1" x14ac:dyDescent="0.25">
      <c r="A9" s="3"/>
      <c r="B9" s="179">
        <f t="shared" si="7"/>
        <v>45965</v>
      </c>
      <c r="C9" s="180">
        <f>Master!B11</f>
        <v>0</v>
      </c>
      <c r="D9" s="180">
        <f>Master!F11</f>
        <v>0</v>
      </c>
      <c r="E9" s="181">
        <f>Master!J11</f>
        <v>0</v>
      </c>
      <c r="F9" s="182">
        <f>Master!U11+Master!Z11+Master!AE11</f>
        <v>0</v>
      </c>
      <c r="G9" s="183">
        <f>Master!AG11</f>
        <v>656</v>
      </c>
      <c r="H9" s="184">
        <f>Master!AH11</f>
        <v>147.04700000000003</v>
      </c>
      <c r="I9" s="185">
        <f>Master!AI11</f>
        <v>138.83099999999999</v>
      </c>
      <c r="J9" s="186">
        <f>Master!AK11</f>
        <v>7.1</v>
      </c>
      <c r="K9" s="186">
        <f>Master!AL11</f>
        <v>68.5</v>
      </c>
      <c r="L9" s="186">
        <f>Master!AN11</f>
        <v>139.5</v>
      </c>
      <c r="M9" s="186">
        <f>Master!AP11</f>
        <v>100.8</v>
      </c>
      <c r="N9" s="186">
        <f>Master!AJ11</f>
        <v>15.2</v>
      </c>
      <c r="O9" s="186">
        <f>Master!AM11</f>
        <v>11.1</v>
      </c>
      <c r="P9" s="186">
        <f>Master!AO11</f>
        <v>0</v>
      </c>
      <c r="Q9" s="186">
        <f>Master!AQ11</f>
        <v>10.5</v>
      </c>
      <c r="R9" s="186">
        <f t="shared" ref="R9:R14" si="10">SUM(H9:Q9)</f>
        <v>638.57800000000009</v>
      </c>
      <c r="S9" s="184">
        <f t="shared" si="3"/>
        <v>17.421999999999912</v>
      </c>
      <c r="T9" s="187">
        <f t="shared" si="1"/>
        <v>2.6557926829268157E-2</v>
      </c>
      <c r="U9" s="184">
        <f t="shared" ref="U9:U35" si="11">(F9+G9)-R9+U8</f>
        <v>105.27300000000014</v>
      </c>
      <c r="V9" s="187">
        <f>+U9/(F9+(SUM($G$6:G9)))</f>
        <v>4.1170512319124025E-2</v>
      </c>
      <c r="W9" s="208" t="s">
        <v>115</v>
      </c>
      <c r="X9" s="80">
        <f>Master!BM11</f>
        <v>513</v>
      </c>
      <c r="Y9" s="80">
        <f>Master!BD11</f>
        <v>518.79999999999995</v>
      </c>
      <c r="Z9" s="188">
        <f>Master!BF11</f>
        <v>153</v>
      </c>
      <c r="AA9" s="80">
        <f>Master!BG11</f>
        <v>147.5</v>
      </c>
      <c r="AB9" s="80">
        <f>Master!BH11</f>
        <v>46.300000000000004</v>
      </c>
      <c r="AC9" s="80">
        <f>Master!BI11</f>
        <v>124.1</v>
      </c>
      <c r="AD9" s="80"/>
      <c r="AE9" s="188">
        <f t="shared" si="4"/>
        <v>470.9</v>
      </c>
      <c r="AF9" s="188">
        <f t="shared" si="5"/>
        <v>42.100000000000023</v>
      </c>
      <c r="AG9" s="188">
        <f t="shared" si="6"/>
        <v>47.899999999999977</v>
      </c>
      <c r="AH9" s="189">
        <f t="shared" si="8"/>
        <v>8.2066276803118954E-2</v>
      </c>
      <c r="AI9" s="189">
        <f t="shared" si="9"/>
        <v>9.2328450269853479E-2</v>
      </c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s="190" customFormat="1" x14ac:dyDescent="0.25">
      <c r="A10" s="3"/>
      <c r="B10" s="179">
        <f t="shared" si="7"/>
        <v>45966</v>
      </c>
      <c r="C10" s="180">
        <f>Master!B12</f>
        <v>0</v>
      </c>
      <c r="D10" s="180">
        <f>Master!F12</f>
        <v>0</v>
      </c>
      <c r="E10" s="181">
        <f>Master!J12</f>
        <v>0</v>
      </c>
      <c r="F10" s="182">
        <f>Master!U12+Master!Z12+Master!AE12</f>
        <v>0</v>
      </c>
      <c r="G10" s="183">
        <f>Master!AG12</f>
        <v>580</v>
      </c>
      <c r="H10" s="184">
        <f>Master!AH12</f>
        <v>115.56500000000001</v>
      </c>
      <c r="I10" s="185">
        <f>Master!AI12</f>
        <v>141.54000000000002</v>
      </c>
      <c r="J10" s="186">
        <f>Master!AK12</f>
        <v>3.3</v>
      </c>
      <c r="K10" s="186">
        <f>Master!AL12</f>
        <v>45.6</v>
      </c>
      <c r="L10" s="186">
        <f>Master!AN12</f>
        <v>134.6</v>
      </c>
      <c r="M10" s="186">
        <f>Master!AP12</f>
        <v>85.1</v>
      </c>
      <c r="N10" s="186">
        <f>Master!AJ12</f>
        <v>15.2</v>
      </c>
      <c r="O10" s="186">
        <f>Master!AM12</f>
        <v>6</v>
      </c>
      <c r="P10" s="186">
        <f>Master!AO12</f>
        <v>0</v>
      </c>
      <c r="Q10" s="186">
        <f>Master!AQ12</f>
        <v>8.3000000000000007</v>
      </c>
      <c r="R10" s="186">
        <f t="shared" si="10"/>
        <v>555.20500000000004</v>
      </c>
      <c r="S10" s="184">
        <f t="shared" si="3"/>
        <v>24.794999999999959</v>
      </c>
      <c r="T10" s="187">
        <f t="shared" si="1"/>
        <v>4.2749999999999927E-2</v>
      </c>
      <c r="U10" s="184">
        <f t="shared" si="11"/>
        <v>130.0680000000001</v>
      </c>
      <c r="V10" s="187">
        <f>+U10/(F10+(SUM($G$6:G10)))</f>
        <v>4.1462543831686356E-2</v>
      </c>
      <c r="W10" s="208" t="s">
        <v>116</v>
      </c>
      <c r="X10" s="80">
        <f>Master!BM12</f>
        <v>530</v>
      </c>
      <c r="Y10" s="80">
        <f>Master!BD12</f>
        <v>532.6</v>
      </c>
      <c r="Z10" s="188">
        <f>Master!BF12</f>
        <v>154.19999999999999</v>
      </c>
      <c r="AA10" s="80">
        <f>Master!BG12</f>
        <v>140</v>
      </c>
      <c r="AB10" s="80">
        <f>Master!BH12</f>
        <v>112.6</v>
      </c>
      <c r="AC10" s="80">
        <f>Master!BI12</f>
        <v>66.099999999999994</v>
      </c>
      <c r="AD10" s="80"/>
      <c r="AE10" s="188">
        <f t="shared" si="4"/>
        <v>472.9</v>
      </c>
      <c r="AF10" s="188">
        <f t="shared" si="5"/>
        <v>57.100000000000023</v>
      </c>
      <c r="AG10" s="188">
        <f t="shared" si="6"/>
        <v>59.700000000000045</v>
      </c>
      <c r="AH10" s="189">
        <f t="shared" si="8"/>
        <v>0.10773584905660381</v>
      </c>
      <c r="AI10" s="189">
        <f t="shared" si="9"/>
        <v>0.11209162598573046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s="190" customFormat="1" x14ac:dyDescent="0.25">
      <c r="A11" s="3"/>
      <c r="B11" s="179">
        <f t="shared" si="7"/>
        <v>45967</v>
      </c>
      <c r="C11" s="180">
        <f>Master!B13</f>
        <v>0</v>
      </c>
      <c r="D11" s="180">
        <f>Master!F13</f>
        <v>0</v>
      </c>
      <c r="E11" s="181">
        <f>Master!J13</f>
        <v>0</v>
      </c>
      <c r="F11" s="182">
        <f>Master!U13+Master!Z13+Master!AE13</f>
        <v>0</v>
      </c>
      <c r="G11" s="183">
        <f>Master!AG13</f>
        <v>632</v>
      </c>
      <c r="H11" s="184">
        <f>Master!AH13</f>
        <v>116.557</v>
      </c>
      <c r="I11" s="185">
        <f>Master!AI13</f>
        <v>144.62700000000001</v>
      </c>
      <c r="J11" s="186">
        <f>Master!AK13</f>
        <v>4.3</v>
      </c>
      <c r="K11" s="186">
        <f>Master!AL13</f>
        <v>70.7</v>
      </c>
      <c r="L11" s="186">
        <f>Master!AN13</f>
        <v>137</v>
      </c>
      <c r="M11" s="186">
        <f>Master!AP13</f>
        <v>93.1</v>
      </c>
      <c r="N11" s="186">
        <f>Master!AJ13</f>
        <v>14.4</v>
      </c>
      <c r="O11" s="186">
        <f>Master!AM13</f>
        <v>11</v>
      </c>
      <c r="P11" s="186">
        <f>Master!AO13</f>
        <v>0</v>
      </c>
      <c r="Q11" s="186">
        <f>Master!AQ13</f>
        <v>7.9</v>
      </c>
      <c r="R11" s="186">
        <f t="shared" si="10"/>
        <v>599.58399999999995</v>
      </c>
      <c r="S11" s="184">
        <f t="shared" si="3"/>
        <v>32.416000000000054</v>
      </c>
      <c r="T11" s="187">
        <f t="shared" si="1"/>
        <v>5.1291139240506413E-2</v>
      </c>
      <c r="U11" s="184">
        <f t="shared" si="11"/>
        <v>162.48400000000015</v>
      </c>
      <c r="V11" s="187">
        <f>+U11/(F11+(SUM($G$6:G11)))</f>
        <v>4.3110639426903727E-2</v>
      </c>
      <c r="W11" s="208" t="s">
        <v>115</v>
      </c>
      <c r="X11" s="80">
        <f>Master!BM13</f>
        <v>544</v>
      </c>
      <c r="Y11" s="80">
        <f>Master!BD13</f>
        <v>560.5</v>
      </c>
      <c r="Z11" s="188">
        <f>Master!BF13</f>
        <v>147.69999999999999</v>
      </c>
      <c r="AA11" s="80">
        <f>Master!BG13</f>
        <v>153.4</v>
      </c>
      <c r="AB11" s="80">
        <f>Master!BH13</f>
        <v>143.30000000000001</v>
      </c>
      <c r="AC11" s="80">
        <f>Master!BI13</f>
        <v>45.7</v>
      </c>
      <c r="AD11" s="80"/>
      <c r="AE11" s="188">
        <f t="shared" si="4"/>
        <v>490.1</v>
      </c>
      <c r="AF11" s="188">
        <f t="shared" si="5"/>
        <v>53.899999999999977</v>
      </c>
      <c r="AG11" s="188">
        <f t="shared" si="6"/>
        <v>70.399999999999977</v>
      </c>
      <c r="AH11" s="189">
        <f t="shared" si="8"/>
        <v>9.908088235294113E-2</v>
      </c>
      <c r="AI11" s="189">
        <f t="shared" si="9"/>
        <v>0.12560214094558425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s="190" customFormat="1" x14ac:dyDescent="0.25">
      <c r="A12" s="3"/>
      <c r="B12" s="179">
        <f t="shared" si="7"/>
        <v>45968</v>
      </c>
      <c r="C12" s="180">
        <f>Master!B14</f>
        <v>0</v>
      </c>
      <c r="D12" s="180">
        <f>Master!F14</f>
        <v>0</v>
      </c>
      <c r="E12" s="181">
        <f>Master!J14</f>
        <v>0</v>
      </c>
      <c r="F12" s="182">
        <f>Master!U14+Master!Z14+Master!AE14</f>
        <v>0</v>
      </c>
      <c r="G12" s="183">
        <f>Master!AG14</f>
        <v>637</v>
      </c>
      <c r="H12" s="184">
        <f>Master!AH14</f>
        <v>118.98599999999999</v>
      </c>
      <c r="I12" s="185">
        <f>Master!AI14</f>
        <v>125.8</v>
      </c>
      <c r="J12" s="186">
        <f>Master!AK14</f>
        <v>27.7</v>
      </c>
      <c r="K12" s="186">
        <f>Master!AL14</f>
        <v>66.099999999999994</v>
      </c>
      <c r="L12" s="186">
        <f>Master!AN14</f>
        <v>136.4</v>
      </c>
      <c r="M12" s="186">
        <f>Master!AP14</f>
        <v>98.9</v>
      </c>
      <c r="N12" s="186">
        <f>Master!AJ14</f>
        <v>12.8</v>
      </c>
      <c r="O12" s="186">
        <f>Master!AM14</f>
        <v>10.8</v>
      </c>
      <c r="P12" s="186">
        <f>Master!AO14</f>
        <v>0</v>
      </c>
      <c r="Q12" s="186">
        <f>Master!AQ14</f>
        <v>9</v>
      </c>
      <c r="R12" s="186">
        <f t="shared" si="10"/>
        <v>606.48599999999988</v>
      </c>
      <c r="S12" s="184">
        <f t="shared" si="3"/>
        <v>30.514000000000124</v>
      </c>
      <c r="T12" s="187">
        <f t="shared" si="1"/>
        <v>4.7902668759811813E-2</v>
      </c>
      <c r="U12" s="184">
        <f t="shared" si="11"/>
        <v>192.99800000000027</v>
      </c>
      <c r="V12" s="187">
        <f>+U12/(F12+(SUM($G$6:G12)))</f>
        <v>4.3803449841125802E-2</v>
      </c>
      <c r="W12" s="208" t="s">
        <v>115</v>
      </c>
      <c r="X12" s="80">
        <f>Master!BM14</f>
        <v>592</v>
      </c>
      <c r="Y12" s="80">
        <f>Master!BD14</f>
        <v>583.9</v>
      </c>
      <c r="Z12" s="188">
        <f>Master!BF14</f>
        <v>157.19999999999999</v>
      </c>
      <c r="AA12" s="80">
        <f>Master!BG14</f>
        <v>157.19999999999999</v>
      </c>
      <c r="AB12" s="80">
        <f>Master!BH14</f>
        <v>136.19999999999999</v>
      </c>
      <c r="AC12" s="80">
        <f>Master!BI14</f>
        <v>112.5</v>
      </c>
      <c r="AD12" s="80"/>
      <c r="AE12" s="188">
        <f t="shared" si="4"/>
        <v>563.09999999999991</v>
      </c>
      <c r="AF12" s="188">
        <f t="shared" si="5"/>
        <v>28.900000000000091</v>
      </c>
      <c r="AG12" s="188">
        <f t="shared" si="6"/>
        <v>20.800000000000068</v>
      </c>
      <c r="AH12" s="189">
        <f t="shared" si="8"/>
        <v>4.8817567567567721E-2</v>
      </c>
      <c r="AI12" s="189">
        <f t="shared" si="9"/>
        <v>3.5622538105840158E-2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s="190" customFormat="1" x14ac:dyDescent="0.25">
      <c r="A13" s="3"/>
      <c r="B13" s="179">
        <f t="shared" si="7"/>
        <v>45969</v>
      </c>
      <c r="C13" s="180">
        <f>Master!B15</f>
        <v>0</v>
      </c>
      <c r="D13" s="180">
        <f>Master!F15</f>
        <v>0</v>
      </c>
      <c r="E13" s="181">
        <f>Master!J15</f>
        <v>0</v>
      </c>
      <c r="F13" s="182">
        <f>Master!U15+Master!Z15+Master!AE15</f>
        <v>0</v>
      </c>
      <c r="G13" s="183">
        <f>Master!AG15</f>
        <v>647</v>
      </c>
      <c r="H13" s="184">
        <f>Master!AH15</f>
        <v>113.193</v>
      </c>
      <c r="I13" s="185">
        <f>Master!AI15</f>
        <v>131.1</v>
      </c>
      <c r="J13" s="186">
        <f>Master!AK15</f>
        <v>29.6</v>
      </c>
      <c r="K13" s="186">
        <f>Master!AL15</f>
        <v>66.599999999999994</v>
      </c>
      <c r="L13" s="186">
        <f>Master!AN15</f>
        <v>137.80000000000001</v>
      </c>
      <c r="M13" s="186">
        <f>Master!AP15</f>
        <v>99.5</v>
      </c>
      <c r="N13" s="186">
        <f>Master!AJ15</f>
        <v>14.4</v>
      </c>
      <c r="O13" s="186">
        <f>Master!AM15</f>
        <v>10.4</v>
      </c>
      <c r="P13" s="186">
        <f>Master!AO15</f>
        <v>0</v>
      </c>
      <c r="Q13" s="186">
        <f>Master!AQ15</f>
        <v>9.4</v>
      </c>
      <c r="R13" s="186">
        <f t="shared" si="10"/>
        <v>611.99300000000005</v>
      </c>
      <c r="S13" s="184">
        <f t="shared" si="3"/>
        <v>35.006999999999948</v>
      </c>
      <c r="T13" s="187">
        <f t="shared" si="1"/>
        <v>5.4106646058732534E-2</v>
      </c>
      <c r="U13" s="184">
        <f t="shared" si="11"/>
        <v>228.00500000000022</v>
      </c>
      <c r="V13" s="187">
        <f>+U13/(F13+(SUM($G$6:G13)))</f>
        <v>4.512269938650311E-2</v>
      </c>
      <c r="W13" s="208" t="s">
        <v>115</v>
      </c>
      <c r="X13" s="80">
        <f>Master!BM15</f>
        <v>618</v>
      </c>
      <c r="Y13" s="80">
        <f>Master!BD15</f>
        <v>627.20000000000005</v>
      </c>
      <c r="Z13" s="188">
        <f>Master!BF15</f>
        <v>160.30000000000001</v>
      </c>
      <c r="AA13" s="80">
        <f>Master!BG15</f>
        <v>157.80000000000001</v>
      </c>
      <c r="AB13" s="80">
        <f>Master!BH15</f>
        <v>133.30000000000001</v>
      </c>
      <c r="AC13" s="80">
        <f>Master!BI15</f>
        <v>128.30000000000001</v>
      </c>
      <c r="AD13" s="80"/>
      <c r="AE13" s="188">
        <f t="shared" si="4"/>
        <v>579.70000000000005</v>
      </c>
      <c r="AF13" s="188">
        <f t="shared" si="5"/>
        <v>38.299999999999955</v>
      </c>
      <c r="AG13" s="188">
        <f t="shared" si="6"/>
        <v>47.5</v>
      </c>
      <c r="AH13" s="189">
        <f t="shared" si="8"/>
        <v>6.1974110032362383E-2</v>
      </c>
      <c r="AI13" s="189">
        <f t="shared" si="9"/>
        <v>7.5733418367346927E-2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s="190" customFormat="1" x14ac:dyDescent="0.25">
      <c r="A14" s="3"/>
      <c r="B14" s="179">
        <f t="shared" si="7"/>
        <v>45970</v>
      </c>
      <c r="C14" s="180">
        <f>Master!B16</f>
        <v>0</v>
      </c>
      <c r="D14" s="180">
        <f>Master!F16</f>
        <v>0</v>
      </c>
      <c r="E14" s="181">
        <f>Master!J16</f>
        <v>0</v>
      </c>
      <c r="F14" s="182">
        <f>Master!U16+Master!Z16+Master!AE16</f>
        <v>0</v>
      </c>
      <c r="G14" s="183">
        <f>Master!AG16</f>
        <v>653</v>
      </c>
      <c r="H14" s="184">
        <f>Master!AH16</f>
        <v>117.13600000000001</v>
      </c>
      <c r="I14" s="185">
        <f>Master!AI16</f>
        <v>128.4</v>
      </c>
      <c r="J14" s="186">
        <f>Master!AK16</f>
        <v>34.799999999999997</v>
      </c>
      <c r="K14" s="186">
        <f>Master!AL16</f>
        <v>65.8</v>
      </c>
      <c r="L14" s="186">
        <f>Master!AN16</f>
        <v>138.5</v>
      </c>
      <c r="M14" s="186">
        <f>Master!AP16</f>
        <v>101.5</v>
      </c>
      <c r="N14" s="186">
        <f>Master!AJ16</f>
        <v>15.2</v>
      </c>
      <c r="O14" s="186">
        <f>Master!AM16</f>
        <v>10.8</v>
      </c>
      <c r="P14" s="186">
        <f>Master!AO16</f>
        <v>0</v>
      </c>
      <c r="Q14" s="186">
        <f>Master!AQ16</f>
        <v>10.8</v>
      </c>
      <c r="R14" s="186">
        <f t="shared" si="10"/>
        <v>622.93599999999992</v>
      </c>
      <c r="S14" s="184">
        <f t="shared" si="3"/>
        <v>30.064000000000078</v>
      </c>
      <c r="T14" s="187">
        <f t="shared" si="1"/>
        <v>4.6039816232771945E-2</v>
      </c>
      <c r="U14" s="184">
        <f t="shared" si="11"/>
        <v>258.0690000000003</v>
      </c>
      <c r="V14" s="187">
        <f>+U14/(F14+(SUM($G$6:G14)))</f>
        <v>4.5227655099894903E-2</v>
      </c>
      <c r="W14" s="208" t="s">
        <v>115</v>
      </c>
      <c r="X14" s="80">
        <f>Master!BM16</f>
        <v>601</v>
      </c>
      <c r="Y14" s="80">
        <f>Master!BD16</f>
        <v>612.20000000000005</v>
      </c>
      <c r="Z14" s="188">
        <f>Master!BF16</f>
        <v>146.1</v>
      </c>
      <c r="AA14" s="80">
        <f>Master!BG16</f>
        <v>158</v>
      </c>
      <c r="AB14" s="80">
        <f>Master!BH16</f>
        <v>126.8</v>
      </c>
      <c r="AC14" s="80">
        <f>Master!BI16</f>
        <v>124.7</v>
      </c>
      <c r="AD14" s="80"/>
      <c r="AE14" s="188">
        <f t="shared" si="4"/>
        <v>555.6</v>
      </c>
      <c r="AF14" s="188">
        <f t="shared" si="5"/>
        <v>45.399999999999977</v>
      </c>
      <c r="AG14" s="188">
        <f t="shared" si="6"/>
        <v>56.600000000000023</v>
      </c>
      <c r="AH14" s="189">
        <f t="shared" si="8"/>
        <v>7.5540765391014938E-2</v>
      </c>
      <c r="AI14" s="189">
        <f t="shared" si="9"/>
        <v>9.245344658608301E-2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s="190" customFormat="1" x14ac:dyDescent="0.25">
      <c r="A15" s="3"/>
      <c r="B15" s="179">
        <f t="shared" si="7"/>
        <v>45971</v>
      </c>
      <c r="C15" s="180">
        <f>Master!B17</f>
        <v>0</v>
      </c>
      <c r="D15" s="180">
        <f>Master!F17</f>
        <v>0</v>
      </c>
      <c r="E15" s="181">
        <f>Master!J17</f>
        <v>0</v>
      </c>
      <c r="F15" s="182">
        <f>Master!U17+Master!Z17+Master!AE17</f>
        <v>0</v>
      </c>
      <c r="G15" s="183">
        <f>Master!AG17</f>
        <v>661</v>
      </c>
      <c r="H15" s="184">
        <f>Master!AH17</f>
        <v>119.291</v>
      </c>
      <c r="I15" s="185">
        <f>Master!AI17</f>
        <v>130.5</v>
      </c>
      <c r="J15" s="186">
        <f>Master!AK17</f>
        <v>33.799999999999997</v>
      </c>
      <c r="K15" s="186">
        <f>Master!AL17</f>
        <v>65.900000000000006</v>
      </c>
      <c r="L15" s="186">
        <f>Master!AN17</f>
        <v>136.30000000000001</v>
      </c>
      <c r="M15" s="186">
        <f>Master!AP17</f>
        <v>99.2</v>
      </c>
      <c r="N15" s="186">
        <f>Master!AJ17</f>
        <v>13.6</v>
      </c>
      <c r="O15" s="186">
        <f>Master!AM17</f>
        <v>9.6</v>
      </c>
      <c r="P15" s="186">
        <f>Master!AO17</f>
        <v>0</v>
      </c>
      <c r="Q15" s="186">
        <f>Master!AQ17</f>
        <v>9.3000000000000007</v>
      </c>
      <c r="R15" s="186">
        <f t="shared" ref="R15" si="12">SUM(H15:Q15)</f>
        <v>617.49099999999999</v>
      </c>
      <c r="S15" s="184">
        <f t="shared" si="3"/>
        <v>43.509000000000015</v>
      </c>
      <c r="T15" s="187">
        <f t="shared" si="1"/>
        <v>6.5822995461422104E-2</v>
      </c>
      <c r="U15" s="184">
        <f t="shared" si="11"/>
        <v>301.57800000000032</v>
      </c>
      <c r="V15" s="187">
        <f>+U15/(F15+(SUM($G$6:G15)))</f>
        <v>4.7365792366891833E-2</v>
      </c>
      <c r="W15" s="208" t="s">
        <v>115</v>
      </c>
      <c r="X15" s="80">
        <f>Master!BM17</f>
        <v>551</v>
      </c>
      <c r="Y15" s="80">
        <f>Master!BD17</f>
        <v>535.5</v>
      </c>
      <c r="Z15" s="188">
        <f>Master!BF17</f>
        <v>102</v>
      </c>
      <c r="AA15" s="80">
        <f>Master!BG17</f>
        <v>157.80000000000001</v>
      </c>
      <c r="AB15" s="80">
        <f>Master!BH17</f>
        <v>141.9</v>
      </c>
      <c r="AC15" s="80">
        <f>Master!BI17</f>
        <v>114</v>
      </c>
      <c r="AD15" s="80"/>
      <c r="AE15" s="188">
        <f t="shared" si="4"/>
        <v>515.70000000000005</v>
      </c>
      <c r="AF15" s="188">
        <f t="shared" si="5"/>
        <v>35.299999999999955</v>
      </c>
      <c r="AG15" s="188">
        <f t="shared" si="6"/>
        <v>19.799999999999955</v>
      </c>
      <c r="AH15" s="189">
        <f t="shared" si="8"/>
        <v>6.4065335753175967E-2</v>
      </c>
      <c r="AI15" s="189">
        <f t="shared" si="9"/>
        <v>3.6974789915966304E-2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s="190" customFormat="1" x14ac:dyDescent="0.25">
      <c r="A16" s="3"/>
      <c r="B16" s="179">
        <f t="shared" si="7"/>
        <v>45972</v>
      </c>
      <c r="C16" s="180">
        <f>Master!B18</f>
        <v>0</v>
      </c>
      <c r="D16" s="180">
        <f>Master!F18</f>
        <v>0</v>
      </c>
      <c r="E16" s="181">
        <f>Master!J18</f>
        <v>0</v>
      </c>
      <c r="F16" s="182">
        <f>Master!U18+Master!Z18+Master!AE18</f>
        <v>0</v>
      </c>
      <c r="G16" s="183">
        <f>Master!AG18</f>
        <v>664</v>
      </c>
      <c r="H16" s="184">
        <f>Master!AH18</f>
        <v>122.351</v>
      </c>
      <c r="I16" s="185">
        <f>Master!AI18</f>
        <v>135.02000000000001</v>
      </c>
      <c r="J16" s="186">
        <f>Master!AK18</f>
        <v>34</v>
      </c>
      <c r="K16" s="186">
        <f>Master!AL18</f>
        <v>69.900000000000006</v>
      </c>
      <c r="L16" s="186">
        <f>Master!AN18</f>
        <v>128.6</v>
      </c>
      <c r="M16" s="186">
        <f>Master!AP18</f>
        <v>101.1</v>
      </c>
      <c r="N16" s="186">
        <f>Master!AJ18</f>
        <v>14.4</v>
      </c>
      <c r="O16" s="186">
        <f>Master!AM18</f>
        <v>9.8000000000000007</v>
      </c>
      <c r="P16" s="186">
        <f>Master!AO18</f>
        <v>0</v>
      </c>
      <c r="Q16" s="186">
        <f>Master!AQ18</f>
        <v>9.1</v>
      </c>
      <c r="R16" s="186">
        <f t="shared" ref="R16" si="13">SUM(H16:Q16)</f>
        <v>624.27099999999996</v>
      </c>
      <c r="S16" s="184">
        <f t="shared" si="3"/>
        <v>39.729000000000042</v>
      </c>
      <c r="T16" s="187">
        <f t="shared" si="1"/>
        <v>5.9832831325301268E-2</v>
      </c>
      <c r="U16" s="184">
        <f t="shared" si="11"/>
        <v>341.30700000000036</v>
      </c>
      <c r="V16" s="187">
        <f>+U16/(F16+(SUM($G$6:G16)))</f>
        <v>4.8543165979234866E-2</v>
      </c>
      <c r="W16" s="208" t="s">
        <v>115</v>
      </c>
      <c r="X16" s="80">
        <f>Master!BM18</f>
        <v>458</v>
      </c>
      <c r="Y16" s="80">
        <f>Master!BD18</f>
        <v>443.8</v>
      </c>
      <c r="Z16" s="188">
        <f>Master!BF18</f>
        <v>4.5999999999999996</v>
      </c>
      <c r="AA16" s="80">
        <f>Master!BG18</f>
        <v>155.1</v>
      </c>
      <c r="AB16" s="80">
        <f>Master!BH18</f>
        <v>134.19999999999999</v>
      </c>
      <c r="AC16" s="80">
        <f>Master!BI18</f>
        <v>116.8</v>
      </c>
      <c r="AD16" s="80"/>
      <c r="AE16" s="188">
        <f t="shared" si="4"/>
        <v>410.7</v>
      </c>
      <c r="AF16" s="188">
        <f t="shared" si="5"/>
        <v>47.300000000000011</v>
      </c>
      <c r="AG16" s="188">
        <f t="shared" si="6"/>
        <v>33.100000000000023</v>
      </c>
      <c r="AH16" s="189">
        <f t="shared" si="8"/>
        <v>0.1032751091703057</v>
      </c>
      <c r="AI16" s="189">
        <f t="shared" si="9"/>
        <v>7.4583145561063588E-2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s="190" customFormat="1" x14ac:dyDescent="0.25">
      <c r="A17" s="3"/>
      <c r="B17" s="179">
        <f t="shared" si="7"/>
        <v>45973</v>
      </c>
      <c r="C17" s="180">
        <f>Master!B19</f>
        <v>0</v>
      </c>
      <c r="D17" s="180">
        <f>Master!F19</f>
        <v>0</v>
      </c>
      <c r="E17" s="181">
        <f>Master!J19</f>
        <v>0</v>
      </c>
      <c r="F17" s="182">
        <f>Master!U19+Master!Z19+Master!AE19</f>
        <v>0</v>
      </c>
      <c r="G17" s="183">
        <f>Master!AG19</f>
        <v>682</v>
      </c>
      <c r="H17" s="184">
        <f>Master!AH19</f>
        <v>122.351</v>
      </c>
      <c r="I17" s="185">
        <f>Master!AI19</f>
        <v>137.70400000000001</v>
      </c>
      <c r="J17" s="186">
        <f>Master!AK19</f>
        <v>24.5</v>
      </c>
      <c r="K17" s="186">
        <f>Master!AL19</f>
        <v>71.599999999999994</v>
      </c>
      <c r="L17" s="186">
        <f>Master!AN19</f>
        <v>132.5</v>
      </c>
      <c r="M17" s="186">
        <f>Master!AP19</f>
        <v>102.1</v>
      </c>
      <c r="N17" s="186">
        <f>Master!AJ19</f>
        <v>13.6</v>
      </c>
      <c r="O17" s="186">
        <f>Master!AM19</f>
        <v>8.6</v>
      </c>
      <c r="P17" s="186">
        <f>Master!AO19</f>
        <v>0</v>
      </c>
      <c r="Q17" s="186">
        <f>Master!AQ19</f>
        <v>9.4</v>
      </c>
      <c r="R17" s="186">
        <f t="shared" ref="R17" si="14">SUM(H17:Q17)</f>
        <v>622.35500000000002</v>
      </c>
      <c r="S17" s="184">
        <f t="shared" si="3"/>
        <v>59.644999999999982</v>
      </c>
      <c r="T17" s="187">
        <f t="shared" si="1"/>
        <v>8.7456011730205258E-2</v>
      </c>
      <c r="U17" s="184">
        <f t="shared" si="11"/>
        <v>400.95200000000034</v>
      </c>
      <c r="V17" s="187">
        <f>+U17/(F17+(SUM($G$6:G17)))</f>
        <v>5.1983923246467049E-2</v>
      </c>
      <c r="W17" s="208" t="s">
        <v>115</v>
      </c>
      <c r="X17" s="80">
        <f>Master!BM19</f>
        <v>455</v>
      </c>
      <c r="Y17" s="80">
        <f>Master!BD19</f>
        <v>466.4</v>
      </c>
      <c r="Z17" s="188">
        <f>Master!BF19</f>
        <v>29.1</v>
      </c>
      <c r="AA17" s="80">
        <f>Master!BG19</f>
        <v>148.19999999999999</v>
      </c>
      <c r="AB17" s="80">
        <f>Master!BH19</f>
        <v>133.80000000000001</v>
      </c>
      <c r="AC17" s="80">
        <f>Master!BI19</f>
        <v>116.3</v>
      </c>
      <c r="AD17" s="80"/>
      <c r="AE17" s="188">
        <f t="shared" si="4"/>
        <v>427.40000000000003</v>
      </c>
      <c r="AF17" s="188">
        <f t="shared" si="5"/>
        <v>27.599999999999966</v>
      </c>
      <c r="AG17" s="188">
        <f t="shared" si="6"/>
        <v>38.999999999999943</v>
      </c>
      <c r="AH17" s="189">
        <f t="shared" si="8"/>
        <v>6.0659340659340581E-2</v>
      </c>
      <c r="AI17" s="189">
        <f t="shared" si="9"/>
        <v>8.3619210977701419E-2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s="190" customFormat="1" x14ac:dyDescent="0.25">
      <c r="A18" s="3"/>
      <c r="B18" s="179">
        <f t="shared" si="7"/>
        <v>45974</v>
      </c>
      <c r="C18" s="180">
        <f>Master!B20</f>
        <v>0</v>
      </c>
      <c r="D18" s="180">
        <f>Master!F20</f>
        <v>0</v>
      </c>
      <c r="E18" s="181">
        <f>Master!J20</f>
        <v>0</v>
      </c>
      <c r="F18" s="182">
        <f>Master!U20+Master!Z20+Master!AE20</f>
        <v>0</v>
      </c>
      <c r="G18" s="183">
        <f>Master!AG20</f>
        <v>609</v>
      </c>
      <c r="H18" s="184">
        <f>Master!AH20</f>
        <v>95.803999999999988</v>
      </c>
      <c r="I18" s="185">
        <f>Master!AI20</f>
        <v>140.548</v>
      </c>
      <c r="J18" s="186">
        <f>Master!AK20</f>
        <v>13.5</v>
      </c>
      <c r="K18" s="186">
        <f>Master!AL20</f>
        <v>61.5</v>
      </c>
      <c r="L18" s="186">
        <f>Master!AN20</f>
        <v>131.9</v>
      </c>
      <c r="M18" s="186">
        <f>Master!AP20</f>
        <v>72</v>
      </c>
      <c r="N18" s="186">
        <f>Master!AJ20</f>
        <v>14.4</v>
      </c>
      <c r="O18" s="186">
        <f>Master!AM20</f>
        <v>8.1</v>
      </c>
      <c r="P18" s="186">
        <f>Master!AO20</f>
        <v>0</v>
      </c>
      <c r="Q18" s="186">
        <f>Master!AQ20</f>
        <v>7.2</v>
      </c>
      <c r="R18" s="186">
        <f t="shared" ref="R18" si="15">SUM(H18:Q18)</f>
        <v>544.952</v>
      </c>
      <c r="S18" s="184">
        <f t="shared" si="3"/>
        <v>64.048000000000002</v>
      </c>
      <c r="T18" s="187">
        <f t="shared" si="1"/>
        <v>0.10516912972085386</v>
      </c>
      <c r="U18" s="184">
        <f t="shared" si="11"/>
        <v>465.00000000000034</v>
      </c>
      <c r="V18" s="187">
        <f>+U18/(F18+(SUM($G$6:G18)))</f>
        <v>5.5875991348233636E-2</v>
      </c>
      <c r="W18" s="208" t="s">
        <v>118</v>
      </c>
      <c r="X18" s="80">
        <f>Master!BM20</f>
        <v>454</v>
      </c>
      <c r="Y18" s="80">
        <f>Master!BD20</f>
        <v>465.8</v>
      </c>
      <c r="Z18" s="188">
        <f>Master!BF20</f>
        <v>0</v>
      </c>
      <c r="AA18" s="80">
        <f>Master!BG20</f>
        <v>152.5</v>
      </c>
      <c r="AB18" s="80">
        <f>Master!BH20</f>
        <v>145.39999999999998</v>
      </c>
      <c r="AC18" s="80">
        <f>Master!BI20</f>
        <v>119.3</v>
      </c>
      <c r="AD18" s="80"/>
      <c r="AE18" s="188">
        <f t="shared" si="4"/>
        <v>417.2</v>
      </c>
      <c r="AF18" s="188">
        <f t="shared" si="5"/>
        <v>36.800000000000011</v>
      </c>
      <c r="AG18" s="188">
        <f t="shared" si="6"/>
        <v>48.600000000000023</v>
      </c>
      <c r="AH18" s="189">
        <f t="shared" si="8"/>
        <v>8.1057268722466991E-2</v>
      </c>
      <c r="AI18" s="189">
        <f t="shared" si="9"/>
        <v>0.10433662516101336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s="190" customFormat="1" x14ac:dyDescent="0.25">
      <c r="A19" s="3"/>
      <c r="B19" s="179">
        <f t="shared" si="7"/>
        <v>45975</v>
      </c>
      <c r="C19" s="180">
        <f>Master!B21</f>
        <v>0</v>
      </c>
      <c r="D19" s="180">
        <f>Master!F21</f>
        <v>0</v>
      </c>
      <c r="E19" s="181">
        <f>Master!J21</f>
        <v>0</v>
      </c>
      <c r="F19" s="182">
        <f>Master!U21+Master!Z21+Master!AE21</f>
        <v>0</v>
      </c>
      <c r="G19" s="183">
        <f>Master!AG21</f>
        <v>658</v>
      </c>
      <c r="H19" s="184">
        <f>Master!AH21</f>
        <v>115.551</v>
      </c>
      <c r="I19" s="185">
        <f>Master!AI21</f>
        <v>139.785</v>
      </c>
      <c r="J19" s="186">
        <f>Master!AK21</f>
        <v>21.4</v>
      </c>
      <c r="K19" s="186">
        <f>Master!AL21</f>
        <v>68.8</v>
      </c>
      <c r="L19" s="186">
        <f>Master!AN21</f>
        <v>126.5</v>
      </c>
      <c r="M19" s="186">
        <f>Master!AP21</f>
        <v>99.6</v>
      </c>
      <c r="N19" s="186">
        <f>Master!AJ21</f>
        <v>13.6</v>
      </c>
      <c r="O19" s="186">
        <f>Master!AM21</f>
        <v>9.6999999999999993</v>
      </c>
      <c r="P19" s="186">
        <f>Master!AO21</f>
        <v>0</v>
      </c>
      <c r="Q19" s="186">
        <f>Master!AQ21</f>
        <v>10.199999999999999</v>
      </c>
      <c r="R19" s="186">
        <f t="shared" ref="R19" si="16">SUM(H19:Q19)</f>
        <v>605.13600000000008</v>
      </c>
      <c r="S19" s="184">
        <f t="shared" si="3"/>
        <v>52.863999999999919</v>
      </c>
      <c r="T19" s="187">
        <f t="shared" si="1"/>
        <v>8.0340425531914769E-2</v>
      </c>
      <c r="U19" s="184">
        <f t="shared" si="11"/>
        <v>517.86400000000026</v>
      </c>
      <c r="V19" s="187">
        <f>+U19/(F19+(SUM($G$6:G19)))</f>
        <v>5.7668596881959938E-2</v>
      </c>
      <c r="W19" s="208" t="s">
        <v>115</v>
      </c>
      <c r="X19" s="80">
        <f>Master!BM21</f>
        <v>571</v>
      </c>
      <c r="Y19" s="80">
        <f>Master!BD21</f>
        <v>583</v>
      </c>
      <c r="Z19" s="188">
        <f>Master!BF21</f>
        <v>95</v>
      </c>
      <c r="AA19" s="80">
        <f>Master!BG21</f>
        <v>160.1</v>
      </c>
      <c r="AB19" s="80">
        <f>Master!BH21</f>
        <v>150.9</v>
      </c>
      <c r="AC19" s="80">
        <f>Master!BI21</f>
        <v>127.5</v>
      </c>
      <c r="AD19" s="80"/>
      <c r="AE19" s="188">
        <f t="shared" si="4"/>
        <v>533.5</v>
      </c>
      <c r="AF19" s="188">
        <f t="shared" si="5"/>
        <v>37.5</v>
      </c>
      <c r="AG19" s="188">
        <f t="shared" si="6"/>
        <v>49.5</v>
      </c>
      <c r="AH19" s="189">
        <f t="shared" si="8"/>
        <v>6.5674255691768824E-2</v>
      </c>
      <c r="AI19" s="189">
        <f t="shared" si="9"/>
        <v>8.4905660377358486E-2</v>
      </c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s="190" customFormat="1" x14ac:dyDescent="0.25">
      <c r="A20" s="3"/>
      <c r="B20" s="179">
        <f t="shared" si="7"/>
        <v>45976</v>
      </c>
      <c r="C20" s="180">
        <f>Master!B22</f>
        <v>0</v>
      </c>
      <c r="D20" s="180">
        <f>Master!F22</f>
        <v>0</v>
      </c>
      <c r="E20" s="181">
        <f>Master!J22</f>
        <v>0</v>
      </c>
      <c r="F20" s="182">
        <f>Master!U22+Master!Z22+Master!AE22</f>
        <v>0</v>
      </c>
      <c r="G20" s="183">
        <f>Master!AG22</f>
        <v>664</v>
      </c>
      <c r="H20" s="184">
        <f>Master!AH22</f>
        <v>120.89399999999999</v>
      </c>
      <c r="I20" s="185">
        <f>Master!AI22</f>
        <v>126.21899999999999</v>
      </c>
      <c r="J20" s="186">
        <f>Master!AK22</f>
        <v>19</v>
      </c>
      <c r="K20" s="186">
        <f>Master!AL22</f>
        <v>70.8</v>
      </c>
      <c r="L20" s="186">
        <f>Master!AN22</f>
        <v>126.9</v>
      </c>
      <c r="M20" s="186">
        <f>Master!AP22</f>
        <v>101.8</v>
      </c>
      <c r="N20" s="186">
        <f>Master!AJ22</f>
        <v>17.600000000000001</v>
      </c>
      <c r="O20" s="186">
        <f>Master!AM22</f>
        <v>10.8</v>
      </c>
      <c r="P20" s="186">
        <f>Master!AO22</f>
        <v>0</v>
      </c>
      <c r="Q20" s="186">
        <f>Master!AQ22</f>
        <v>10.8</v>
      </c>
      <c r="R20" s="186">
        <f t="shared" ref="R20:R21" si="17">SUM(H20:Q20)</f>
        <v>604.81299999999987</v>
      </c>
      <c r="S20" s="184">
        <f t="shared" si="3"/>
        <v>59.187000000000126</v>
      </c>
      <c r="T20" s="187">
        <f t="shared" si="1"/>
        <v>8.9137048192771268E-2</v>
      </c>
      <c r="U20" s="184">
        <f t="shared" si="11"/>
        <v>577.05100000000039</v>
      </c>
      <c r="V20" s="187">
        <f>+U20/(F20+(SUM($G$6:G20)))</f>
        <v>5.9835234342596473E-2</v>
      </c>
      <c r="W20" s="208" t="s">
        <v>115</v>
      </c>
      <c r="X20" s="80">
        <f>Master!BM22</f>
        <v>607</v>
      </c>
      <c r="Y20" s="80">
        <f>Master!BD22</f>
        <v>590.29999999999995</v>
      </c>
      <c r="Z20" s="188">
        <f>Master!BF22</f>
        <v>128.4</v>
      </c>
      <c r="AA20" s="80">
        <f>Master!BG22</f>
        <v>150.1</v>
      </c>
      <c r="AB20" s="80">
        <f>Master!BH22</f>
        <v>152.5</v>
      </c>
      <c r="AC20" s="80">
        <f>Master!BI22</f>
        <v>126.3</v>
      </c>
      <c r="AD20" s="80"/>
      <c r="AE20" s="188">
        <f t="shared" si="4"/>
        <v>557.29999999999995</v>
      </c>
      <c r="AF20" s="188">
        <f t="shared" si="5"/>
        <v>49.700000000000045</v>
      </c>
      <c r="AG20" s="188">
        <f t="shared" si="6"/>
        <v>33</v>
      </c>
      <c r="AH20" s="189">
        <f t="shared" si="8"/>
        <v>8.1878088962108811E-2</v>
      </c>
      <c r="AI20" s="189">
        <f t="shared" si="9"/>
        <v>5.5903777740132138E-2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s="190" customFormat="1" x14ac:dyDescent="0.25">
      <c r="A21" s="3"/>
      <c r="B21" s="179">
        <f t="shared" si="7"/>
        <v>45977</v>
      </c>
      <c r="C21" s="180">
        <f>Master!B23</f>
        <v>0</v>
      </c>
      <c r="D21" s="180">
        <f>Master!F23</f>
        <v>0</v>
      </c>
      <c r="E21" s="181">
        <f>Master!J23</f>
        <v>0</v>
      </c>
      <c r="F21" s="182">
        <f>Master!U23+Master!Z23+Master!AE23</f>
        <v>0</v>
      </c>
      <c r="G21" s="183">
        <f>Master!AG23</f>
        <v>696</v>
      </c>
      <c r="H21" s="184">
        <f>Master!AH23</f>
        <v>124.68400000000001</v>
      </c>
      <c r="I21" s="185">
        <f>Master!AI23</f>
        <v>135.37299999999999</v>
      </c>
      <c r="J21" s="186">
        <f>Master!AK23</f>
        <v>54.8</v>
      </c>
      <c r="K21" s="186">
        <f>Master!AL23</f>
        <v>71.5</v>
      </c>
      <c r="L21" s="186">
        <f>Master!AN23</f>
        <v>123.8</v>
      </c>
      <c r="M21" s="186">
        <f>Master!AP23</f>
        <v>82.4</v>
      </c>
      <c r="N21" s="186">
        <f>Master!AJ23</f>
        <v>16.100000000000001</v>
      </c>
      <c r="O21" s="186">
        <f>Master!AM23</f>
        <v>12</v>
      </c>
      <c r="P21" s="186">
        <f>Master!AO23</f>
        <v>0</v>
      </c>
      <c r="Q21" s="186">
        <f>Master!AQ23</f>
        <v>9.6</v>
      </c>
      <c r="R21" s="186">
        <f t="shared" si="17"/>
        <v>630.25700000000006</v>
      </c>
      <c r="S21" s="184">
        <f t="shared" si="3"/>
        <v>65.742999999999938</v>
      </c>
      <c r="T21" s="187">
        <f t="shared" si="1"/>
        <v>9.4458333333333241E-2</v>
      </c>
      <c r="U21" s="184">
        <f t="shared" si="11"/>
        <v>642.79400000000032</v>
      </c>
      <c r="V21" s="187">
        <f>+U21/(F21+(SUM($G$6:G21)))</f>
        <v>6.2165764023210862E-2</v>
      </c>
      <c r="W21" s="203"/>
      <c r="X21" s="80">
        <f>Master!BM23</f>
        <v>613</v>
      </c>
      <c r="Y21" s="80">
        <f>Master!BD23</f>
        <v>624.1</v>
      </c>
      <c r="Z21" s="188">
        <f>Master!BF23</f>
        <v>136.5</v>
      </c>
      <c r="AA21" s="80">
        <f>Master!BG23</f>
        <v>134.4</v>
      </c>
      <c r="AB21" s="80">
        <f>Master!BH23</f>
        <v>169.39999999999998</v>
      </c>
      <c r="AC21" s="80">
        <f>Master!BI23</f>
        <v>128.80000000000001</v>
      </c>
      <c r="AD21" s="80"/>
      <c r="AE21" s="188">
        <f t="shared" si="4"/>
        <v>569.09999999999991</v>
      </c>
      <c r="AF21" s="188">
        <f t="shared" si="5"/>
        <v>43.900000000000091</v>
      </c>
      <c r="AG21" s="188">
        <f t="shared" si="6"/>
        <v>55.000000000000114</v>
      </c>
      <c r="AH21" s="189">
        <f t="shared" si="8"/>
        <v>7.1615008156606999E-2</v>
      </c>
      <c r="AI21" s="189">
        <f t="shared" si="9"/>
        <v>8.8126902739945695E-2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s="190" customFormat="1" x14ac:dyDescent="0.25">
      <c r="A22" s="3"/>
      <c r="B22" s="179">
        <f t="shared" si="7"/>
        <v>45978</v>
      </c>
      <c r="C22" s="180">
        <f>Master!B24</f>
        <v>0</v>
      </c>
      <c r="D22" s="180">
        <f>Master!F24</f>
        <v>0</v>
      </c>
      <c r="E22" s="181">
        <f>Master!J24</f>
        <v>0</v>
      </c>
      <c r="F22" s="182">
        <f>Master!U24+Master!Z24+Master!AE24</f>
        <v>0</v>
      </c>
      <c r="G22" s="183">
        <f>Master!AG24</f>
        <v>714</v>
      </c>
      <c r="H22" s="184">
        <f>Master!AH24</f>
        <v>111.85</v>
      </c>
      <c r="I22" s="185">
        <f>Master!AI24</f>
        <v>134.84299999999999</v>
      </c>
      <c r="J22" s="186">
        <f>Master!AK24</f>
        <v>61.1</v>
      </c>
      <c r="K22" s="186">
        <f>Master!AL24</f>
        <v>70.400000000000006</v>
      </c>
      <c r="L22" s="186">
        <f>Master!AN24</f>
        <v>131.69999999999999</v>
      </c>
      <c r="M22" s="186">
        <f>Master!AP24</f>
        <v>101.1</v>
      </c>
      <c r="N22" s="186">
        <f>Master!AJ24</f>
        <v>14.8</v>
      </c>
      <c r="O22" s="186">
        <f>Master!AM24</f>
        <v>11.6</v>
      </c>
      <c r="P22" s="186">
        <f>Master!AO24</f>
        <v>0</v>
      </c>
      <c r="Q22" s="186">
        <f>Master!AQ24</f>
        <v>11.2</v>
      </c>
      <c r="R22" s="186">
        <f t="shared" ref="R22" si="18">SUM(H22:Q22)</f>
        <v>648.59299999999996</v>
      </c>
      <c r="S22" s="184">
        <f t="shared" si="3"/>
        <v>65.407000000000039</v>
      </c>
      <c r="T22" s="187">
        <f t="shared" si="1"/>
        <v>9.1606442577030864E-2</v>
      </c>
      <c r="U22" s="184">
        <f t="shared" si="11"/>
        <v>708.20100000000036</v>
      </c>
      <c r="V22" s="187">
        <f>+U22/(F22+(SUM($G$6:G22)))</f>
        <v>6.4067396417586422E-2</v>
      </c>
      <c r="W22" s="203"/>
      <c r="X22" s="80">
        <f>Master!BM24</f>
        <v>579</v>
      </c>
      <c r="Y22" s="80">
        <f>Master!BD24</f>
        <v>587</v>
      </c>
      <c r="Z22" s="188">
        <f>Master!BF24</f>
        <v>132.9</v>
      </c>
      <c r="AA22" s="80">
        <f>Master!BG24</f>
        <v>152.69999999999999</v>
      </c>
      <c r="AB22" s="80">
        <f>Master!BH24</f>
        <v>131.60000000000002</v>
      </c>
      <c r="AC22" s="80">
        <f>Master!BI24</f>
        <v>115</v>
      </c>
      <c r="AD22" s="80"/>
      <c r="AE22" s="188">
        <f t="shared" si="4"/>
        <v>532.20000000000005</v>
      </c>
      <c r="AF22" s="188">
        <f t="shared" si="5"/>
        <v>46.799999999999955</v>
      </c>
      <c r="AG22" s="188">
        <f t="shared" si="6"/>
        <v>54.799999999999955</v>
      </c>
      <c r="AH22" s="189">
        <f t="shared" si="8"/>
        <v>8.0829015544041372E-2</v>
      </c>
      <c r="AI22" s="189">
        <f t="shared" si="9"/>
        <v>9.335604770017028E-2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s="190" customFormat="1" x14ac:dyDescent="0.25">
      <c r="A23" s="3"/>
      <c r="B23" s="179">
        <f t="shared" si="7"/>
        <v>45979</v>
      </c>
      <c r="C23" s="180">
        <f>Master!B25</f>
        <v>0</v>
      </c>
      <c r="D23" s="180">
        <f>Master!F25</f>
        <v>0</v>
      </c>
      <c r="E23" s="181">
        <f>Master!J25</f>
        <v>0</v>
      </c>
      <c r="F23" s="182">
        <f>Master!U25+Master!Z25+Master!AE25</f>
        <v>0</v>
      </c>
      <c r="G23" s="183">
        <f>Master!AG25</f>
        <v>717</v>
      </c>
      <c r="H23" s="184">
        <f>Master!AH25</f>
        <v>123.029</v>
      </c>
      <c r="I23" s="185">
        <f>Master!AI25</f>
        <v>137.15899999999999</v>
      </c>
      <c r="J23" s="186">
        <f>Master!AK25</f>
        <v>55.8</v>
      </c>
      <c r="K23" s="186">
        <f>Master!AL25</f>
        <v>65.599999999999994</v>
      </c>
      <c r="L23" s="186">
        <f>Master!AN25</f>
        <v>132</v>
      </c>
      <c r="M23" s="186">
        <f>Master!AP25</f>
        <v>99.3</v>
      </c>
      <c r="N23" s="186">
        <f>Master!AJ25</f>
        <v>16</v>
      </c>
      <c r="O23" s="186">
        <f>Master!AM25</f>
        <v>9</v>
      </c>
      <c r="P23" s="186">
        <f>Master!AO25</f>
        <v>0</v>
      </c>
      <c r="Q23" s="186">
        <f>Master!AQ25</f>
        <v>10.1</v>
      </c>
      <c r="R23" s="186">
        <f t="shared" ref="R23" si="19">SUM(H23:Q23)</f>
        <v>647.98799999999994</v>
      </c>
      <c r="S23" s="184">
        <f t="shared" si="3"/>
        <v>69.012000000000057</v>
      </c>
      <c r="T23" s="187">
        <f t="shared" si="1"/>
        <v>9.6251046025104689E-2</v>
      </c>
      <c r="U23" s="184">
        <f t="shared" si="11"/>
        <v>777.21300000000042</v>
      </c>
      <c r="V23" s="187">
        <f>+U23/(F23+(SUM($G$6:G23)))</f>
        <v>6.6027780137626405E-2</v>
      </c>
      <c r="W23" s="203"/>
      <c r="X23" s="80">
        <f>Master!BM25</f>
        <v>563</v>
      </c>
      <c r="Y23" s="80">
        <f>Master!BD25</f>
        <v>576.20000000000005</v>
      </c>
      <c r="Z23" s="188">
        <f>Master!BF25</f>
        <v>142.30000000000001</v>
      </c>
      <c r="AA23" s="80">
        <f>Master!BG25</f>
        <v>148.69999999999999</v>
      </c>
      <c r="AB23" s="80">
        <f>Master!BH25</f>
        <v>114.1</v>
      </c>
      <c r="AC23" s="80">
        <f>Master!BI25</f>
        <v>118</v>
      </c>
      <c r="AD23" s="80"/>
      <c r="AE23" s="188">
        <f t="shared" si="4"/>
        <v>523.1</v>
      </c>
      <c r="AF23" s="188">
        <f t="shared" si="5"/>
        <v>39.899999999999977</v>
      </c>
      <c r="AG23" s="188">
        <f t="shared" si="6"/>
        <v>53.100000000000023</v>
      </c>
      <c r="AH23" s="189">
        <f t="shared" si="8"/>
        <v>7.0870337477797474E-2</v>
      </c>
      <c r="AI23" s="189">
        <f t="shared" si="9"/>
        <v>9.2155501561957689E-2</v>
      </c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s="190" customFormat="1" x14ac:dyDescent="0.25">
      <c r="A24" s="3"/>
      <c r="B24" s="179">
        <f t="shared" si="7"/>
        <v>45980</v>
      </c>
      <c r="C24" s="180">
        <f>Master!B26</f>
        <v>0</v>
      </c>
      <c r="D24" s="180">
        <f>Master!F26</f>
        <v>0</v>
      </c>
      <c r="E24" s="181">
        <f>Master!J26</f>
        <v>0</v>
      </c>
      <c r="F24" s="182">
        <f>Master!U26+Master!Z26+Master!AE26</f>
        <v>0</v>
      </c>
      <c r="G24" s="183">
        <f>Master!AG26</f>
        <v>690</v>
      </c>
      <c r="H24" s="184">
        <f>Master!AH26</f>
        <v>136.767</v>
      </c>
      <c r="I24" s="185">
        <f>Master!AI26</f>
        <v>136.566</v>
      </c>
      <c r="J24" s="186">
        <f>Master!AK26</f>
        <v>29.1</v>
      </c>
      <c r="K24" s="186">
        <f>Master!AL26</f>
        <v>69.400000000000006</v>
      </c>
      <c r="L24" s="186">
        <f>Master!AN26</f>
        <v>130.1</v>
      </c>
      <c r="M24" s="186">
        <f>Master!AP26</f>
        <v>81.900000000000006</v>
      </c>
      <c r="N24" s="186">
        <f>Master!AJ26</f>
        <v>16.2</v>
      </c>
      <c r="O24" s="186">
        <f>Master!AM26</f>
        <v>10.4</v>
      </c>
      <c r="P24" s="186">
        <f>Master!AO26</f>
        <v>0</v>
      </c>
      <c r="Q24" s="186">
        <f>Master!AQ26</f>
        <v>8.6</v>
      </c>
      <c r="R24" s="186">
        <f t="shared" ref="R24" si="20">SUM(H24:Q24)</f>
        <v>619.03300000000002</v>
      </c>
      <c r="S24" s="184">
        <f t="shared" si="3"/>
        <v>70.966999999999985</v>
      </c>
      <c r="T24" s="187">
        <f t="shared" si="1"/>
        <v>0.10285072463768113</v>
      </c>
      <c r="U24" s="184">
        <f t="shared" si="11"/>
        <v>848.1800000000004</v>
      </c>
      <c r="V24" s="187">
        <f>+U24/(F24+(SUM($G$6:G24)))</f>
        <v>6.8066768317149542E-2</v>
      </c>
      <c r="W24" s="208" t="s">
        <v>119</v>
      </c>
      <c r="X24" s="80">
        <f>Master!BM26</f>
        <v>574</v>
      </c>
      <c r="Y24" s="80">
        <f>Master!BD26</f>
        <v>590.70000000000005</v>
      </c>
      <c r="Z24" s="188">
        <f>Master!BF26</f>
        <v>129</v>
      </c>
      <c r="AA24" s="80">
        <f>Master!BG26</f>
        <v>150.5</v>
      </c>
      <c r="AB24" s="80">
        <f>Master!BH26</f>
        <v>130</v>
      </c>
      <c r="AC24" s="80">
        <f>Master!BI26</f>
        <v>126.7</v>
      </c>
      <c r="AD24" s="80"/>
      <c r="AE24" s="188">
        <f t="shared" si="4"/>
        <v>536.20000000000005</v>
      </c>
      <c r="AF24" s="188">
        <f t="shared" si="5"/>
        <v>37.799999999999955</v>
      </c>
      <c r="AG24" s="188">
        <f t="shared" si="6"/>
        <v>54.5</v>
      </c>
      <c r="AH24" s="189">
        <f t="shared" si="8"/>
        <v>6.5853658536585286E-2</v>
      </c>
      <c r="AI24" s="189">
        <f t="shared" si="9"/>
        <v>9.2263416285762651E-2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s="190" customFormat="1" x14ac:dyDescent="0.25">
      <c r="A25" s="3"/>
      <c r="B25" s="179">
        <f t="shared" si="7"/>
        <v>45981</v>
      </c>
      <c r="C25" s="180">
        <f>Master!B27</f>
        <v>0</v>
      </c>
      <c r="D25" s="180">
        <f>Master!F27</f>
        <v>0</v>
      </c>
      <c r="E25" s="181">
        <f>Master!J27</f>
        <v>0</v>
      </c>
      <c r="F25" s="182">
        <f>Master!U27+Master!Z27+Master!AE27</f>
        <v>0</v>
      </c>
      <c r="G25" s="183">
        <f>Master!AG27</f>
        <v>705</v>
      </c>
      <c r="H25" s="184">
        <f>Master!AH27</f>
        <v>134.458</v>
      </c>
      <c r="I25" s="185">
        <f>Master!AI27</f>
        <v>134.851</v>
      </c>
      <c r="J25" s="186">
        <f>Master!AK27</f>
        <v>33.4</v>
      </c>
      <c r="K25" s="186">
        <f>Master!AL27</f>
        <v>69.7</v>
      </c>
      <c r="L25" s="186">
        <f>Master!AN27</f>
        <v>128.80000000000001</v>
      </c>
      <c r="M25" s="186">
        <f>Master!AP27</f>
        <v>99.8</v>
      </c>
      <c r="N25" s="186">
        <f>Master!AJ27</f>
        <v>18</v>
      </c>
      <c r="O25" s="186">
        <f>Master!AM27</f>
        <v>10</v>
      </c>
      <c r="P25" s="186">
        <f>Master!AO27</f>
        <v>0</v>
      </c>
      <c r="Q25" s="186">
        <f>Master!AQ27</f>
        <v>9.4</v>
      </c>
      <c r="R25" s="186">
        <f t="shared" ref="R25" si="21">SUM(H25:Q25)</f>
        <v>638.40899999999988</v>
      </c>
      <c r="S25" s="184">
        <f t="shared" si="3"/>
        <v>66.591000000000122</v>
      </c>
      <c r="T25" s="187">
        <f t="shared" si="1"/>
        <v>9.4455319148936345E-2</v>
      </c>
      <c r="U25" s="184">
        <f t="shared" si="11"/>
        <v>914.77100000000053</v>
      </c>
      <c r="V25" s="187">
        <f>+U25/(F25+(SUM($G$6:G25)))</f>
        <v>6.947979644538968E-2</v>
      </c>
      <c r="W25" s="208" t="s">
        <v>120</v>
      </c>
      <c r="X25" s="80">
        <f>Master!BM27</f>
        <v>600</v>
      </c>
      <c r="Y25" s="80">
        <f>Master!BD27</f>
        <v>603.70000000000005</v>
      </c>
      <c r="Z25" s="188">
        <f>Master!BF27</f>
        <v>137.4</v>
      </c>
      <c r="AA25" s="80">
        <f>Master!BG27</f>
        <v>149.9</v>
      </c>
      <c r="AB25" s="80">
        <f>Master!BH27</f>
        <v>135.5</v>
      </c>
      <c r="AC25" s="80">
        <f>Master!BI27</f>
        <v>131</v>
      </c>
      <c r="AD25" s="80"/>
      <c r="AE25" s="188">
        <f t="shared" si="4"/>
        <v>553.79999999999995</v>
      </c>
      <c r="AF25" s="188">
        <f t="shared" si="5"/>
        <v>46.200000000000045</v>
      </c>
      <c r="AG25" s="188">
        <f t="shared" si="6"/>
        <v>49.900000000000091</v>
      </c>
      <c r="AH25" s="189">
        <f t="shared" si="8"/>
        <v>7.7000000000000082E-2</v>
      </c>
      <c r="AI25" s="189">
        <f t="shared" si="9"/>
        <v>8.2656948815637052E-2</v>
      </c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s="190" customFormat="1" x14ac:dyDescent="0.25">
      <c r="A26" s="3"/>
      <c r="B26" s="179">
        <f t="shared" si="7"/>
        <v>45982</v>
      </c>
      <c r="C26" s="180">
        <f>Master!B28</f>
        <v>0</v>
      </c>
      <c r="D26" s="180">
        <f>Master!F28</f>
        <v>0</v>
      </c>
      <c r="E26" s="181">
        <f>Master!J28</f>
        <v>0</v>
      </c>
      <c r="F26" s="182">
        <f>Master!U28+Master!Z28+Master!AE28</f>
        <v>0</v>
      </c>
      <c r="G26" s="183">
        <f>Master!AG28</f>
        <v>735</v>
      </c>
      <c r="H26" s="184">
        <f>Master!AH28</f>
        <v>132.78200000000001</v>
      </c>
      <c r="I26" s="185">
        <f>Master!AI28</f>
        <v>134.19999999999999</v>
      </c>
      <c r="J26" s="186">
        <f>Master!AK28</f>
        <v>55.5</v>
      </c>
      <c r="K26" s="186">
        <f>Master!AL28</f>
        <v>70.3</v>
      </c>
      <c r="L26" s="186">
        <f>Master!AN28</f>
        <v>128</v>
      </c>
      <c r="M26" s="186">
        <f>Master!AP28</f>
        <v>100.4</v>
      </c>
      <c r="N26" s="186">
        <f>Master!AJ28</f>
        <v>17.600000000000001</v>
      </c>
      <c r="O26" s="186">
        <f>Master!AM28</f>
        <v>9.8000000000000007</v>
      </c>
      <c r="P26" s="186">
        <f>Master!AO28</f>
        <v>0</v>
      </c>
      <c r="Q26" s="186">
        <f>Master!AQ28</f>
        <v>9.8000000000000007</v>
      </c>
      <c r="R26" s="186">
        <f t="shared" ref="R26" si="22">SUM(H26:Q26)</f>
        <v>658.38199999999983</v>
      </c>
      <c r="S26" s="184">
        <f t="shared" si="3"/>
        <v>76.618000000000166</v>
      </c>
      <c r="T26" s="187">
        <f t="shared" si="1"/>
        <v>0.10424217687074852</v>
      </c>
      <c r="U26" s="184">
        <f t="shared" si="11"/>
        <v>991.38900000000069</v>
      </c>
      <c r="V26" s="187">
        <f>+U26/(F26+(SUM($G$6:G26)))</f>
        <v>7.1317818861952431E-2</v>
      </c>
      <c r="W26" s="211" t="s">
        <v>121</v>
      </c>
      <c r="X26" s="80">
        <f>Master!BM28</f>
        <v>533</v>
      </c>
      <c r="Y26" s="80">
        <f>Master!BD28</f>
        <v>543</v>
      </c>
      <c r="Z26" s="188">
        <f>Master!BF28</f>
        <v>88</v>
      </c>
      <c r="AA26" s="80">
        <f>Master!BG28</f>
        <v>150.19999999999999</v>
      </c>
      <c r="AB26" s="80">
        <f>Master!BH28</f>
        <v>130.30000000000001</v>
      </c>
      <c r="AC26" s="80">
        <f>Master!BI28</f>
        <v>129.19999999999999</v>
      </c>
      <c r="AD26" s="80"/>
      <c r="AE26" s="188">
        <f t="shared" si="4"/>
        <v>497.7</v>
      </c>
      <c r="AF26" s="188">
        <f t="shared" si="5"/>
        <v>35.300000000000011</v>
      </c>
      <c r="AG26" s="188">
        <f t="shared" si="6"/>
        <v>45.300000000000011</v>
      </c>
      <c r="AH26" s="189">
        <f t="shared" si="8"/>
        <v>6.6228893058161376E-2</v>
      </c>
      <c r="AI26" s="189">
        <f t="shared" si="9"/>
        <v>8.3425414364640904E-2</v>
      </c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s="190" customFormat="1" x14ac:dyDescent="0.25">
      <c r="A27" s="3"/>
      <c r="B27" s="179">
        <f t="shared" si="7"/>
        <v>45983</v>
      </c>
      <c r="C27" s="180">
        <f>Master!B29</f>
        <v>0</v>
      </c>
      <c r="D27" s="180">
        <f>Master!F29</f>
        <v>0</v>
      </c>
      <c r="E27" s="181">
        <f>Master!J29</f>
        <v>0</v>
      </c>
      <c r="F27" s="182">
        <f>Master!U29+Master!Z29+Master!AE29</f>
        <v>0</v>
      </c>
      <c r="G27" s="183">
        <f>Master!AG29</f>
        <v>722</v>
      </c>
      <c r="H27" s="184">
        <f>Master!AH29</f>
        <v>123.97099999999999</v>
      </c>
      <c r="I27" s="185">
        <f>Master!AI29</f>
        <v>134.357</v>
      </c>
      <c r="J27" s="186">
        <f>Master!AK29</f>
        <v>52.9</v>
      </c>
      <c r="K27" s="186">
        <f>Master!AL29</f>
        <v>70.2</v>
      </c>
      <c r="L27" s="186">
        <f>Master!AN29</f>
        <v>128</v>
      </c>
      <c r="M27" s="186">
        <f>Master!AP29</f>
        <v>99.5</v>
      </c>
      <c r="N27" s="186">
        <f>Master!AJ29</f>
        <v>17</v>
      </c>
      <c r="O27" s="186">
        <f>Master!AM29</f>
        <v>9.6999999999999993</v>
      </c>
      <c r="P27" s="186">
        <f>Master!AO29</f>
        <v>0</v>
      </c>
      <c r="Q27" s="186">
        <f>Master!AQ29</f>
        <v>10.1</v>
      </c>
      <c r="R27" s="186">
        <f t="shared" ref="R27:R29" si="23">SUM(H27:Q27)</f>
        <v>645.72799999999995</v>
      </c>
      <c r="S27" s="184">
        <f t="shared" si="3"/>
        <v>76.272000000000048</v>
      </c>
      <c r="T27" s="187">
        <f t="shared" si="1"/>
        <v>0.10563988919667597</v>
      </c>
      <c r="U27" s="184">
        <f t="shared" si="11"/>
        <v>1067.6610000000007</v>
      </c>
      <c r="V27" s="187">
        <f>+U27/(F27+(SUM($G$6:G27)))</f>
        <v>7.3012446146481627E-2</v>
      </c>
      <c r="W27" s="211" t="s">
        <v>121</v>
      </c>
      <c r="X27" s="80">
        <f>Master!BM29</f>
        <v>497</v>
      </c>
      <c r="Y27" s="80">
        <f>Master!BD29</f>
        <v>501.6</v>
      </c>
      <c r="Z27" s="188">
        <f>Master!BF29</f>
        <v>67.099999999999994</v>
      </c>
      <c r="AA27" s="80">
        <f>Master!BG29</f>
        <v>139.6</v>
      </c>
      <c r="AB27" s="80">
        <f>Master!BH29</f>
        <v>129.9</v>
      </c>
      <c r="AC27" s="80">
        <f>Master!BI29</f>
        <v>121.9</v>
      </c>
      <c r="AD27" s="80"/>
      <c r="AE27" s="188">
        <f t="shared" si="4"/>
        <v>458.5</v>
      </c>
      <c r="AF27" s="188">
        <f t="shared" si="5"/>
        <v>38.5</v>
      </c>
      <c r="AG27" s="188">
        <f t="shared" si="6"/>
        <v>43.100000000000023</v>
      </c>
      <c r="AH27" s="189">
        <f t="shared" si="8"/>
        <v>7.746478873239436E-2</v>
      </c>
      <c r="AI27" s="189">
        <f t="shared" si="9"/>
        <v>8.5925039872408335E-2</v>
      </c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s="190" customFormat="1" x14ac:dyDescent="0.25">
      <c r="A28" s="3"/>
      <c r="B28" s="179">
        <f t="shared" si="7"/>
        <v>45984</v>
      </c>
      <c r="C28" s="180">
        <f>Master!B30</f>
        <v>0</v>
      </c>
      <c r="D28" s="180">
        <f>Master!F30</f>
        <v>0</v>
      </c>
      <c r="E28" s="181">
        <f>Master!J30</f>
        <v>0</v>
      </c>
      <c r="F28" s="182">
        <f>Master!U30+Master!Z30+Master!AE30</f>
        <v>0</v>
      </c>
      <c r="G28" s="183">
        <f>Master!AG30</f>
        <v>709</v>
      </c>
      <c r="H28" s="184">
        <f>Master!AH30</f>
        <v>131.047</v>
      </c>
      <c r="I28" s="185">
        <f>Master!AI30</f>
        <v>135.596</v>
      </c>
      <c r="J28" s="186">
        <f>Master!AK30</f>
        <v>55.5</v>
      </c>
      <c r="K28" s="186">
        <f>Master!AL30</f>
        <v>69.099999999999994</v>
      </c>
      <c r="L28" s="186">
        <f>Master!AN30</f>
        <v>128</v>
      </c>
      <c r="M28" s="186">
        <f>Master!AP30</f>
        <v>86.9</v>
      </c>
      <c r="N28" s="186">
        <f>Master!AJ30</f>
        <v>17.600000000000001</v>
      </c>
      <c r="O28" s="186">
        <f>Master!AM30</f>
        <v>10.5</v>
      </c>
      <c r="P28" s="186">
        <f>Master!AO30</f>
        <v>0</v>
      </c>
      <c r="Q28" s="186">
        <f>Master!AQ30</f>
        <v>9.4</v>
      </c>
      <c r="R28" s="186">
        <f t="shared" si="23"/>
        <v>643.64300000000003</v>
      </c>
      <c r="S28" s="184">
        <f t="shared" si="3"/>
        <v>65.356999999999971</v>
      </c>
      <c r="T28" s="187">
        <f t="shared" si="1"/>
        <v>9.2181946403385007E-2</v>
      </c>
      <c r="U28" s="184">
        <f t="shared" si="11"/>
        <v>1133.0180000000007</v>
      </c>
      <c r="V28" s="187">
        <f>+U28/(F28+(SUM($G$6:G28)))</f>
        <v>7.3898904252543751E-2</v>
      </c>
      <c r="W28" s="211" t="s">
        <v>121</v>
      </c>
      <c r="X28" s="80">
        <f>Master!BM30</f>
        <v>539</v>
      </c>
      <c r="Y28" s="80">
        <f>Master!BD30</f>
        <v>552.1</v>
      </c>
      <c r="Z28" s="188">
        <f>Master!BF30</f>
        <v>106.7</v>
      </c>
      <c r="AA28" s="80">
        <f>Master!BG30</f>
        <v>146.80000000000001</v>
      </c>
      <c r="AB28" s="80">
        <f>Master!BH30</f>
        <v>131.4</v>
      </c>
      <c r="AC28" s="80">
        <f>Master!BI30</f>
        <v>125.69999999999999</v>
      </c>
      <c r="AD28" s="80"/>
      <c r="AE28" s="188">
        <f t="shared" si="4"/>
        <v>510.59999999999997</v>
      </c>
      <c r="AF28" s="188">
        <f t="shared" si="5"/>
        <v>28.400000000000034</v>
      </c>
      <c r="AG28" s="188">
        <f t="shared" si="6"/>
        <v>41.500000000000057</v>
      </c>
      <c r="AH28" s="189">
        <f t="shared" si="8"/>
        <v>5.2690166975881324E-2</v>
      </c>
      <c r="AI28" s="189">
        <f t="shared" si="9"/>
        <v>7.5167542111936339E-2</v>
      </c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s="190" customFormat="1" x14ac:dyDescent="0.25">
      <c r="A29" s="3"/>
      <c r="B29" s="179">
        <f t="shared" si="7"/>
        <v>45985</v>
      </c>
      <c r="C29" s="180">
        <f>Master!B31</f>
        <v>0</v>
      </c>
      <c r="D29" s="180">
        <f>Master!F31</f>
        <v>0</v>
      </c>
      <c r="E29" s="181">
        <f>Master!J31</f>
        <v>0</v>
      </c>
      <c r="F29" s="182">
        <f>Master!U31+Master!Z31+Master!AE31</f>
        <v>0</v>
      </c>
      <c r="G29" s="183">
        <f>Master!AG31</f>
        <v>712</v>
      </c>
      <c r="H29" s="184">
        <f>Master!AH31</f>
        <v>128.20599999999999</v>
      </c>
      <c r="I29" s="185">
        <f>Master!AI31</f>
        <v>133.47799999999998</v>
      </c>
      <c r="J29" s="186">
        <f>Master!AK31</f>
        <v>53.5</v>
      </c>
      <c r="K29" s="186">
        <f>Master!AL31</f>
        <v>67.599999999999994</v>
      </c>
      <c r="L29" s="186">
        <f>Master!AN31</f>
        <v>128</v>
      </c>
      <c r="M29" s="186">
        <f>Master!AP31</f>
        <v>100.1</v>
      </c>
      <c r="N29" s="186">
        <f>Master!AJ31</f>
        <v>20.399999999999999</v>
      </c>
      <c r="O29" s="186">
        <f>Master!AM31</f>
        <v>10.6</v>
      </c>
      <c r="P29" s="186">
        <f>Master!AO31</f>
        <v>0</v>
      </c>
      <c r="Q29" s="186">
        <f>Master!AQ31</f>
        <v>11</v>
      </c>
      <c r="R29" s="186">
        <f t="shared" si="23"/>
        <v>652.88400000000001</v>
      </c>
      <c r="S29" s="184">
        <f t="shared" si="3"/>
        <v>59.115999999999985</v>
      </c>
      <c r="T29" s="187">
        <f t="shared" si="1"/>
        <v>8.3028089887640433E-2</v>
      </c>
      <c r="U29" s="184">
        <f t="shared" si="11"/>
        <v>1192.1340000000007</v>
      </c>
      <c r="V29" s="187">
        <f>+U29/(F29+(SUM($G$6:G29)))</f>
        <v>7.4304038893044169E-2</v>
      </c>
      <c r="W29" s="211" t="s">
        <v>121</v>
      </c>
      <c r="X29" s="80">
        <f>Master!BM31</f>
        <v>563</v>
      </c>
      <c r="Y29" s="80">
        <f>Master!BD31</f>
        <v>569.29999999999995</v>
      </c>
      <c r="Z29" s="188">
        <f>Master!BF31</f>
        <v>114.30000000000001</v>
      </c>
      <c r="AA29" s="80">
        <f>Master!BG31</f>
        <v>152.69999999999999</v>
      </c>
      <c r="AB29" s="80">
        <f>Master!BH31</f>
        <v>135</v>
      </c>
      <c r="AC29" s="80">
        <f>Master!BI31</f>
        <v>122.5</v>
      </c>
      <c r="AD29" s="80"/>
      <c r="AE29" s="188">
        <f t="shared" si="4"/>
        <v>524.5</v>
      </c>
      <c r="AF29" s="188">
        <f t="shared" si="5"/>
        <v>38.5</v>
      </c>
      <c r="AG29" s="188">
        <f t="shared" si="6"/>
        <v>44.799999999999955</v>
      </c>
      <c r="AH29" s="189">
        <f t="shared" si="8"/>
        <v>6.8383658969804612E-2</v>
      </c>
      <c r="AI29" s="189">
        <f t="shared" si="9"/>
        <v>7.8693131916388478E-2</v>
      </c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s="190" customFormat="1" ht="15" customHeight="1" x14ac:dyDescent="0.25">
      <c r="A30" s="3"/>
      <c r="B30" s="179">
        <f t="shared" si="7"/>
        <v>45986</v>
      </c>
      <c r="C30" s="180">
        <f>Master!B32</f>
        <v>0</v>
      </c>
      <c r="D30" s="180">
        <f>Master!F32</f>
        <v>0</v>
      </c>
      <c r="E30" s="181">
        <f>Master!J32</f>
        <v>0</v>
      </c>
      <c r="F30" s="182">
        <f>Master!U32+Master!Z32+Master!AE32</f>
        <v>0</v>
      </c>
      <c r="G30" s="183">
        <f>Master!AG32</f>
        <v>611</v>
      </c>
      <c r="H30" s="184">
        <f>Master!AH32</f>
        <v>125.011</v>
      </c>
      <c r="I30" s="185">
        <f>Master!AI32</f>
        <v>91.77</v>
      </c>
      <c r="J30" s="186">
        <f>Master!AK32</f>
        <v>54.4</v>
      </c>
      <c r="K30" s="186">
        <f>Master!AL32</f>
        <v>68.900000000000006</v>
      </c>
      <c r="L30" s="186">
        <f>Master!AN32</f>
        <v>86</v>
      </c>
      <c r="M30" s="186">
        <f>Master!AP32</f>
        <v>98.7</v>
      </c>
      <c r="N30" s="186">
        <f>Master!AJ32</f>
        <v>12.8</v>
      </c>
      <c r="O30" s="186">
        <f>Master!AM32</f>
        <v>10.199999999999999</v>
      </c>
      <c r="P30" s="186">
        <f>Master!AO32</f>
        <v>0</v>
      </c>
      <c r="Q30" s="186">
        <f>Master!AQ32</f>
        <v>10.7</v>
      </c>
      <c r="R30" s="186">
        <f t="shared" ref="R30" si="24">SUM(H30:Q30)</f>
        <v>558.48100000000011</v>
      </c>
      <c r="S30" s="184">
        <f t="shared" si="3"/>
        <v>52.518999999999892</v>
      </c>
      <c r="T30" s="187">
        <f t="shared" si="1"/>
        <v>8.5955810147299333E-2</v>
      </c>
      <c r="U30" s="184">
        <f t="shared" si="11"/>
        <v>1244.6530000000007</v>
      </c>
      <c r="V30" s="187">
        <f>+U30/(F30+(SUM($G$6:G30)))</f>
        <v>7.473149204443115E-2</v>
      </c>
      <c r="W30" s="211" t="s">
        <v>122</v>
      </c>
      <c r="X30" s="80">
        <f>Master!BM32</f>
        <v>580</v>
      </c>
      <c r="Y30" s="80">
        <f>Master!BD32</f>
        <v>609</v>
      </c>
      <c r="Z30" s="188">
        <f>Master!BF32</f>
        <v>131.19999999999999</v>
      </c>
      <c r="AA30" s="80">
        <f>Master!BG32</f>
        <v>151.69999999999999</v>
      </c>
      <c r="AB30" s="80">
        <f>Master!BH32</f>
        <v>133</v>
      </c>
      <c r="AC30" s="80">
        <f>Master!BI32</f>
        <v>122.2</v>
      </c>
      <c r="AD30" s="80"/>
      <c r="AE30" s="188">
        <f t="shared" si="4"/>
        <v>538.1</v>
      </c>
      <c r="AF30" s="188">
        <f t="shared" si="5"/>
        <v>41.899999999999977</v>
      </c>
      <c r="AG30" s="188">
        <f t="shared" si="6"/>
        <v>70.899999999999977</v>
      </c>
      <c r="AH30" s="189">
        <f t="shared" si="8"/>
        <v>7.2241379310344786E-2</v>
      </c>
      <c r="AI30" s="189">
        <f t="shared" si="9"/>
        <v>0.11642036124794741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s="190" customFormat="1" x14ac:dyDescent="0.25">
      <c r="A31" s="3"/>
      <c r="B31" s="179">
        <f t="shared" si="7"/>
        <v>45987</v>
      </c>
      <c r="C31" s="180">
        <f>Master!B33</f>
        <v>0</v>
      </c>
      <c r="D31" s="180">
        <f>Master!F33</f>
        <v>0</v>
      </c>
      <c r="E31" s="181">
        <f>Master!J33</f>
        <v>0</v>
      </c>
      <c r="F31" s="182">
        <f>Master!U33+Master!Z33+Master!AE33</f>
        <v>0</v>
      </c>
      <c r="G31" s="183">
        <f>Master!AG33</f>
        <v>670</v>
      </c>
      <c r="H31" s="184">
        <f>Master!AH33</f>
        <v>129.50300000000001</v>
      </c>
      <c r="I31" s="185">
        <f>Master!AI33</f>
        <v>130.43700000000001</v>
      </c>
      <c r="J31" s="186">
        <f>Master!AK33</f>
        <v>54.8</v>
      </c>
      <c r="K31" s="186">
        <f>Master!AL33</f>
        <v>68.3</v>
      </c>
      <c r="L31" s="186">
        <f>Master!AN33</f>
        <v>100.5</v>
      </c>
      <c r="M31" s="186">
        <f>Master!AP33</f>
        <v>97</v>
      </c>
      <c r="N31" s="186">
        <f>Master!AJ33</f>
        <v>20.399999999999999</v>
      </c>
      <c r="O31" s="186">
        <f>Master!AM33</f>
        <v>9.6</v>
      </c>
      <c r="P31" s="186">
        <f>Master!AO33</f>
        <v>0</v>
      </c>
      <c r="Q31" s="186">
        <f>Master!AQ33</f>
        <v>9.5</v>
      </c>
      <c r="R31" s="186">
        <f t="shared" ref="R31" si="25">SUM(H31:Q31)</f>
        <v>620.04000000000008</v>
      </c>
      <c r="S31" s="184">
        <f t="shared" si="3"/>
        <v>49.959999999999923</v>
      </c>
      <c r="T31" s="187">
        <f t="shared" si="1"/>
        <v>7.4567164179104362E-2</v>
      </c>
      <c r="U31" s="184">
        <f t="shared" si="11"/>
        <v>1294.6130000000007</v>
      </c>
      <c r="V31" s="187">
        <f>+U31/(F31+(SUM($G$6:G31)))</f>
        <v>7.472513708513713E-2</v>
      </c>
      <c r="W31" s="203"/>
      <c r="X31" s="80">
        <f>Master!BM33</f>
        <v>583</v>
      </c>
      <c r="Y31" s="80">
        <f>Master!BD33</f>
        <v>592</v>
      </c>
      <c r="Z31" s="188">
        <f>Master!BF33</f>
        <v>138.5</v>
      </c>
      <c r="AA31" s="80">
        <f>Master!BG33</f>
        <v>153.30000000000001</v>
      </c>
      <c r="AB31" s="80">
        <f>Master!BH33</f>
        <v>127.5</v>
      </c>
      <c r="AC31" s="80">
        <f>Master!BI33</f>
        <v>128.30000000000001</v>
      </c>
      <c r="AD31" s="80"/>
      <c r="AE31" s="188">
        <f t="shared" si="4"/>
        <v>547.6</v>
      </c>
      <c r="AF31" s="188">
        <f t="shared" si="5"/>
        <v>35.399999999999977</v>
      </c>
      <c r="AG31" s="188">
        <f t="shared" si="6"/>
        <v>44.399999999999977</v>
      </c>
      <c r="AH31" s="189">
        <f t="shared" si="8"/>
        <v>6.0720411663807851E-2</v>
      </c>
      <c r="AI31" s="189">
        <f t="shared" si="9"/>
        <v>7.4999999999999956E-2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s="190" customFormat="1" x14ac:dyDescent="0.25">
      <c r="A32" s="3"/>
      <c r="B32" s="179">
        <f t="shared" si="7"/>
        <v>45988</v>
      </c>
      <c r="C32" s="180">
        <f>Master!B34</f>
        <v>0</v>
      </c>
      <c r="D32" s="180">
        <f>Master!F34</f>
        <v>0</v>
      </c>
      <c r="E32" s="181">
        <f>Master!J34</f>
        <v>0</v>
      </c>
      <c r="F32" s="182">
        <f>Master!U34+Master!Z34+Master!AE34</f>
        <v>0</v>
      </c>
      <c r="G32" s="183">
        <f>Master!AG34</f>
        <v>684</v>
      </c>
      <c r="H32" s="184">
        <f>Master!AH34</f>
        <v>127.277</v>
      </c>
      <c r="I32" s="185">
        <f>Master!AI34</f>
        <v>117.465</v>
      </c>
      <c r="J32" s="186">
        <f>Master!AK34</f>
        <v>54.1</v>
      </c>
      <c r="K32" s="186">
        <f>Master!AL34</f>
        <v>61.9</v>
      </c>
      <c r="L32" s="186">
        <f>Master!AN34</f>
        <v>120.6</v>
      </c>
      <c r="M32" s="186">
        <f>Master!AP34</f>
        <v>98.3</v>
      </c>
      <c r="N32" s="186">
        <f>Master!AJ34</f>
        <v>20.100000000000001</v>
      </c>
      <c r="O32" s="186">
        <f>Master!AM34</f>
        <v>8.4</v>
      </c>
      <c r="P32" s="186">
        <f>Master!AO34</f>
        <v>0</v>
      </c>
      <c r="Q32" s="186">
        <f>Master!AQ34</f>
        <v>9.8000000000000007</v>
      </c>
      <c r="R32" s="186">
        <f t="shared" ref="R32" si="26">SUM(H32:Q32)</f>
        <v>617.94199999999989</v>
      </c>
      <c r="S32" s="184">
        <f t="shared" si="3"/>
        <v>66.058000000000106</v>
      </c>
      <c r="T32" s="187">
        <f t="shared" si="1"/>
        <v>9.6576023391813023E-2</v>
      </c>
      <c r="U32" s="184">
        <f t="shared" si="11"/>
        <v>1360.6710000000007</v>
      </c>
      <c r="V32" s="187">
        <f>+U32/(F32+(SUM($G$6:G32)))</f>
        <v>7.5555055805430663E-2</v>
      </c>
      <c r="W32" s="203"/>
      <c r="X32" s="80">
        <f>Master!BM34</f>
        <v>564</v>
      </c>
      <c r="Y32" s="80">
        <f>Master!BD34</f>
        <v>566.4</v>
      </c>
      <c r="Z32" s="188">
        <f>Master!BF34</f>
        <v>123.7</v>
      </c>
      <c r="AA32" s="80">
        <f>Master!BG34</f>
        <v>142.39999999999998</v>
      </c>
      <c r="AB32" s="80">
        <f>Master!BH34</f>
        <v>128.6</v>
      </c>
      <c r="AC32" s="80">
        <f>Master!BI34</f>
        <v>119.80000000000001</v>
      </c>
      <c r="AD32" s="80"/>
      <c r="AE32" s="188">
        <f t="shared" si="4"/>
        <v>514.5</v>
      </c>
      <c r="AF32" s="188">
        <f t="shared" si="5"/>
        <v>49.5</v>
      </c>
      <c r="AG32" s="188">
        <f t="shared" si="6"/>
        <v>51.899999999999977</v>
      </c>
      <c r="AH32" s="189">
        <f t="shared" si="8"/>
        <v>8.7765957446808512E-2</v>
      </c>
      <c r="AI32" s="189">
        <f t="shared" si="9"/>
        <v>9.1631355932203354E-2</v>
      </c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s="190" customFormat="1" x14ac:dyDescent="0.25">
      <c r="A33" s="3"/>
      <c r="B33" s="179">
        <f t="shared" si="7"/>
        <v>45989</v>
      </c>
      <c r="C33" s="180">
        <f>Master!B35</f>
        <v>0</v>
      </c>
      <c r="D33" s="180">
        <f>Master!F35</f>
        <v>0</v>
      </c>
      <c r="E33" s="181">
        <f>Master!J35</f>
        <v>0</v>
      </c>
      <c r="F33" s="182">
        <f>Master!U35+Master!Z35+Master!AE35</f>
        <v>0</v>
      </c>
      <c r="G33" s="183">
        <f>Master!AG35</f>
        <v>685</v>
      </c>
      <c r="H33" s="184">
        <f>Master!AH35</f>
        <v>124.27</v>
      </c>
      <c r="I33" s="185">
        <f>Master!AI35</f>
        <v>115.19</v>
      </c>
      <c r="J33" s="186">
        <f>Master!AK35</f>
        <v>52.8</v>
      </c>
      <c r="K33" s="186">
        <f>Master!AL35</f>
        <v>67.3</v>
      </c>
      <c r="L33" s="186">
        <f>Master!AN35</f>
        <v>124.8</v>
      </c>
      <c r="M33" s="186">
        <f>Master!AP35</f>
        <v>100.6</v>
      </c>
      <c r="N33" s="186">
        <f>Master!AJ35</f>
        <v>20.3</v>
      </c>
      <c r="O33" s="186">
        <f>Master!AM35</f>
        <v>10.1</v>
      </c>
      <c r="P33" s="186">
        <f>Master!AO35</f>
        <v>0</v>
      </c>
      <c r="Q33" s="186">
        <f>Master!AQ35</f>
        <v>10.4</v>
      </c>
      <c r="R33" s="186">
        <f t="shared" ref="R33" si="27">SUM(H33:Q33)</f>
        <v>625.76</v>
      </c>
      <c r="S33" s="184">
        <f t="shared" si="3"/>
        <v>59.240000000000009</v>
      </c>
      <c r="T33" s="187">
        <f t="shared" si="1"/>
        <v>8.6481751824817529E-2</v>
      </c>
      <c r="U33" s="184">
        <f t="shared" si="11"/>
        <v>1419.9110000000007</v>
      </c>
      <c r="V33" s="187">
        <f>+U33/(F33+(SUM($G$6:G33)))</f>
        <v>7.5955440248208023E-2</v>
      </c>
      <c r="W33" s="203"/>
      <c r="X33" s="80">
        <f>Master!BM35</f>
        <v>563</v>
      </c>
      <c r="Y33" s="80">
        <f>Master!BD35</f>
        <v>573</v>
      </c>
      <c r="Z33" s="188">
        <f>Master!BF35</f>
        <v>134.80000000000001</v>
      </c>
      <c r="AA33" s="80">
        <f>Master!BG35</f>
        <v>141.19999999999999</v>
      </c>
      <c r="AB33" s="80">
        <f>Master!BH35</f>
        <v>129.9</v>
      </c>
      <c r="AC33" s="80">
        <f>Master!BI35</f>
        <v>120.2</v>
      </c>
      <c r="AD33" s="80"/>
      <c r="AE33" s="188">
        <f t="shared" si="4"/>
        <v>526.1</v>
      </c>
      <c r="AF33" s="188">
        <f t="shared" si="5"/>
        <v>36.899999999999977</v>
      </c>
      <c r="AG33" s="188">
        <f t="shared" si="6"/>
        <v>46.899999999999977</v>
      </c>
      <c r="AH33" s="189">
        <f t="shared" si="8"/>
        <v>6.5541740674955551E-2</v>
      </c>
      <c r="AI33" s="189">
        <f t="shared" si="9"/>
        <v>8.1849912739965058E-2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s="190" customFormat="1" x14ac:dyDescent="0.25">
      <c r="A34" s="3"/>
      <c r="B34" s="179">
        <f t="shared" si="7"/>
        <v>45990</v>
      </c>
      <c r="C34" s="180">
        <f>Master!B36</f>
        <v>0</v>
      </c>
      <c r="D34" s="180">
        <f>Master!F36</f>
        <v>0</v>
      </c>
      <c r="E34" s="181">
        <f>Master!J36</f>
        <v>0</v>
      </c>
      <c r="F34" s="182">
        <f>Master!U36+Master!Z36+Master!AE36</f>
        <v>0</v>
      </c>
      <c r="G34" s="183">
        <f>Master!AG36</f>
        <v>685</v>
      </c>
      <c r="H34" s="184">
        <f>Master!AH36</f>
        <v>123.578</v>
      </c>
      <c r="I34" s="185">
        <f>Master!AI36</f>
        <v>116.161</v>
      </c>
      <c r="J34" s="186">
        <f>Master!AK36</f>
        <v>50.3</v>
      </c>
      <c r="K34" s="186">
        <f>Master!AL36</f>
        <v>66.900000000000006</v>
      </c>
      <c r="L34" s="186">
        <f>Master!AN36</f>
        <v>120.6</v>
      </c>
      <c r="M34" s="186">
        <f>Master!AP36</f>
        <v>97.3</v>
      </c>
      <c r="N34" s="186">
        <f>Master!AJ36</f>
        <v>20.399999999999999</v>
      </c>
      <c r="O34" s="186">
        <f>Master!AM36</f>
        <v>10.199999999999999</v>
      </c>
      <c r="P34" s="186">
        <f>Master!AO36</f>
        <v>0</v>
      </c>
      <c r="Q34" s="186">
        <f>Master!AQ36</f>
        <v>9.6</v>
      </c>
      <c r="R34" s="186">
        <f t="shared" ref="R34:R35" si="28">SUM(H34:Q34)</f>
        <v>615.03899999999999</v>
      </c>
      <c r="S34" s="184">
        <f t="shared" si="3"/>
        <v>69.961000000000013</v>
      </c>
      <c r="T34" s="187">
        <f t="shared" si="1"/>
        <v>0.10213284671532849</v>
      </c>
      <c r="U34" s="184">
        <f t="shared" si="11"/>
        <v>1489.8720000000008</v>
      </c>
      <c r="V34" s="187">
        <f>+U34/(F34+(SUM($G$6:G34)))</f>
        <v>7.6880747200577984E-2</v>
      </c>
      <c r="W34" s="203"/>
      <c r="X34" s="80">
        <f>Master!BM36</f>
        <v>579</v>
      </c>
      <c r="Y34" s="80">
        <f>Master!BD36</f>
        <v>582</v>
      </c>
      <c r="Z34" s="188">
        <f>Master!BF36</f>
        <v>140.4</v>
      </c>
      <c r="AA34" s="80">
        <f>Master!BG36</f>
        <v>144.1</v>
      </c>
      <c r="AB34" s="80">
        <f>Master!BH36</f>
        <v>129</v>
      </c>
      <c r="AC34" s="80">
        <f>Master!BI36</f>
        <v>121.30000000000001</v>
      </c>
      <c r="AD34" s="80"/>
      <c r="AE34" s="188">
        <f t="shared" si="4"/>
        <v>534.79999999999995</v>
      </c>
      <c r="AF34" s="188">
        <f t="shared" si="5"/>
        <v>44.200000000000045</v>
      </c>
      <c r="AG34" s="188">
        <f t="shared" si="6"/>
        <v>47.200000000000045</v>
      </c>
      <c r="AH34" s="189">
        <f t="shared" si="8"/>
        <v>7.6338514680483666E-2</v>
      </c>
      <c r="AI34" s="189">
        <f t="shared" si="9"/>
        <v>8.1099656357388389E-2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s="190" customFormat="1" x14ac:dyDescent="0.25">
      <c r="A35" s="3"/>
      <c r="B35" s="179">
        <f t="shared" si="7"/>
        <v>45991</v>
      </c>
      <c r="C35" s="180">
        <f>Master!B37</f>
        <v>0</v>
      </c>
      <c r="D35" s="180">
        <f>Master!F37</f>
        <v>0</v>
      </c>
      <c r="E35" s="181">
        <f>Master!J37</f>
        <v>0</v>
      </c>
      <c r="F35" s="182">
        <f>Master!U37+Master!Z37+Master!AE37</f>
        <v>0</v>
      </c>
      <c r="G35" s="183">
        <f>Master!AG37</f>
        <v>684</v>
      </c>
      <c r="H35" s="184">
        <f>Master!AH37</f>
        <v>119.416</v>
      </c>
      <c r="I35" s="185">
        <f>Master!AI37</f>
        <v>113.27800000000001</v>
      </c>
      <c r="J35" s="186">
        <f>Master!AK37</f>
        <v>52.1</v>
      </c>
      <c r="K35" s="186">
        <f>Master!AL37</f>
        <v>66.7</v>
      </c>
      <c r="L35" s="186">
        <f>Master!AN37</f>
        <v>124.4</v>
      </c>
      <c r="M35" s="186">
        <f>Master!AP37</f>
        <v>98.4</v>
      </c>
      <c r="N35" s="186">
        <f>Master!AJ37</f>
        <v>19.2</v>
      </c>
      <c r="O35" s="186">
        <f>Master!AM37</f>
        <v>9.8000000000000007</v>
      </c>
      <c r="P35" s="186">
        <f>Master!AO37</f>
        <v>0</v>
      </c>
      <c r="Q35" s="186">
        <f>Master!AQ37</f>
        <v>10</v>
      </c>
      <c r="R35" s="186">
        <f t="shared" si="28"/>
        <v>613.29399999999998</v>
      </c>
      <c r="S35" s="184">
        <f t="shared" si="3"/>
        <v>70.706000000000017</v>
      </c>
      <c r="T35" s="187">
        <f t="shared" si="1"/>
        <v>0.10337134502923979</v>
      </c>
      <c r="U35" s="184">
        <f t="shared" si="11"/>
        <v>1560.5780000000009</v>
      </c>
      <c r="V35" s="187">
        <f>+U35/(F35+(SUM($G$6:G35)))</f>
        <v>7.7783880775557035E-2</v>
      </c>
      <c r="W35" s="203"/>
      <c r="X35" s="80">
        <f>Master!BM37</f>
        <v>566</v>
      </c>
      <c r="Y35" s="80">
        <f>Master!BD37</f>
        <v>578</v>
      </c>
      <c r="Z35" s="188">
        <f>Master!BF37</f>
        <v>129.80000000000001</v>
      </c>
      <c r="AA35" s="80">
        <f>Master!BG37</f>
        <v>146</v>
      </c>
      <c r="AB35" s="80">
        <f>Master!BH37</f>
        <v>127.10000000000001</v>
      </c>
      <c r="AC35" s="80">
        <f>Master!BI37</f>
        <v>125</v>
      </c>
      <c r="AD35" s="80"/>
      <c r="AE35" s="188">
        <f t="shared" si="4"/>
        <v>527.90000000000009</v>
      </c>
      <c r="AF35" s="188">
        <f t="shared" si="5"/>
        <v>38.099999999999909</v>
      </c>
      <c r="AG35" s="188">
        <f t="shared" si="6"/>
        <v>50.099999999999909</v>
      </c>
      <c r="AH35" s="189">
        <f t="shared" si="8"/>
        <v>6.7314487632508677E-2</v>
      </c>
      <c r="AI35" s="189">
        <f t="shared" si="9"/>
        <v>8.6678200692041366E-2</v>
      </c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s="190" customFormat="1" x14ac:dyDescent="0.25">
      <c r="A36" s="3"/>
      <c r="B36" s="179"/>
      <c r="C36" s="180"/>
      <c r="D36" s="180"/>
      <c r="E36" s="181"/>
      <c r="F36" s="182"/>
      <c r="G36" s="183"/>
      <c r="H36" s="184"/>
      <c r="I36" s="185"/>
      <c r="J36" s="186"/>
      <c r="K36" s="186"/>
      <c r="L36" s="186"/>
      <c r="M36" s="186"/>
      <c r="N36" s="186"/>
      <c r="O36" s="186"/>
      <c r="P36" s="186"/>
      <c r="Q36" s="186"/>
      <c r="R36" s="186"/>
      <c r="S36" s="184"/>
      <c r="T36" s="187"/>
      <c r="U36" s="184"/>
      <c r="V36" s="187"/>
      <c r="W36" s="81"/>
      <c r="X36" s="80"/>
      <c r="Y36" s="80"/>
      <c r="Z36" s="188"/>
      <c r="AA36" s="80"/>
      <c r="AB36" s="80"/>
      <c r="AC36" s="80"/>
      <c r="AD36" s="80"/>
      <c r="AE36" s="188"/>
      <c r="AF36" s="188"/>
      <c r="AG36" s="188"/>
      <c r="AH36" s="189"/>
      <c r="AI36" s="189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  <row r="37" spans="1:258" s="190" customFormat="1" x14ac:dyDescent="0.25">
      <c r="A37" s="3"/>
      <c r="B37" s="80"/>
      <c r="C37" s="191">
        <f>SUMIF(C6:C34,"&gt;0")</f>
        <v>0</v>
      </c>
      <c r="D37" s="191">
        <f>SUMIF(D6:D34,"&gt;0")</f>
        <v>0</v>
      </c>
      <c r="E37" s="191">
        <f>SUMIF(E6:E34,"&gt;0")</f>
        <v>0</v>
      </c>
      <c r="F37" s="191">
        <f>SUMIF(F6:F34,"&gt;0")</f>
        <v>0</v>
      </c>
      <c r="G37" s="192">
        <f>SUMIF(G6:G36,"&gt;0")</f>
        <v>20063</v>
      </c>
      <c r="H37" s="193">
        <f t="shared" ref="H37:R37" si="29">SUMIF(H6:H36,"&gt;0")</f>
        <v>3798.9330000000004</v>
      </c>
      <c r="I37" s="193">
        <f t="shared" si="29"/>
        <v>3914.6889999999994</v>
      </c>
      <c r="J37" s="193">
        <f t="shared" si="29"/>
        <v>1095.2999999999997</v>
      </c>
      <c r="K37" s="193">
        <f t="shared" si="29"/>
        <v>2015.3000000000002</v>
      </c>
      <c r="L37" s="193">
        <f t="shared" si="29"/>
        <v>3773</v>
      </c>
      <c r="M37" s="193">
        <f t="shared" si="29"/>
        <v>2844.5</v>
      </c>
      <c r="N37" s="193">
        <f t="shared" si="29"/>
        <v>478.9</v>
      </c>
      <c r="O37" s="193">
        <f t="shared" si="29"/>
        <v>297.3</v>
      </c>
      <c r="P37" s="193">
        <f t="shared" si="29"/>
        <v>0</v>
      </c>
      <c r="Q37" s="193">
        <f t="shared" si="29"/>
        <v>284.5</v>
      </c>
      <c r="R37" s="193">
        <f t="shared" si="29"/>
        <v>18502.421999999999</v>
      </c>
      <c r="S37" s="193">
        <f>SUMIF(S6:S36,"&gt;0")</f>
        <v>1560.5780000000009</v>
      </c>
      <c r="T37" s="207">
        <f>AVERAGEIF(T6:T36,"&gt;0")</f>
        <v>7.6921264521548058E-2</v>
      </c>
      <c r="U37" s="193">
        <f>+U35</f>
        <v>1560.5780000000009</v>
      </c>
      <c r="V37" s="207">
        <f>+V35</f>
        <v>7.7783880775557035E-2</v>
      </c>
      <c r="W37" s="81"/>
      <c r="X37" s="80">
        <f>SUM(X6:X36)</f>
        <v>16245</v>
      </c>
      <c r="Y37" s="80">
        <f t="shared" ref="Y37:AC37" si="30">SUM(Y6:Y36)</f>
        <v>16433.900000000001</v>
      </c>
      <c r="Z37" s="80">
        <f t="shared" si="30"/>
        <v>3552.9</v>
      </c>
      <c r="AA37" s="80">
        <f t="shared" si="30"/>
        <v>4369.3999999999996</v>
      </c>
      <c r="AB37" s="80">
        <f t="shared" si="30"/>
        <v>3545.1</v>
      </c>
      <c r="AC37" s="80">
        <f t="shared" si="30"/>
        <v>3556.6</v>
      </c>
      <c r="AD37" s="80"/>
      <c r="AE37" s="188">
        <f t="shared" si="4"/>
        <v>15024</v>
      </c>
      <c r="AF37" s="188">
        <f>SUM(AF6:AF23)</f>
        <v>750.30000000000007</v>
      </c>
      <c r="AG37" s="188">
        <f>SUM(AG6:AG23)</f>
        <v>819.4</v>
      </c>
      <c r="AH37" s="189">
        <f>AVERAGE(AH6:AH26)</f>
        <v>7.8781579413524289E-2</v>
      </c>
      <c r="AI37" s="189">
        <f>AVERAGE(AI6:AI26)</f>
        <v>8.662491777768011E-2</v>
      </c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</row>
    <row r="38" spans="1:258" s="190" customFormat="1" x14ac:dyDescent="0.25">
      <c r="A38" s="3"/>
      <c r="B38" t="s">
        <v>105</v>
      </c>
      <c r="C38" s="194">
        <f>C37+D37+E37</f>
        <v>0</v>
      </c>
      <c r="D38" s="175"/>
      <c r="E38" s="194"/>
      <c r="F38" s="175"/>
      <c r="G38" s="2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 spans="1:258" x14ac:dyDescent="0.25">
      <c r="B39" t="s">
        <v>106</v>
      </c>
      <c r="C39" s="196" t="e">
        <f>C38/F37</f>
        <v>#DIV/0!</v>
      </c>
      <c r="D39" s="194"/>
      <c r="E39" s="194"/>
    </row>
    <row r="40" spans="1:258" x14ac:dyDescent="0.25">
      <c r="C40" s="197"/>
      <c r="D40" s="197"/>
      <c r="E40" s="194"/>
      <c r="F40" s="198"/>
      <c r="G40" s="199"/>
    </row>
    <row r="41" spans="1:258" hidden="1" x14ac:dyDescent="0.25">
      <c r="C41" s="197"/>
      <c r="D41" s="197"/>
      <c r="E41" s="197"/>
      <c r="F41" s="197"/>
      <c r="G41" s="157"/>
      <c r="R41" s="200"/>
    </row>
    <row r="42" spans="1:258" hidden="1" x14ac:dyDescent="0.25">
      <c r="G42" s="157"/>
    </row>
    <row r="43" spans="1:258" hidden="1" x14ac:dyDescent="0.25">
      <c r="F43" s="197"/>
    </row>
    <row r="44" spans="1:258" hidden="1" x14ac:dyDescent="0.25">
      <c r="F44" s="197"/>
    </row>
    <row r="45" spans="1:258" hidden="1" x14ac:dyDescent="0.25"/>
    <row r="46" spans="1:258" hidden="1" x14ac:dyDescent="0.25"/>
    <row r="47" spans="1:258" hidden="1" x14ac:dyDescent="0.25"/>
    <row r="48" spans="1:258" hidden="1" x14ac:dyDescent="0.25">
      <c r="G48" s="199"/>
    </row>
    <row r="49" spans="7:8" hidden="1" x14ac:dyDescent="0.25">
      <c r="G49" s="157"/>
    </row>
    <row r="50" spans="7:8" hidden="1" x14ac:dyDescent="0.25">
      <c r="G50" s="157"/>
    </row>
    <row r="51" spans="7:8" hidden="1" x14ac:dyDescent="0.25">
      <c r="H51" s="200"/>
    </row>
    <row r="52" spans="7:8" hidden="1" x14ac:dyDescent="0.25"/>
    <row r="53" spans="7:8" hidden="1" x14ac:dyDescent="0.25"/>
    <row r="54" spans="7:8" hidden="1" x14ac:dyDescent="0.25"/>
    <row r="55" spans="7:8" hidden="1" x14ac:dyDescent="0.25"/>
    <row r="56" spans="7:8" hidden="1" x14ac:dyDescent="0.25"/>
    <row r="57" spans="7:8" hidden="1" x14ac:dyDescent="0.25"/>
    <row r="58" spans="7:8" hidden="1" x14ac:dyDescent="0.25"/>
    <row r="59" spans="7:8" hidden="1" x14ac:dyDescent="0.25"/>
    <row r="60" spans="7:8" hidden="1" x14ac:dyDescent="0.25"/>
    <row r="61" spans="7:8" hidden="1" x14ac:dyDescent="0.25"/>
    <row r="62" spans="7:8" hidden="1" x14ac:dyDescent="0.25"/>
  </sheetData>
  <mergeCells count="20">
    <mergeCell ref="Q4:Q5"/>
    <mergeCell ref="B4:B5"/>
    <mergeCell ref="C4:E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S4:V4"/>
    <mergeCell ref="AF4:AG4"/>
    <mergeCell ref="AH4:AI4"/>
    <mergeCell ref="R4:R5"/>
    <mergeCell ref="X4:X5"/>
    <mergeCell ref="Y4:Y5"/>
    <mergeCell ref="Z4:AD4"/>
    <mergeCell ref="AE4:AE5"/>
  </mergeCells>
  <pageMargins left="0" right="0" top="0.75" bottom="0" header="0.3" footer="0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Steam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Produksi-PM</cp:lastModifiedBy>
  <dcterms:created xsi:type="dcterms:W3CDTF">2025-08-01T02:17:15Z</dcterms:created>
  <dcterms:modified xsi:type="dcterms:W3CDTF">2025-12-01T07:29:03Z</dcterms:modified>
</cp:coreProperties>
</file>